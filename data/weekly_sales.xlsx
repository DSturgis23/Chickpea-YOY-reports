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ames\Chickpea Dropbox\Chickpea\Accounts\Sales\"/>
    </mc:Choice>
  </mc:AlternateContent>
  <xr:revisionPtr revIDLastSave="0" documentId="13_ncr:1_{2C380833-78A8-411B-B9E7-525A36E728C0}" xr6:coauthVersionLast="47" xr6:coauthVersionMax="47" xr10:uidLastSave="{00000000-0000-0000-0000-000000000000}"/>
  <bookViews>
    <workbookView xWindow="-108" yWindow="-108" windowWidth="23256" windowHeight="12456" activeTab="2" xr2:uid="{6B955A8E-9AE0-47B6-B48A-1BEDBAB6A20A}"/>
  </bookViews>
  <sheets>
    <sheet name="DRY" sheetId="15" r:id="rId1"/>
    <sheet name="LABOUR" sheetId="16" r:id="rId2"/>
    <sheet name="SALES" sheetId="1" r:id="rId3"/>
    <sheet name="Dry margin" sheetId="5" state="hidden" r:id="rId4"/>
    <sheet name="Chickpea Food" sheetId="6" state="hidden" r:id="rId5"/>
    <sheet name="orders_2025-07-28_11-52" sheetId="10" state="hidden" r:id="rId6"/>
    <sheet name="Sheet1" sheetId="8" state="hidden" r:id="rId7"/>
    <sheet name="Nol dry" sheetId="2" state="hidden" r:id="rId8"/>
  </sheets>
  <definedNames>
    <definedName name="ExternalData_2" localSheetId="5" hidden="1">'orders_2025-07-28_11-52'!$A$1:$CA$60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43" i="16" l="1"/>
  <c r="AG82" i="16" s="1"/>
  <c r="AG3" i="15"/>
  <c r="AG8" i="15"/>
  <c r="AG13" i="15"/>
  <c r="AG18" i="15"/>
  <c r="AG23" i="15"/>
  <c r="AG28" i="15"/>
  <c r="AG33" i="15"/>
  <c r="AG38" i="15"/>
  <c r="AG43" i="15"/>
  <c r="AG54" i="15"/>
  <c r="AG2" i="16"/>
  <c r="GR48" i="1"/>
  <c r="AG48" i="15" s="1"/>
  <c r="AG53" i="15" s="1"/>
  <c r="GR92" i="1"/>
  <c r="AG65" i="16" s="1"/>
  <c r="AG66" i="16" s="1"/>
  <c r="AG68" i="16" s="1"/>
  <c r="GV93" i="1" s="1"/>
  <c r="GR99" i="1"/>
  <c r="AG69" i="16" s="1"/>
  <c r="AG70" i="16" s="1"/>
  <c r="AG72" i="16" s="1"/>
  <c r="GV100" i="1" s="1"/>
  <c r="GR106" i="1"/>
  <c r="AG73" i="16" s="1"/>
  <c r="AG74" i="16" s="1"/>
  <c r="AG76" i="16" s="1"/>
  <c r="GV107" i="1" s="1"/>
  <c r="GR113" i="1" l="1"/>
  <c r="GR84" i="1"/>
  <c r="GR85" i="1" s="1"/>
  <c r="AG61" i="16" s="1"/>
  <c r="AG62" i="16" s="1"/>
  <c r="AG64" i="16" s="1"/>
  <c r="GV83" i="1" s="1"/>
  <c r="GS84" i="1"/>
  <c r="GS62" i="1"/>
  <c r="GS61" i="1"/>
  <c r="GS55" i="1"/>
  <c r="GS54" i="1"/>
  <c r="GS47" i="1"/>
  <c r="GS41" i="1"/>
  <c r="GS40" i="1"/>
  <c r="GS34" i="1"/>
  <c r="GS33" i="1"/>
  <c r="GS27" i="1"/>
  <c r="GS26" i="1"/>
  <c r="GS20" i="1"/>
  <c r="GS19" i="1"/>
  <c r="GS13" i="1"/>
  <c r="GS12" i="1"/>
  <c r="GS6" i="1"/>
  <c r="GS5" i="1"/>
  <c r="GR114" i="1"/>
  <c r="GR76" i="1"/>
  <c r="GR75" i="1"/>
  <c r="GR123" i="1" s="1"/>
  <c r="GR72" i="1"/>
  <c r="GR70" i="1"/>
  <c r="AG16" i="16" s="1"/>
  <c r="AG18" i="16" s="1"/>
  <c r="AG21" i="16" s="1"/>
  <c r="GV71" i="1" s="1"/>
  <c r="GR63" i="1"/>
  <c r="AG33" i="16" s="1"/>
  <c r="AG35" i="16" s="1"/>
  <c r="AG38" i="16" s="1"/>
  <c r="GV64" i="1" s="1"/>
  <c r="GR56" i="1"/>
  <c r="AG28" i="16" s="1"/>
  <c r="AG29" i="16" s="1"/>
  <c r="AG32" i="16" s="1"/>
  <c r="GV57" i="1" s="1"/>
  <c r="GR49" i="1"/>
  <c r="AG56" i="16" s="1"/>
  <c r="AG57" i="16" s="1"/>
  <c r="AG60" i="16" s="1"/>
  <c r="GV50" i="1" s="1"/>
  <c r="GR42" i="1"/>
  <c r="AG51" i="16" s="1"/>
  <c r="AG52" i="16" s="1"/>
  <c r="AG55" i="16" s="1"/>
  <c r="GV43" i="1" s="1"/>
  <c r="GR35" i="1"/>
  <c r="AG45" i="16" s="1"/>
  <c r="AG47" i="16" s="1"/>
  <c r="AG50" i="16" s="1"/>
  <c r="GV36" i="1" s="1"/>
  <c r="GR28" i="1"/>
  <c r="AG10" i="16" s="1"/>
  <c r="AG12" i="16" s="1"/>
  <c r="AG15" i="16" s="1"/>
  <c r="GV29" i="1" s="1"/>
  <c r="GR21" i="1"/>
  <c r="AG3" i="16" s="1"/>
  <c r="AG6" i="16" s="1"/>
  <c r="GR14" i="1"/>
  <c r="AG22" i="16" s="1"/>
  <c r="AG24" i="16" s="1"/>
  <c r="AG27" i="16" s="1"/>
  <c r="GV15" i="1" s="1"/>
  <c r="GR7" i="1"/>
  <c r="AG39" i="16" s="1"/>
  <c r="AG41" i="16" s="1"/>
  <c r="AG44" i="16" s="1"/>
  <c r="GV8" i="1" s="1"/>
  <c r="AF50" i="15"/>
  <c r="AF40" i="15"/>
  <c r="AG40" i="15" s="1"/>
  <c r="AG41" i="15" s="1"/>
  <c r="AF30" i="15"/>
  <c r="AF25" i="15"/>
  <c r="AF20" i="15"/>
  <c r="AG20" i="15" s="1"/>
  <c r="AG21" i="15" s="1"/>
  <c r="AF15" i="15"/>
  <c r="AF10" i="15"/>
  <c r="AF5" i="15"/>
  <c r="AF3" i="15"/>
  <c r="AF8" i="15"/>
  <c r="AF13" i="15"/>
  <c r="AF18" i="15"/>
  <c r="AF21" i="15"/>
  <c r="AF23" i="15"/>
  <c r="AF28" i="15"/>
  <c r="AF33" i="15"/>
  <c r="AF38" i="15"/>
  <c r="AF41" i="15"/>
  <c r="AF43" i="15"/>
  <c r="AF54" i="15"/>
  <c r="AF2" i="16"/>
  <c r="GQ48" i="1"/>
  <c r="GQ49" i="1" s="1"/>
  <c r="AF56" i="16" s="1"/>
  <c r="AF57" i="16" s="1"/>
  <c r="AF60" i="16" s="1"/>
  <c r="GQ92" i="1"/>
  <c r="GR93" i="1" s="1"/>
  <c r="GQ99" i="1"/>
  <c r="AF69" i="16" s="1"/>
  <c r="AF70" i="16" s="1"/>
  <c r="AF72" i="16" s="1"/>
  <c r="GQ106" i="1"/>
  <c r="AF73" i="16" s="1"/>
  <c r="AF74" i="16" s="1"/>
  <c r="AF76" i="16" s="1"/>
  <c r="GQ113" i="1"/>
  <c r="GS68" i="1"/>
  <c r="GS69" i="1"/>
  <c r="GS90" i="1"/>
  <c r="GS97" i="1"/>
  <c r="GS98" i="1"/>
  <c r="GS104" i="1"/>
  <c r="GS105" i="1"/>
  <c r="GS111" i="1"/>
  <c r="GS112" i="1"/>
  <c r="GQ7" i="1"/>
  <c r="GQ14" i="1"/>
  <c r="GR15" i="1" s="1"/>
  <c r="GQ21" i="1"/>
  <c r="GQ28" i="1"/>
  <c r="AF10" i="16" s="1"/>
  <c r="AF12" i="16" s="1"/>
  <c r="AF15" i="16" s="1"/>
  <c r="GQ35" i="1"/>
  <c r="AF45" i="16" s="1"/>
  <c r="AF47" i="16" s="1"/>
  <c r="AF50" i="16" s="1"/>
  <c r="GQ42" i="1"/>
  <c r="AF51" i="16" s="1"/>
  <c r="AF52" i="16" s="1"/>
  <c r="AF55" i="16" s="1"/>
  <c r="GQ56" i="1"/>
  <c r="AF28" i="16" s="1"/>
  <c r="AF29" i="16" s="1"/>
  <c r="AF32" i="16" s="1"/>
  <c r="GQ63" i="1"/>
  <c r="GQ70" i="1"/>
  <c r="GQ72" i="1"/>
  <c r="GQ75" i="1"/>
  <c r="GQ123" i="1" s="1"/>
  <c r="GQ85" i="1"/>
  <c r="AE3" i="15"/>
  <c r="AE6" i="15"/>
  <c r="AE8" i="15"/>
  <c r="AE11" i="15"/>
  <c r="AE13" i="15"/>
  <c r="AE16" i="15"/>
  <c r="AE18" i="15"/>
  <c r="AE21" i="15"/>
  <c r="AE23" i="15"/>
  <c r="AE26" i="15"/>
  <c r="AE28" i="15"/>
  <c r="AE31" i="15"/>
  <c r="AE33" i="15"/>
  <c r="AE35" i="15"/>
  <c r="AE55" i="15" s="1"/>
  <c r="AE38" i="15"/>
  <c r="AE41" i="15"/>
  <c r="AE43" i="15"/>
  <c r="AE46" i="15"/>
  <c r="AE51" i="15"/>
  <c r="AE54" i="15"/>
  <c r="AG9" i="16" l="1"/>
  <c r="GV22" i="1" s="1"/>
  <c r="AG81" i="16"/>
  <c r="AG83" i="16" s="1"/>
  <c r="AF51" i="15"/>
  <c r="AG50" i="15"/>
  <c r="AF6" i="15"/>
  <c r="AG5" i="15"/>
  <c r="AG42" i="15"/>
  <c r="GV34" i="1" s="1"/>
  <c r="AF16" i="15"/>
  <c r="AG15" i="15"/>
  <c r="AG16" i="15" s="1"/>
  <c r="AF11" i="15"/>
  <c r="AG10" i="15"/>
  <c r="AG11" i="15" s="1"/>
  <c r="AG12" i="15" s="1"/>
  <c r="GV27" i="1" s="1"/>
  <c r="AF26" i="15"/>
  <c r="AG25" i="15"/>
  <c r="AG26" i="15" s="1"/>
  <c r="AG22" i="15"/>
  <c r="GV13" i="1" s="1"/>
  <c r="AF31" i="15"/>
  <c r="AG30" i="15"/>
  <c r="AG31" i="15" s="1"/>
  <c r="AG77" i="16"/>
  <c r="AG78" i="16" s="1"/>
  <c r="AG80" i="16" s="1"/>
  <c r="GV114" i="1" s="1"/>
  <c r="GR100" i="1"/>
  <c r="GR8" i="1"/>
  <c r="GR71" i="1"/>
  <c r="GR86" i="1"/>
  <c r="GR29" i="1"/>
  <c r="GR22" i="1"/>
  <c r="GR36" i="1"/>
  <c r="GR124" i="1"/>
  <c r="GR131" i="1"/>
  <c r="GR43" i="1"/>
  <c r="GR50" i="1"/>
  <c r="GR57" i="1"/>
  <c r="GR64" i="1"/>
  <c r="GR77" i="1"/>
  <c r="GR118" i="1"/>
  <c r="GR107" i="1"/>
  <c r="AF32" i="15"/>
  <c r="AF12" i="15"/>
  <c r="GS21" i="1"/>
  <c r="AF42" i="15"/>
  <c r="AF17" i="15"/>
  <c r="GS56" i="1"/>
  <c r="AF77" i="16"/>
  <c r="AF78" i="16" s="1"/>
  <c r="AF80" i="16" s="1"/>
  <c r="AF22" i="16"/>
  <c r="AF24" i="16" s="1"/>
  <c r="AF27" i="16" s="1"/>
  <c r="AF48" i="15"/>
  <c r="AF52" i="15" s="1"/>
  <c r="AF16" i="16"/>
  <c r="AF18" i="16" s="1"/>
  <c r="AF21" i="16" s="1"/>
  <c r="AF65" i="16"/>
  <c r="AF66" i="16" s="1"/>
  <c r="AF68" i="16" s="1"/>
  <c r="AF39" i="16"/>
  <c r="AF41" i="16" s="1"/>
  <c r="AF61" i="16"/>
  <c r="AF62" i="16" s="1"/>
  <c r="AF64" i="16" s="1"/>
  <c r="AF33" i="16"/>
  <c r="AF35" i="16" s="1"/>
  <c r="AF38" i="16" s="1"/>
  <c r="AF3" i="16"/>
  <c r="AF6" i="16" s="1"/>
  <c r="AF9" i="16" s="1"/>
  <c r="AF27" i="15"/>
  <c r="AF22" i="15"/>
  <c r="AF7" i="15"/>
  <c r="GQ118" i="1"/>
  <c r="GS28" i="1"/>
  <c r="GS35" i="1"/>
  <c r="GS14" i="1"/>
  <c r="GS63" i="1"/>
  <c r="GS70" i="1"/>
  <c r="GQ76" i="1"/>
  <c r="GQ124" i="1" s="1"/>
  <c r="GS42" i="1"/>
  <c r="GQ77" i="1"/>
  <c r="GS7" i="1"/>
  <c r="GQ131" i="1"/>
  <c r="AE17" i="15"/>
  <c r="AE32" i="15"/>
  <c r="AE12" i="15"/>
  <c r="AE42" i="15"/>
  <c r="AE43" i="16"/>
  <c r="AE82" i="16" s="1"/>
  <c r="AE47" i="15"/>
  <c r="AE22" i="15"/>
  <c r="AE7" i="15"/>
  <c r="AE56" i="15"/>
  <c r="AE27" i="15"/>
  <c r="AE36" i="15"/>
  <c r="AE37" i="15" s="1"/>
  <c r="AG32" i="15" l="1"/>
  <c r="GV62" i="1" s="1"/>
  <c r="AG17" i="15"/>
  <c r="GV69" i="1" s="1"/>
  <c r="AG27" i="15"/>
  <c r="GV55" i="1" s="1"/>
  <c r="AG6" i="15"/>
  <c r="AG51" i="15"/>
  <c r="GR125" i="1"/>
  <c r="GR119" i="1"/>
  <c r="AF53" i="15"/>
  <c r="AF81" i="16"/>
  <c r="GQ125" i="1"/>
  <c r="GP48" i="1"/>
  <c r="AE48" i="15" s="1"/>
  <c r="GP92" i="1"/>
  <c r="GP99" i="1"/>
  <c r="GP106" i="1"/>
  <c r="GQ107" i="1" s="1"/>
  <c r="GP113" i="1"/>
  <c r="GP85" i="1"/>
  <c r="GP75" i="1"/>
  <c r="GP123" i="1" s="1"/>
  <c r="GP72" i="1"/>
  <c r="GP70" i="1"/>
  <c r="GP63" i="1"/>
  <c r="GP56" i="1"/>
  <c r="GP42" i="1"/>
  <c r="GP35" i="1"/>
  <c r="GP28" i="1"/>
  <c r="GP21" i="1"/>
  <c r="GP14" i="1"/>
  <c r="GP7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E49" i="1"/>
  <c r="CF49" i="1"/>
  <c r="CG49" i="1"/>
  <c r="CH49" i="1"/>
  <c r="CI49" i="1"/>
  <c r="CJ49" i="1"/>
  <c r="CK49" i="1"/>
  <c r="CL49" i="1"/>
  <c r="CM49" i="1"/>
  <c r="CN49" i="1"/>
  <c r="CP49" i="1"/>
  <c r="CQ49" i="1"/>
  <c r="CR49" i="1"/>
  <c r="CS49" i="1"/>
  <c r="CT49" i="1"/>
  <c r="CU49" i="1"/>
  <c r="CV49" i="1"/>
  <c r="CW49" i="1"/>
  <c r="CX49" i="1"/>
  <c r="CY49" i="1"/>
  <c r="CZ49" i="1"/>
  <c r="DK49" i="1"/>
  <c r="FJ49" i="1"/>
  <c r="FK49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GS75" i="1" s="1"/>
  <c r="ER75" i="1"/>
  <c r="ES75" i="1"/>
  <c r="ET75" i="1"/>
  <c r="EU75" i="1"/>
  <c r="EV75" i="1"/>
  <c r="EW75" i="1"/>
  <c r="EX75" i="1"/>
  <c r="EY75" i="1"/>
  <c r="EZ75" i="1"/>
  <c r="FA75" i="1"/>
  <c r="FB75" i="1"/>
  <c r="FC75" i="1"/>
  <c r="FD75" i="1"/>
  <c r="FE75" i="1"/>
  <c r="FF75" i="1"/>
  <c r="FG75" i="1"/>
  <c r="FH75" i="1"/>
  <c r="FN75" i="1"/>
  <c r="FO75" i="1"/>
  <c r="FP75" i="1"/>
  <c r="FS75" i="1"/>
  <c r="FZ75" i="1"/>
  <c r="GB75" i="1"/>
  <c r="GC75" i="1"/>
  <c r="GD75" i="1"/>
  <c r="GE75" i="1"/>
  <c r="GF75" i="1"/>
  <c r="GH75" i="1"/>
  <c r="GJ75" i="1"/>
  <c r="GL75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E76" i="1"/>
  <c r="CF76" i="1"/>
  <c r="CG76" i="1"/>
  <c r="CH76" i="1"/>
  <c r="CI76" i="1"/>
  <c r="CJ76" i="1"/>
  <c r="CK76" i="1"/>
  <c r="CL76" i="1"/>
  <c r="CM76" i="1"/>
  <c r="CN76" i="1"/>
  <c r="CP76" i="1"/>
  <c r="CQ76" i="1"/>
  <c r="CR76" i="1"/>
  <c r="CS76" i="1"/>
  <c r="CT76" i="1"/>
  <c r="CU76" i="1"/>
  <c r="CV76" i="1"/>
  <c r="CW76" i="1"/>
  <c r="CX76" i="1"/>
  <c r="CY76" i="1"/>
  <c r="CZ76" i="1"/>
  <c r="DK76" i="1"/>
  <c r="GM75" i="1"/>
  <c r="GN75" i="1"/>
  <c r="GO75" i="1"/>
  <c r="AD54" i="16"/>
  <c r="AG7" i="15" l="1"/>
  <c r="GV20" i="1" s="1"/>
  <c r="AG52" i="15"/>
  <c r="GV48" i="1" s="1"/>
  <c r="GR126" i="1"/>
  <c r="AE28" i="16"/>
  <c r="AE29" i="16" s="1"/>
  <c r="AE32" i="16" s="1"/>
  <c r="GQ57" i="1"/>
  <c r="AE69" i="16"/>
  <c r="AE70" i="16" s="1"/>
  <c r="AE72" i="16" s="1"/>
  <c r="GQ100" i="1"/>
  <c r="AE65" i="16"/>
  <c r="AE66" i="16" s="1"/>
  <c r="AE68" i="16" s="1"/>
  <c r="GQ93" i="1"/>
  <c r="AE39" i="16"/>
  <c r="AE41" i="16" s="1"/>
  <c r="AE44" i="16" s="1"/>
  <c r="GQ8" i="1"/>
  <c r="AE16" i="16"/>
  <c r="AE18" i="16" s="1"/>
  <c r="AE21" i="16" s="1"/>
  <c r="GQ71" i="1"/>
  <c r="AE22" i="16"/>
  <c r="AE24" i="16" s="1"/>
  <c r="AE27" i="16" s="1"/>
  <c r="GQ15" i="1"/>
  <c r="AE33" i="16"/>
  <c r="AE35" i="16" s="1"/>
  <c r="AE38" i="16" s="1"/>
  <c r="GQ64" i="1"/>
  <c r="AE3" i="16"/>
  <c r="AE6" i="16" s="1"/>
  <c r="AE9" i="16" s="1"/>
  <c r="GQ22" i="1"/>
  <c r="AE10" i="16"/>
  <c r="AE12" i="16" s="1"/>
  <c r="AE15" i="16" s="1"/>
  <c r="GQ29" i="1"/>
  <c r="AE61" i="16"/>
  <c r="AE62" i="16" s="1"/>
  <c r="AE64" i="16" s="1"/>
  <c r="GQ86" i="1"/>
  <c r="AE45" i="16"/>
  <c r="AE47" i="16" s="1"/>
  <c r="AE50" i="16" s="1"/>
  <c r="GQ36" i="1"/>
  <c r="AE77" i="16"/>
  <c r="AE78" i="16" s="1"/>
  <c r="AE80" i="16" s="1"/>
  <c r="GQ114" i="1"/>
  <c r="AE51" i="16"/>
  <c r="AE52" i="16" s="1"/>
  <c r="AE55" i="16" s="1"/>
  <c r="GQ43" i="1"/>
  <c r="AE73" i="16"/>
  <c r="AE74" i="16" s="1"/>
  <c r="AE76" i="16" s="1"/>
  <c r="AE52" i="15"/>
  <c r="AE53" i="15"/>
  <c r="AE57" i="15" s="1"/>
  <c r="GP76" i="1"/>
  <c r="GP124" i="1" s="1"/>
  <c r="GP49" i="1"/>
  <c r="GP118" i="1"/>
  <c r="GQ119" i="1" s="1"/>
  <c r="GO48" i="1"/>
  <c r="GO92" i="1"/>
  <c r="GP93" i="1" s="1"/>
  <c r="GP131" i="1" l="1"/>
  <c r="GQ50" i="1"/>
  <c r="AE56" i="16"/>
  <c r="AE57" i="16" s="1"/>
  <c r="AE81" i="16" s="1"/>
  <c r="AE83" i="16" s="1"/>
  <c r="AD48" i="15"/>
  <c r="GO49" i="1"/>
  <c r="GO76" i="1"/>
  <c r="GO124" i="1" s="1"/>
  <c r="GP77" i="1"/>
  <c r="GR78" i="1" s="1"/>
  <c r="GO113" i="1"/>
  <c r="GO106" i="1"/>
  <c r="GO99" i="1"/>
  <c r="GO4" i="1"/>
  <c r="GP4" i="1" s="1"/>
  <c r="GQ4" i="1" s="1"/>
  <c r="AD3" i="15"/>
  <c r="AD6" i="15"/>
  <c r="AD8" i="15"/>
  <c r="AD11" i="15"/>
  <c r="AD13" i="15"/>
  <c r="AD16" i="15"/>
  <c r="AD18" i="15"/>
  <c r="AD21" i="15"/>
  <c r="AD23" i="15"/>
  <c r="AD26" i="15"/>
  <c r="AD28" i="15"/>
  <c r="AD31" i="15"/>
  <c r="AD33" i="15"/>
  <c r="AD35" i="15"/>
  <c r="AD38" i="15"/>
  <c r="AD41" i="15"/>
  <c r="AD43" i="15"/>
  <c r="AD46" i="15"/>
  <c r="AD51" i="15"/>
  <c r="AD54" i="15"/>
  <c r="GO7" i="1"/>
  <c r="GO14" i="1"/>
  <c r="GO21" i="1"/>
  <c r="GO28" i="1"/>
  <c r="GO35" i="1"/>
  <c r="GO42" i="1"/>
  <c r="GO56" i="1"/>
  <c r="GO63" i="1"/>
  <c r="GO70" i="1"/>
  <c r="GO72" i="1"/>
  <c r="GO123" i="1"/>
  <c r="GO85" i="1"/>
  <c r="AC33" i="15"/>
  <c r="AC3" i="15"/>
  <c r="AH3" i="15" s="1"/>
  <c r="AC6" i="15"/>
  <c r="AH6" i="15" s="1"/>
  <c r="AC8" i="15"/>
  <c r="AC11" i="15"/>
  <c r="AH11" i="15" s="1"/>
  <c r="AC13" i="15"/>
  <c r="AC16" i="15"/>
  <c r="AH16" i="15" s="1"/>
  <c r="AC18" i="15"/>
  <c r="AH18" i="15" s="1"/>
  <c r="AC21" i="15"/>
  <c r="AH21" i="15" s="1"/>
  <c r="AC23" i="15"/>
  <c r="AH23" i="15" s="1"/>
  <c r="AC26" i="15"/>
  <c r="AH26" i="15" s="1"/>
  <c r="AC28" i="15"/>
  <c r="AC31" i="15"/>
  <c r="AH31" i="15" s="1"/>
  <c r="AC35" i="15"/>
  <c r="AC36" i="15" s="1"/>
  <c r="AC38" i="15"/>
  <c r="AH38" i="15" s="1"/>
  <c r="AC41" i="15"/>
  <c r="AH41" i="15" s="1"/>
  <c r="AC43" i="15"/>
  <c r="AH43" i="15" s="1"/>
  <c r="AC46" i="15"/>
  <c r="AC51" i="15"/>
  <c r="AH51" i="15" s="1"/>
  <c r="AC54" i="15"/>
  <c r="AB43" i="15"/>
  <c r="AB38" i="15"/>
  <c r="AB33" i="15"/>
  <c r="AB28" i="15"/>
  <c r="AB23" i="15"/>
  <c r="AB18" i="15"/>
  <c r="AB13" i="15"/>
  <c r="AB8" i="15"/>
  <c r="AB3" i="15"/>
  <c r="AH28" i="15" l="1"/>
  <c r="AH32" i="15" s="1"/>
  <c r="GV63" i="1" s="1"/>
  <c r="AH8" i="15"/>
  <c r="AH12" i="15" s="1"/>
  <c r="GV28" i="1" s="1"/>
  <c r="AH7" i="15"/>
  <c r="GV21" i="1" s="1"/>
  <c r="AH22" i="15"/>
  <c r="GV14" i="1" s="1"/>
  <c r="AH42" i="15"/>
  <c r="GV35" i="1" s="1"/>
  <c r="AH27" i="15"/>
  <c r="GV56" i="1" s="1"/>
  <c r="AH33" i="15"/>
  <c r="AH13" i="15"/>
  <c r="AH17" i="15" s="1"/>
  <c r="GV70" i="1" s="1"/>
  <c r="AE60" i="16"/>
  <c r="AD55" i="15"/>
  <c r="AD56" i="15" s="1"/>
  <c r="AD43" i="16"/>
  <c r="AD82" i="16" s="1"/>
  <c r="GP50" i="1"/>
  <c r="AD33" i="16"/>
  <c r="AD35" i="16" s="1"/>
  <c r="AD38" i="16" s="1"/>
  <c r="GP64" i="1"/>
  <c r="GP114" i="1"/>
  <c r="AD51" i="16"/>
  <c r="AD52" i="16" s="1"/>
  <c r="AD55" i="16" s="1"/>
  <c r="GP43" i="1"/>
  <c r="GP125" i="1"/>
  <c r="GQ126" i="1" s="1"/>
  <c r="GP29" i="1"/>
  <c r="GP107" i="1"/>
  <c r="GP57" i="1"/>
  <c r="AD3" i="16"/>
  <c r="AD6" i="16" s="1"/>
  <c r="AD9" i="16" s="1"/>
  <c r="GP22" i="1"/>
  <c r="AD22" i="16"/>
  <c r="AD24" i="16" s="1"/>
  <c r="AD27" i="16" s="1"/>
  <c r="GP15" i="1"/>
  <c r="GP100" i="1"/>
  <c r="GP86" i="1"/>
  <c r="AD16" i="16"/>
  <c r="AD18" i="16" s="1"/>
  <c r="AD21" i="16" s="1"/>
  <c r="GP71" i="1"/>
  <c r="GP36" i="1"/>
  <c r="AD39" i="16"/>
  <c r="AD41" i="16" s="1"/>
  <c r="GP8" i="1"/>
  <c r="GO118" i="1"/>
  <c r="AD47" i="15"/>
  <c r="AD52" i="15"/>
  <c r="AD42" i="15"/>
  <c r="AD32" i="15"/>
  <c r="AD27" i="15"/>
  <c r="AD22" i="15"/>
  <c r="AD17" i="15"/>
  <c r="AD12" i="15"/>
  <c r="AD7" i="15"/>
  <c r="AD28" i="16"/>
  <c r="AD29" i="16" s="1"/>
  <c r="AD32" i="16" s="1"/>
  <c r="AD45" i="16"/>
  <c r="AD47" i="16" s="1"/>
  <c r="AD53" i="15"/>
  <c r="AD10" i="16"/>
  <c r="AD12" i="16" s="1"/>
  <c r="AD15" i="16" s="1"/>
  <c r="AD36" i="15"/>
  <c r="AD37" i="15" s="1"/>
  <c r="AC43" i="16"/>
  <c r="AC42" i="15"/>
  <c r="AC32" i="15"/>
  <c r="AC37" i="15"/>
  <c r="AC47" i="15"/>
  <c r="AC22" i="15"/>
  <c r="AC17" i="15"/>
  <c r="AC12" i="15"/>
  <c r="AC7" i="15"/>
  <c r="AC27" i="15"/>
  <c r="AC55" i="15"/>
  <c r="AC56" i="15" s="1"/>
  <c r="GP119" i="1" l="1"/>
  <c r="GO131" i="1"/>
  <c r="GO77" i="1"/>
  <c r="GQ78" i="1" s="1"/>
  <c r="AD44" i="16"/>
  <c r="AD57" i="15"/>
  <c r="AD50" i="16"/>
  <c r="AD56" i="16"/>
  <c r="AD57" i="16" s="1"/>
  <c r="AD60" i="16" s="1"/>
  <c r="GO125" i="1" l="1"/>
  <c r="AD81" i="16"/>
  <c r="AD83" i="16" s="1"/>
  <c r="AC82" i="16"/>
  <c r="GN113" i="1"/>
  <c r="GZ113" i="1" s="1"/>
  <c r="GP126" i="1" l="1"/>
  <c r="GO114" i="1"/>
  <c r="GN106" i="1"/>
  <c r="GZ106" i="1" s="1"/>
  <c r="GN99" i="1"/>
  <c r="GZ99" i="1" s="1"/>
  <c r="GN48" i="1"/>
  <c r="GN92" i="1"/>
  <c r="GZ92" i="1" s="1"/>
  <c r="GM113" i="1"/>
  <c r="GM106" i="1"/>
  <c r="GM99" i="1"/>
  <c r="GM85" i="1"/>
  <c r="GM123" i="1"/>
  <c r="GM72" i="1"/>
  <c r="GM70" i="1"/>
  <c r="GM63" i="1"/>
  <c r="GM56" i="1"/>
  <c r="GM48" i="1"/>
  <c r="GM42" i="1"/>
  <c r="GM35" i="1"/>
  <c r="GM28" i="1"/>
  <c r="GM21" i="1"/>
  <c r="GM14" i="1"/>
  <c r="GM7" i="1"/>
  <c r="AB45" i="15"/>
  <c r="AB14" i="16"/>
  <c r="AB59" i="16"/>
  <c r="AB54" i="16"/>
  <c r="AB49" i="16"/>
  <c r="AB37" i="16"/>
  <c r="AB20" i="16"/>
  <c r="AB8" i="16"/>
  <c r="AF45" i="15" l="1"/>
  <c r="AF46" i="15" s="1"/>
  <c r="AF47" i="15" s="1"/>
  <c r="AG45" i="15"/>
  <c r="GN107" i="1"/>
  <c r="GO107" i="1"/>
  <c r="AB45" i="16"/>
  <c r="GO93" i="1"/>
  <c r="GN93" i="1"/>
  <c r="GM49" i="1"/>
  <c r="GM76" i="1"/>
  <c r="GM124" i="1" s="1"/>
  <c r="AB48" i="15"/>
  <c r="GN100" i="1"/>
  <c r="GO100" i="1"/>
  <c r="GN49" i="1"/>
  <c r="GZ49" i="1" s="1"/>
  <c r="GN76" i="1"/>
  <c r="AC48" i="15"/>
  <c r="GN114" i="1"/>
  <c r="AB33" i="16"/>
  <c r="AB16" i="16"/>
  <c r="AB39" i="16"/>
  <c r="AB22" i="16"/>
  <c r="AB51" i="16"/>
  <c r="AB28" i="16"/>
  <c r="AB3" i="16"/>
  <c r="AB10" i="16"/>
  <c r="GM118" i="1"/>
  <c r="GN85" i="1"/>
  <c r="GZ85" i="1" s="1"/>
  <c r="CL92" i="1"/>
  <c r="CM92" i="1"/>
  <c r="CN92" i="1"/>
  <c r="CP92" i="1"/>
  <c r="CQ92" i="1"/>
  <c r="CR92" i="1"/>
  <c r="CS92" i="1"/>
  <c r="CT92" i="1"/>
  <c r="CU92" i="1"/>
  <c r="CV92" i="1"/>
  <c r="CW92" i="1"/>
  <c r="CX92" i="1"/>
  <c r="CY92" i="1"/>
  <c r="CZ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Q92" i="1"/>
  <c r="DR92" i="1"/>
  <c r="DS92" i="1"/>
  <c r="DT92" i="1"/>
  <c r="DV92" i="1"/>
  <c r="EA92" i="1"/>
  <c r="EG92" i="1"/>
  <c r="EH92" i="1"/>
  <c r="EN92" i="1"/>
  <c r="EO92" i="1"/>
  <c r="ER92" i="1"/>
  <c r="EX92" i="1"/>
  <c r="EZ92" i="1"/>
  <c r="FH92" i="1"/>
  <c r="FJ92" i="1"/>
  <c r="FK92" i="1"/>
  <c r="FP92" i="1"/>
  <c r="FQ92" i="1"/>
  <c r="FR92" i="1"/>
  <c r="FS92" i="1"/>
  <c r="FT92" i="1"/>
  <c r="FU92" i="1"/>
  <c r="FV92" i="1"/>
  <c r="FW92" i="1"/>
  <c r="FX92" i="1"/>
  <c r="FY92" i="1"/>
  <c r="FZ92" i="1"/>
  <c r="GA92" i="1"/>
  <c r="GB92" i="1"/>
  <c r="GC92" i="1"/>
  <c r="GD92" i="1"/>
  <c r="GE92" i="1"/>
  <c r="GF92" i="1"/>
  <c r="GG92" i="1"/>
  <c r="GH92" i="1"/>
  <c r="GI92" i="1"/>
  <c r="GJ92" i="1"/>
  <c r="GK92" i="1"/>
  <c r="GL92" i="1"/>
  <c r="DP90" i="1"/>
  <c r="DP92" i="1" s="1"/>
  <c r="CO91" i="1"/>
  <c r="CO92" i="1" s="1"/>
  <c r="DA91" i="1"/>
  <c r="DA92" i="1" s="1"/>
  <c r="DU91" i="1"/>
  <c r="DU92" i="1" s="1"/>
  <c r="DW91" i="1"/>
  <c r="DW92" i="1" s="1"/>
  <c r="DX91" i="1"/>
  <c r="DX92" i="1" s="1"/>
  <c r="DY91" i="1"/>
  <c r="DY92" i="1" s="1"/>
  <c r="DZ91" i="1"/>
  <c r="DZ92" i="1" s="1"/>
  <c r="EB91" i="1"/>
  <c r="EB92" i="1" s="1"/>
  <c r="EC91" i="1"/>
  <c r="EC92" i="1" s="1"/>
  <c r="ED91" i="1"/>
  <c r="ED92" i="1" s="1"/>
  <c r="EE91" i="1"/>
  <c r="EE92" i="1" s="1"/>
  <c r="EF91" i="1"/>
  <c r="EF92" i="1" s="1"/>
  <c r="EI91" i="1"/>
  <c r="EJ91" i="1"/>
  <c r="GS91" i="1" s="1"/>
  <c r="EK91" i="1"/>
  <c r="EL91" i="1"/>
  <c r="EM91" i="1"/>
  <c r="EP91" i="1"/>
  <c r="EP92" i="1" s="1"/>
  <c r="EQ91" i="1"/>
  <c r="EQ92" i="1" s="1"/>
  <c r="ES91" i="1"/>
  <c r="ES92" i="1" s="1"/>
  <c r="ET91" i="1"/>
  <c r="ET92" i="1" s="1"/>
  <c r="EU91" i="1"/>
  <c r="EU92" i="1" s="1"/>
  <c r="EV91" i="1"/>
  <c r="EV92" i="1" s="1"/>
  <c r="EW91" i="1"/>
  <c r="EW92" i="1" s="1"/>
  <c r="EY91" i="1"/>
  <c r="EY92" i="1" s="1"/>
  <c r="FA91" i="1"/>
  <c r="FA92" i="1" s="1"/>
  <c r="FB91" i="1"/>
  <c r="FB92" i="1" s="1"/>
  <c r="FC91" i="1"/>
  <c r="FC92" i="1" s="1"/>
  <c r="FD91" i="1"/>
  <c r="FD92" i="1" s="1"/>
  <c r="FE91" i="1"/>
  <c r="FE92" i="1" s="1"/>
  <c r="FF91" i="1"/>
  <c r="FF92" i="1" s="1"/>
  <c r="FG91" i="1"/>
  <c r="FG92" i="1" s="1"/>
  <c r="FI91" i="1"/>
  <c r="FI92" i="1" s="1"/>
  <c r="FL91" i="1"/>
  <c r="FL92" i="1" s="1"/>
  <c r="FM91" i="1"/>
  <c r="FM92" i="1" s="1"/>
  <c r="FN91" i="1"/>
  <c r="FN92" i="1" s="1"/>
  <c r="FO91" i="1"/>
  <c r="FO92" i="1" s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EW99" i="1"/>
  <c r="EX99" i="1"/>
  <c r="EY99" i="1"/>
  <c r="EZ99" i="1"/>
  <c r="FA99" i="1"/>
  <c r="FB99" i="1"/>
  <c r="FC99" i="1"/>
  <c r="FD99" i="1"/>
  <c r="FE99" i="1"/>
  <c r="FF99" i="1"/>
  <c r="FG99" i="1"/>
  <c r="FH99" i="1"/>
  <c r="FI99" i="1"/>
  <c r="FJ99" i="1"/>
  <c r="FK99" i="1"/>
  <c r="FL99" i="1"/>
  <c r="FM99" i="1"/>
  <c r="FN99" i="1"/>
  <c r="FO99" i="1"/>
  <c r="FP99" i="1"/>
  <c r="FQ99" i="1"/>
  <c r="FR99" i="1"/>
  <c r="FS99" i="1"/>
  <c r="FT99" i="1"/>
  <c r="FU99" i="1"/>
  <c r="FV99" i="1"/>
  <c r="FW99" i="1"/>
  <c r="FX99" i="1"/>
  <c r="FY99" i="1"/>
  <c r="FZ99" i="1"/>
  <c r="GA99" i="1"/>
  <c r="GB99" i="1"/>
  <c r="GC99" i="1"/>
  <c r="GD99" i="1"/>
  <c r="GE99" i="1"/>
  <c r="GF99" i="1"/>
  <c r="GG99" i="1"/>
  <c r="GH99" i="1"/>
  <c r="GI99" i="1"/>
  <c r="GJ99" i="1"/>
  <c r="GK99" i="1"/>
  <c r="GL99" i="1"/>
  <c r="GT92" i="1"/>
  <c r="GT99" i="1"/>
  <c r="AB6" i="15"/>
  <c r="AB11" i="15"/>
  <c r="AB16" i="15"/>
  <c r="AB21" i="15"/>
  <c r="AB26" i="15"/>
  <c r="AB31" i="15"/>
  <c r="AB35" i="15"/>
  <c r="AB41" i="15"/>
  <c r="AB46" i="15"/>
  <c r="AB51" i="15"/>
  <c r="AB54" i="15"/>
  <c r="GN7" i="1"/>
  <c r="GZ7" i="1" s="1"/>
  <c r="GN14" i="1"/>
  <c r="GZ14" i="1" s="1"/>
  <c r="GN21" i="1"/>
  <c r="GZ21" i="1" s="1"/>
  <c r="GN28" i="1"/>
  <c r="GZ28" i="1" s="1"/>
  <c r="GN35" i="1"/>
  <c r="GZ35" i="1" s="1"/>
  <c r="GN42" i="1"/>
  <c r="GZ42" i="1" s="1"/>
  <c r="GN56" i="1"/>
  <c r="GZ56" i="1" s="1"/>
  <c r="GN63" i="1"/>
  <c r="GZ63" i="1" s="1"/>
  <c r="GN70" i="1"/>
  <c r="GZ70" i="1" s="1"/>
  <c r="GN72" i="1"/>
  <c r="AG46" i="15" l="1"/>
  <c r="AG35" i="15"/>
  <c r="AF35" i="15"/>
  <c r="AF43" i="16" s="1"/>
  <c r="GY92" i="1"/>
  <c r="GW99" i="1"/>
  <c r="GX99" i="1"/>
  <c r="GY99" i="1"/>
  <c r="HA99" i="1"/>
  <c r="GR101" i="1"/>
  <c r="GR102" i="1" s="1"/>
  <c r="GS99" i="1"/>
  <c r="AC52" i="15"/>
  <c r="AH48" i="15"/>
  <c r="AH52" i="15" s="1"/>
  <c r="GV49" i="1" s="1"/>
  <c r="GW92" i="1"/>
  <c r="GX92" i="1"/>
  <c r="GR94" i="1"/>
  <c r="GR95" i="1" s="1"/>
  <c r="GS92" i="1"/>
  <c r="AF55" i="15"/>
  <c r="AF56" i="15" s="1"/>
  <c r="AF36" i="15"/>
  <c r="AF37" i="15" s="1"/>
  <c r="GQ94" i="1"/>
  <c r="GQ95" i="1" s="1"/>
  <c r="GQ101" i="1"/>
  <c r="GQ102" i="1" s="1"/>
  <c r="GM100" i="1"/>
  <c r="GP101" i="1"/>
  <c r="GP102" i="1" s="1"/>
  <c r="GP94" i="1"/>
  <c r="GP95" i="1" s="1"/>
  <c r="AC53" i="15"/>
  <c r="GN43" i="1"/>
  <c r="GO43" i="1"/>
  <c r="GN15" i="1"/>
  <c r="GO15" i="1"/>
  <c r="GL93" i="1"/>
  <c r="GM93" i="1"/>
  <c r="GN86" i="1"/>
  <c r="GO86" i="1"/>
  <c r="GN50" i="1"/>
  <c r="GO50" i="1"/>
  <c r="GN71" i="1"/>
  <c r="GO71" i="1"/>
  <c r="GN36" i="1"/>
  <c r="GO36" i="1"/>
  <c r="AC39" i="16"/>
  <c r="AC41" i="16" s="1"/>
  <c r="AC44" i="16" s="1"/>
  <c r="GN8" i="1"/>
  <c r="GO8" i="1"/>
  <c r="GN64" i="1"/>
  <c r="GO64" i="1"/>
  <c r="AC10" i="16"/>
  <c r="AC12" i="16" s="1"/>
  <c r="AC15" i="16" s="1"/>
  <c r="GN29" i="1"/>
  <c r="GO29" i="1"/>
  <c r="GN57" i="1"/>
  <c r="GO57" i="1"/>
  <c r="GN22" i="1"/>
  <c r="GO22" i="1"/>
  <c r="GL100" i="1"/>
  <c r="GO101" i="1"/>
  <c r="GO102" i="1" s="1"/>
  <c r="GO94" i="1"/>
  <c r="GO95" i="1" s="1"/>
  <c r="AB29" i="16"/>
  <c r="AB32" i="16" s="1"/>
  <c r="AC28" i="16"/>
  <c r="AC29" i="16" s="1"/>
  <c r="AC32" i="16" s="1"/>
  <c r="AB18" i="16"/>
  <c r="AB21" i="16" s="1"/>
  <c r="AC16" i="16"/>
  <c r="AC18" i="16" s="1"/>
  <c r="AC21" i="16" s="1"/>
  <c r="AB24" i="16"/>
  <c r="AB27" i="16" s="1"/>
  <c r="AC22" i="16"/>
  <c r="AC24" i="16" s="1"/>
  <c r="AC27" i="16" s="1"/>
  <c r="AB35" i="16"/>
  <c r="AB38" i="16" s="1"/>
  <c r="AC33" i="16"/>
  <c r="AC35" i="16" s="1"/>
  <c r="AC38" i="16" s="1"/>
  <c r="AC56" i="16"/>
  <c r="AB52" i="16"/>
  <c r="AB55" i="16" s="1"/>
  <c r="AC51" i="16"/>
  <c r="AC52" i="16" s="1"/>
  <c r="AC55" i="16" s="1"/>
  <c r="GM77" i="1"/>
  <c r="AB56" i="16"/>
  <c r="AB57" i="16" s="1"/>
  <c r="AB60" i="16" s="1"/>
  <c r="AB47" i="16"/>
  <c r="AB50" i="16" s="1"/>
  <c r="AC45" i="16"/>
  <c r="AC47" i="16" s="1"/>
  <c r="AC50" i="16" s="1"/>
  <c r="AB6" i="16"/>
  <c r="AB9" i="16" s="1"/>
  <c r="AC3" i="16"/>
  <c r="AC6" i="16" s="1"/>
  <c r="AC9" i="16" s="1"/>
  <c r="EI92" i="1"/>
  <c r="HA92" i="1" s="1"/>
  <c r="EK92" i="1"/>
  <c r="EJ92" i="1"/>
  <c r="GM131" i="1"/>
  <c r="EL92" i="1"/>
  <c r="EM92" i="1"/>
  <c r="GM101" i="1"/>
  <c r="GM102" i="1" s="1"/>
  <c r="AB53" i="15"/>
  <c r="AB47" i="15"/>
  <c r="AB55" i="15"/>
  <c r="AB56" i="15" s="1"/>
  <c r="AB43" i="16"/>
  <c r="AB82" i="16" s="1"/>
  <c r="GN77" i="1"/>
  <c r="GZ77" i="1" s="1"/>
  <c r="GN124" i="1"/>
  <c r="GN123" i="1"/>
  <c r="GN118" i="1"/>
  <c r="GZ118" i="1" s="1"/>
  <c r="AB12" i="16"/>
  <c r="AB52" i="15"/>
  <c r="GN131" i="1"/>
  <c r="AB41" i="16"/>
  <c r="AB42" i="15"/>
  <c r="AB32" i="15"/>
  <c r="AB27" i="15"/>
  <c r="AB17" i="15"/>
  <c r="AB7" i="15"/>
  <c r="AB22" i="15"/>
  <c r="AB12" i="15"/>
  <c r="AB36" i="15"/>
  <c r="AA49" i="16"/>
  <c r="AA8" i="16"/>
  <c r="AA14" i="16"/>
  <c r="AA20" i="16"/>
  <c r="AA26" i="16"/>
  <c r="AA31" i="16"/>
  <c r="AA37" i="16"/>
  <c r="AA54" i="16"/>
  <c r="AA59" i="16"/>
  <c r="AA3" i="15"/>
  <c r="AA6" i="15"/>
  <c r="AA8" i="15"/>
  <c r="AA11" i="15"/>
  <c r="AA13" i="15"/>
  <c r="AA16" i="15"/>
  <c r="AA18" i="15"/>
  <c r="AA21" i="15"/>
  <c r="AA23" i="15"/>
  <c r="AA26" i="15"/>
  <c r="AA28" i="15"/>
  <c r="AA31" i="15"/>
  <c r="AA33" i="15"/>
  <c r="AA35" i="15"/>
  <c r="AA36" i="15" s="1"/>
  <c r="AA43" i="15"/>
  <c r="AA46" i="15"/>
  <c r="AA51" i="15"/>
  <c r="AA54" i="15"/>
  <c r="GL113" i="1"/>
  <c r="GL106" i="1"/>
  <c r="GL48" i="1"/>
  <c r="GL85" i="1"/>
  <c r="GL72" i="1"/>
  <c r="GL70" i="1"/>
  <c r="GL63" i="1"/>
  <c r="GL56" i="1"/>
  <c r="GL42" i="1"/>
  <c r="GL35" i="1"/>
  <c r="GL28" i="1"/>
  <c r="GL21" i="1"/>
  <c r="GL14" i="1"/>
  <c r="GL7" i="1"/>
  <c r="AH46" i="15" l="1"/>
  <c r="AH47" i="15" s="1"/>
  <c r="GV42" i="1" s="1"/>
  <c r="AG47" i="15"/>
  <c r="GV41" i="1" s="1"/>
  <c r="AF57" i="15"/>
  <c r="AG36" i="15"/>
  <c r="AG55" i="15"/>
  <c r="AG56" i="15" s="1"/>
  <c r="AG57" i="15" s="1"/>
  <c r="AC57" i="15"/>
  <c r="AH53" i="15"/>
  <c r="AF82" i="16"/>
  <c r="AF83" i="16" s="1"/>
  <c r="AF44" i="16"/>
  <c r="AB37" i="15"/>
  <c r="GP78" i="1"/>
  <c r="GM8" i="1"/>
  <c r="AA45" i="16"/>
  <c r="AA47" i="16" s="1"/>
  <c r="GM36" i="1"/>
  <c r="GM71" i="1"/>
  <c r="GM107" i="1"/>
  <c r="AA22" i="16"/>
  <c r="AA24" i="16" s="1"/>
  <c r="AA27" i="16" s="1"/>
  <c r="GM15" i="1"/>
  <c r="GM43" i="1"/>
  <c r="GM114" i="1"/>
  <c r="GN119" i="1"/>
  <c r="GO119" i="1"/>
  <c r="GM22" i="1"/>
  <c r="AA28" i="16"/>
  <c r="AA29" i="16" s="1"/>
  <c r="GM57" i="1"/>
  <c r="GM86" i="1"/>
  <c r="AA10" i="16"/>
  <c r="AA12" i="16" s="1"/>
  <c r="AA15" i="16" s="1"/>
  <c r="GM29" i="1"/>
  <c r="GM64" i="1"/>
  <c r="GL49" i="1"/>
  <c r="GL76" i="1"/>
  <c r="GL124" i="1" s="1"/>
  <c r="AA48" i="15"/>
  <c r="GM125" i="1"/>
  <c r="GO78" i="1"/>
  <c r="AA42" i="15"/>
  <c r="GM94" i="1"/>
  <c r="GM95" i="1" s="1"/>
  <c r="AB81" i="16"/>
  <c r="AB83" i="16" s="1"/>
  <c r="AB44" i="16"/>
  <c r="AA33" i="16"/>
  <c r="AA35" i="16" s="1"/>
  <c r="GN125" i="1"/>
  <c r="GZ125" i="1" s="1"/>
  <c r="AB15" i="16"/>
  <c r="AA16" i="16"/>
  <c r="AA18" i="16" s="1"/>
  <c r="AA39" i="16"/>
  <c r="AA41" i="16" s="1"/>
  <c r="AA3" i="16"/>
  <c r="AA6" i="16" s="1"/>
  <c r="AA9" i="16" s="1"/>
  <c r="AA51" i="16"/>
  <c r="AA52" i="16" s="1"/>
  <c r="AA55" i="16" s="1"/>
  <c r="AA27" i="15"/>
  <c r="AA43" i="16"/>
  <c r="AA7" i="15"/>
  <c r="AA32" i="16"/>
  <c r="AA32" i="15"/>
  <c r="AA12" i="15"/>
  <c r="AA37" i="15"/>
  <c r="AA55" i="15"/>
  <c r="AA56" i="15" s="1"/>
  <c r="AA22" i="15"/>
  <c r="AA47" i="15"/>
  <c r="AA17" i="15"/>
  <c r="GL118" i="1"/>
  <c r="GL123" i="1"/>
  <c r="Z36" i="16"/>
  <c r="GK55" i="1"/>
  <c r="AH56" i="15" l="1"/>
  <c r="AH57" i="15" s="1"/>
  <c r="AH36" i="15"/>
  <c r="AH37" i="15" s="1"/>
  <c r="GV7" i="1" s="1"/>
  <c r="AG37" i="15"/>
  <c r="GV6" i="1" s="1"/>
  <c r="GO126" i="1"/>
  <c r="AA52" i="15"/>
  <c r="GM50" i="1"/>
  <c r="GM119" i="1"/>
  <c r="GN126" i="1"/>
  <c r="GL77" i="1"/>
  <c r="AA53" i="15"/>
  <c r="AA21" i="16"/>
  <c r="AA38" i="16"/>
  <c r="AA44" i="16"/>
  <c r="AA56" i="16"/>
  <c r="AA57" i="16" s="1"/>
  <c r="AA82" i="16"/>
  <c r="GL131" i="1"/>
  <c r="Z3" i="15"/>
  <c r="Z6" i="15"/>
  <c r="Z8" i="15"/>
  <c r="Z11" i="15"/>
  <c r="Z13" i="15"/>
  <c r="Z16" i="15"/>
  <c r="Z18" i="15"/>
  <c r="Z21" i="15"/>
  <c r="Z26" i="15"/>
  <c r="Z28" i="15"/>
  <c r="Z31" i="15"/>
  <c r="Z33" i="15"/>
  <c r="Z35" i="15"/>
  <c r="Z55" i="15" s="1"/>
  <c r="Z38" i="15"/>
  <c r="Z41" i="15"/>
  <c r="Z43" i="15"/>
  <c r="Z46" i="15"/>
  <c r="Z51" i="15"/>
  <c r="Z54" i="15"/>
  <c r="Z8" i="16"/>
  <c r="Z14" i="16"/>
  <c r="Z20" i="16"/>
  <c r="Z26" i="16"/>
  <c r="Z31" i="16"/>
  <c r="Z37" i="16"/>
  <c r="Z54" i="16"/>
  <c r="Z59" i="16"/>
  <c r="GK48" i="1"/>
  <c r="GK113" i="1"/>
  <c r="GK106" i="1"/>
  <c r="GK54" i="1"/>
  <c r="GK75" i="1" s="1"/>
  <c r="GK85" i="1"/>
  <c r="GK72" i="1"/>
  <c r="GK70" i="1"/>
  <c r="GK63" i="1"/>
  <c r="GK42" i="1"/>
  <c r="GK35" i="1"/>
  <c r="GK28" i="1"/>
  <c r="GK21" i="1"/>
  <c r="GK14" i="1"/>
  <c r="GK7" i="1"/>
  <c r="Y8" i="16"/>
  <c r="Y14" i="16"/>
  <c r="Y20" i="16"/>
  <c r="Y26" i="16"/>
  <c r="Y31" i="16"/>
  <c r="Y37" i="16"/>
  <c r="Y54" i="16"/>
  <c r="Y59" i="16"/>
  <c r="Y3" i="15"/>
  <c r="Y6" i="15"/>
  <c r="Y8" i="15"/>
  <c r="Y11" i="15"/>
  <c r="Y13" i="15"/>
  <c r="Y16" i="15"/>
  <c r="Y18" i="15"/>
  <c r="Y21" i="15"/>
  <c r="Y23" i="15"/>
  <c r="Y26" i="15"/>
  <c r="Y28" i="15"/>
  <c r="Y31" i="15"/>
  <c r="Y33" i="15"/>
  <c r="Y35" i="15"/>
  <c r="Y36" i="15" s="1"/>
  <c r="Y38" i="15"/>
  <c r="Y41" i="15"/>
  <c r="Y43" i="15"/>
  <c r="Y46" i="15"/>
  <c r="Y51" i="15"/>
  <c r="Y54" i="15"/>
  <c r="GL64" i="1" l="1"/>
  <c r="GL43" i="1"/>
  <c r="GL71" i="1"/>
  <c r="GL86" i="1"/>
  <c r="GL22" i="1"/>
  <c r="GL29" i="1"/>
  <c r="GL107" i="1"/>
  <c r="GL15" i="1"/>
  <c r="GL114" i="1"/>
  <c r="GK49" i="1"/>
  <c r="GK76" i="1"/>
  <c r="GK124" i="1" s="1"/>
  <c r="Z48" i="15"/>
  <c r="GN78" i="1"/>
  <c r="GK56" i="1"/>
  <c r="GK123" i="1"/>
  <c r="GL125" i="1"/>
  <c r="AA60" i="16"/>
  <c r="AA81" i="16"/>
  <c r="AA83" i="16" s="1"/>
  <c r="Y42" i="15"/>
  <c r="Z42" i="15"/>
  <c r="Z10" i="16"/>
  <c r="Z12" i="16" s="1"/>
  <c r="Z16" i="16"/>
  <c r="Z18" i="16" s="1"/>
  <c r="Z39" i="16"/>
  <c r="Z41" i="16" s="1"/>
  <c r="GL8" i="1"/>
  <c r="Z22" i="16"/>
  <c r="Z24" i="16" s="1"/>
  <c r="Z51" i="16"/>
  <c r="Z52" i="16" s="1"/>
  <c r="Z3" i="16"/>
  <c r="Z6" i="16" s="1"/>
  <c r="Z33" i="16"/>
  <c r="Z35" i="16" s="1"/>
  <c r="Z38" i="16" s="1"/>
  <c r="Z22" i="15"/>
  <c r="Z47" i="15"/>
  <c r="Z23" i="15"/>
  <c r="Z32" i="15"/>
  <c r="Z12" i="15"/>
  <c r="Z56" i="15"/>
  <c r="Z7" i="15"/>
  <c r="Z36" i="15"/>
  <c r="Z43" i="16"/>
  <c r="Z82" i="16" s="1"/>
  <c r="Z17" i="15"/>
  <c r="Y32" i="15"/>
  <c r="GK118" i="1"/>
  <c r="Y27" i="15"/>
  <c r="Y17" i="15"/>
  <c r="Y43" i="16"/>
  <c r="Y82" i="16" s="1"/>
  <c r="Y47" i="15"/>
  <c r="Y22" i="15"/>
  <c r="Y12" i="15"/>
  <c r="Y37" i="15"/>
  <c r="Y7" i="15"/>
  <c r="Y55" i="15"/>
  <c r="Y56" i="15" s="1"/>
  <c r="GJ113" i="1"/>
  <c r="GJ106" i="1"/>
  <c r="GK100" i="1"/>
  <c r="GJ48" i="1"/>
  <c r="GK93" i="1"/>
  <c r="GL119" i="1" l="1"/>
  <c r="GL57" i="1"/>
  <c r="GL50" i="1"/>
  <c r="GJ76" i="1"/>
  <c r="GJ124" i="1" s="1"/>
  <c r="GJ49" i="1"/>
  <c r="GK107" i="1"/>
  <c r="GK114" i="1"/>
  <c r="GM126" i="1"/>
  <c r="Z37" i="15"/>
  <c r="Z52" i="15"/>
  <c r="Z53" i="15"/>
  <c r="Y48" i="15"/>
  <c r="Z28" i="16"/>
  <c r="Z29" i="16" s="1"/>
  <c r="Z27" i="16"/>
  <c r="Z21" i="16"/>
  <c r="Z15" i="16"/>
  <c r="Z9" i="16"/>
  <c r="Z56" i="16"/>
  <c r="Z57" i="16" s="1"/>
  <c r="Z55" i="16"/>
  <c r="Z27" i="15"/>
  <c r="Z44" i="16"/>
  <c r="GK77" i="1"/>
  <c r="GK131" i="1"/>
  <c r="GJ85" i="1"/>
  <c r="GJ72" i="1"/>
  <c r="GJ70" i="1"/>
  <c r="GJ63" i="1"/>
  <c r="GJ56" i="1"/>
  <c r="GJ42" i="1"/>
  <c r="GJ35" i="1"/>
  <c r="GJ28" i="1"/>
  <c r="GJ21" i="1"/>
  <c r="GJ14" i="1"/>
  <c r="GJ7" i="1"/>
  <c r="X3" i="15"/>
  <c r="X6" i="15"/>
  <c r="X8" i="15"/>
  <c r="X11" i="15"/>
  <c r="X13" i="15"/>
  <c r="X16" i="15"/>
  <c r="X18" i="15"/>
  <c r="X21" i="15"/>
  <c r="X23" i="15"/>
  <c r="X26" i="15"/>
  <c r="X28" i="15"/>
  <c r="X31" i="15"/>
  <c r="X33" i="15"/>
  <c r="X35" i="15"/>
  <c r="X55" i="15" s="1"/>
  <c r="X38" i="15"/>
  <c r="X41" i="15"/>
  <c r="X46" i="15"/>
  <c r="X51" i="15"/>
  <c r="X54" i="15"/>
  <c r="X8" i="16"/>
  <c r="X14" i="16"/>
  <c r="X20" i="16"/>
  <c r="X26" i="16"/>
  <c r="X31" i="16"/>
  <c r="X37" i="16"/>
  <c r="X54" i="16"/>
  <c r="X59" i="16"/>
  <c r="GI113" i="1"/>
  <c r="GI106" i="1"/>
  <c r="GJ100" i="1"/>
  <c r="GI48" i="1"/>
  <c r="GI49" i="1" s="1"/>
  <c r="GJ93" i="1"/>
  <c r="GI41" i="1"/>
  <c r="GI40" i="1"/>
  <c r="GI75" i="1" s="1"/>
  <c r="GI85" i="1"/>
  <c r="GI72" i="1"/>
  <c r="GI70" i="1"/>
  <c r="GI63" i="1"/>
  <c r="GI56" i="1"/>
  <c r="GI35" i="1"/>
  <c r="GI28" i="1"/>
  <c r="GI21" i="1"/>
  <c r="GI14" i="1"/>
  <c r="GI7" i="1"/>
  <c r="W37" i="16"/>
  <c r="W31" i="16"/>
  <c r="W26" i="16"/>
  <c r="W20" i="16"/>
  <c r="W14" i="16"/>
  <c r="W8" i="16"/>
  <c r="W59" i="16"/>
  <c r="W54" i="16"/>
  <c r="W26" i="15"/>
  <c r="W23" i="15"/>
  <c r="W21" i="15"/>
  <c r="W18" i="15"/>
  <c r="W16" i="15"/>
  <c r="W13" i="15"/>
  <c r="W11" i="15"/>
  <c r="W8" i="15"/>
  <c r="W6" i="15"/>
  <c r="W3" i="15"/>
  <c r="W54" i="15"/>
  <c r="W51" i="15"/>
  <c r="W46" i="15"/>
  <c r="W43" i="15"/>
  <c r="W41" i="15"/>
  <c r="W38" i="15"/>
  <c r="W35" i="15"/>
  <c r="W43" i="16" s="1"/>
  <c r="W33" i="15"/>
  <c r="W31" i="15"/>
  <c r="W28" i="15"/>
  <c r="GH48" i="1"/>
  <c r="GI76" i="1" l="1"/>
  <c r="GI124" i="1" s="1"/>
  <c r="GH49" i="1"/>
  <c r="GH76" i="1"/>
  <c r="Y53" i="15"/>
  <c r="GI123" i="1"/>
  <c r="Y52" i="15"/>
  <c r="X10" i="16"/>
  <c r="X12" i="16" s="1"/>
  <c r="X16" i="16"/>
  <c r="X18" i="16" s="1"/>
  <c r="X21" i="16" s="1"/>
  <c r="X43" i="15"/>
  <c r="GJ107" i="1"/>
  <c r="X33" i="16"/>
  <c r="X35" i="16" s="1"/>
  <c r="X38" i="16" s="1"/>
  <c r="Z32" i="16"/>
  <c r="GJ114" i="1"/>
  <c r="X3" i="16"/>
  <c r="X6" i="16" s="1"/>
  <c r="GL78" i="1"/>
  <c r="GM78" i="1"/>
  <c r="W48" i="15"/>
  <c r="W53" i="15" s="1"/>
  <c r="GH124" i="1"/>
  <c r="X39" i="16"/>
  <c r="X41" i="16" s="1"/>
  <c r="X22" i="16"/>
  <c r="X24" i="16" s="1"/>
  <c r="X27" i="16" s="1"/>
  <c r="X28" i="16"/>
  <c r="X29" i="16" s="1"/>
  <c r="X32" i="16" s="1"/>
  <c r="X56" i="16"/>
  <c r="X57" i="16" s="1"/>
  <c r="AB57" i="15"/>
  <c r="W42" i="15"/>
  <c r="X42" i="15"/>
  <c r="Z60" i="16"/>
  <c r="Z81" i="16"/>
  <c r="Z83" i="16" s="1"/>
  <c r="GK57" i="1"/>
  <c r="GK43" i="1"/>
  <c r="GK22" i="1"/>
  <c r="GK71" i="1"/>
  <c r="GK29" i="1"/>
  <c r="GK86" i="1"/>
  <c r="GK8" i="1"/>
  <c r="GK64" i="1"/>
  <c r="GK15" i="1"/>
  <c r="GK125" i="1"/>
  <c r="X17" i="15"/>
  <c r="GJ57" i="1"/>
  <c r="Y28" i="16"/>
  <c r="Y29" i="16" s="1"/>
  <c r="GJ64" i="1"/>
  <c r="Y33" i="16"/>
  <c r="Y35" i="16" s="1"/>
  <c r="Y3" i="16"/>
  <c r="Y6" i="16" s="1"/>
  <c r="Y10" i="16"/>
  <c r="Y12" i="16" s="1"/>
  <c r="GJ86" i="1"/>
  <c r="Y39" i="16"/>
  <c r="Y41" i="16" s="1"/>
  <c r="Y51" i="16"/>
  <c r="Y52" i="16" s="1"/>
  <c r="Y22" i="16"/>
  <c r="Y24" i="16" s="1"/>
  <c r="GJ71" i="1"/>
  <c r="Y16" i="16"/>
  <c r="Y18" i="16" s="1"/>
  <c r="GJ123" i="1"/>
  <c r="GJ8" i="1"/>
  <c r="GJ15" i="1"/>
  <c r="GJ22" i="1"/>
  <c r="GJ29" i="1"/>
  <c r="GJ118" i="1"/>
  <c r="W22" i="15"/>
  <c r="X48" i="15"/>
  <c r="X22" i="15"/>
  <c r="X27" i="15"/>
  <c r="X32" i="15"/>
  <c r="X12" i="15"/>
  <c r="X43" i="16"/>
  <c r="X7" i="15"/>
  <c r="X36" i="15"/>
  <c r="X56" i="15"/>
  <c r="W12" i="15"/>
  <c r="GI42" i="1"/>
  <c r="W47" i="15"/>
  <c r="GI118" i="1"/>
  <c r="W17" i="15"/>
  <c r="W7" i="15"/>
  <c r="W32" i="15"/>
  <c r="W27" i="15"/>
  <c r="W82" i="16"/>
  <c r="W55" i="15"/>
  <c r="W56" i="15" s="1"/>
  <c r="W36" i="15"/>
  <c r="GH106" i="1"/>
  <c r="GH113" i="1"/>
  <c r="GH85" i="1"/>
  <c r="GH72" i="1"/>
  <c r="GH70" i="1"/>
  <c r="GH63" i="1"/>
  <c r="GH56" i="1"/>
  <c r="GH42" i="1"/>
  <c r="GH35" i="1"/>
  <c r="GH28" i="1"/>
  <c r="GH21" i="1"/>
  <c r="GH14" i="1"/>
  <c r="GH7" i="1"/>
  <c r="V54" i="15"/>
  <c r="V51" i="15"/>
  <c r="V46" i="15"/>
  <c r="V41" i="15"/>
  <c r="V38" i="15"/>
  <c r="V43" i="15"/>
  <c r="V35" i="15"/>
  <c r="V31" i="15"/>
  <c r="V28" i="15"/>
  <c r="V26" i="15"/>
  <c r="V23" i="15"/>
  <c r="V21" i="15"/>
  <c r="V18" i="15"/>
  <c r="V16" i="15"/>
  <c r="V13" i="15"/>
  <c r="V11" i="15"/>
  <c r="V8" i="15"/>
  <c r="V6" i="15"/>
  <c r="V3" i="15"/>
  <c r="V59" i="16"/>
  <c r="V54" i="16"/>
  <c r="V20" i="16"/>
  <c r="V14" i="16"/>
  <c r="V8" i="16"/>
  <c r="V37" i="16"/>
  <c r="V31" i="16"/>
  <c r="V26" i="16"/>
  <c r="GG48" i="1"/>
  <c r="GG106" i="1"/>
  <c r="GG113" i="1"/>
  <c r="GL126" i="1" l="1"/>
  <c r="GG49" i="1"/>
  <c r="W52" i="15"/>
  <c r="Y57" i="15"/>
  <c r="X9" i="16"/>
  <c r="X15" i="16"/>
  <c r="X47" i="15"/>
  <c r="X44" i="16"/>
  <c r="V48" i="15"/>
  <c r="V52" i="15" s="1"/>
  <c r="X51" i="16"/>
  <c r="X52" i="16" s="1"/>
  <c r="X81" i="16" s="1"/>
  <c r="X60" i="16"/>
  <c r="X37" i="15"/>
  <c r="X53" i="15"/>
  <c r="X57" i="15" s="1"/>
  <c r="GI86" i="1"/>
  <c r="W10" i="16"/>
  <c r="W12" i="16" s="1"/>
  <c r="GI93" i="1"/>
  <c r="GI114" i="1"/>
  <c r="W28" i="16"/>
  <c r="W29" i="16" s="1"/>
  <c r="GI107" i="1"/>
  <c r="W3" i="16"/>
  <c r="W6" i="16" s="1"/>
  <c r="W33" i="16"/>
  <c r="W35" i="16" s="1"/>
  <c r="GI100" i="1"/>
  <c r="W22" i="16"/>
  <c r="W24" i="16" s="1"/>
  <c r="W39" i="16"/>
  <c r="W41" i="16" s="1"/>
  <c r="W16" i="16"/>
  <c r="W18" i="16" s="1"/>
  <c r="AA57" i="15"/>
  <c r="W37" i="15"/>
  <c r="Z57" i="15"/>
  <c r="GK119" i="1"/>
  <c r="GK50" i="1"/>
  <c r="GJ43" i="1"/>
  <c r="Y15" i="16"/>
  <c r="Y27" i="16"/>
  <c r="Y9" i="16"/>
  <c r="Y55" i="16"/>
  <c r="Y38" i="16"/>
  <c r="Y44" i="16"/>
  <c r="Y21" i="16"/>
  <c r="Y32" i="16"/>
  <c r="GJ77" i="1"/>
  <c r="Y56" i="16"/>
  <c r="Y57" i="16" s="1"/>
  <c r="GJ119" i="1"/>
  <c r="X52" i="15"/>
  <c r="GJ131" i="1"/>
  <c r="GJ50" i="1"/>
  <c r="GI131" i="1"/>
  <c r="X82" i="16"/>
  <c r="GI77" i="1"/>
  <c r="GI15" i="1"/>
  <c r="GI8" i="1"/>
  <c r="GI64" i="1"/>
  <c r="GI43" i="1"/>
  <c r="W51" i="16"/>
  <c r="W52" i="16" s="1"/>
  <c r="GI57" i="1"/>
  <c r="GI71" i="1"/>
  <c r="GI22" i="1"/>
  <c r="GI29" i="1"/>
  <c r="W57" i="15"/>
  <c r="GH118" i="1"/>
  <c r="V12" i="15"/>
  <c r="V22" i="15"/>
  <c r="V32" i="15"/>
  <c r="GH93" i="1"/>
  <c r="GH100" i="1"/>
  <c r="GH107" i="1"/>
  <c r="GH114" i="1"/>
  <c r="GH123" i="1"/>
  <c r="V7" i="15"/>
  <c r="V17" i="15"/>
  <c r="V27" i="15"/>
  <c r="V47" i="15"/>
  <c r="V43" i="16"/>
  <c r="V55" i="15"/>
  <c r="V56" i="15" s="1"/>
  <c r="V36" i="15"/>
  <c r="V42" i="15"/>
  <c r="GG6" i="1"/>
  <c r="V33" i="15" s="1"/>
  <c r="GG5" i="1"/>
  <c r="GG75" i="1" s="1"/>
  <c r="GG85" i="1"/>
  <c r="GG72" i="1"/>
  <c r="GG70" i="1"/>
  <c r="GG63" i="1"/>
  <c r="GG56" i="1"/>
  <c r="GG42" i="1"/>
  <c r="GG35" i="1"/>
  <c r="GG28" i="1"/>
  <c r="GG21" i="1"/>
  <c r="GG14" i="1"/>
  <c r="U51" i="15"/>
  <c r="U31" i="16"/>
  <c r="U26" i="16"/>
  <c r="U20" i="16"/>
  <c r="U14" i="16"/>
  <c r="U8" i="16"/>
  <c r="U31" i="15"/>
  <c r="U38" i="15"/>
  <c r="T38" i="15"/>
  <c r="T41" i="15"/>
  <c r="U41" i="15"/>
  <c r="U28" i="15"/>
  <c r="T28" i="15"/>
  <c r="U26" i="15"/>
  <c r="U23" i="15"/>
  <c r="U21" i="15"/>
  <c r="U18" i="15"/>
  <c r="U16" i="15"/>
  <c r="U13" i="15"/>
  <c r="U11" i="15"/>
  <c r="U8" i="15"/>
  <c r="U6" i="15"/>
  <c r="U3" i="15"/>
  <c r="U54" i="15"/>
  <c r="U46" i="15"/>
  <c r="U43" i="15"/>
  <c r="U35" i="15"/>
  <c r="U33" i="15"/>
  <c r="U59" i="16"/>
  <c r="U54" i="16"/>
  <c r="U37" i="16"/>
  <c r="GF113" i="1"/>
  <c r="GY113" i="1" s="1"/>
  <c r="GF106" i="1"/>
  <c r="GY106" i="1" s="1"/>
  <c r="GF48" i="1"/>
  <c r="GF42" i="1"/>
  <c r="GY42" i="1" s="1"/>
  <c r="GF85" i="1"/>
  <c r="GF72" i="1"/>
  <c r="GF70" i="1"/>
  <c r="GF63" i="1"/>
  <c r="GY63" i="1" s="1"/>
  <c r="GF56" i="1"/>
  <c r="GY56" i="1" s="1"/>
  <c r="GF35" i="1"/>
  <c r="GY35" i="1" s="1"/>
  <c r="GF28" i="1"/>
  <c r="GF21" i="1"/>
  <c r="GF14" i="1"/>
  <c r="GF7" i="1"/>
  <c r="T49" i="16"/>
  <c r="T59" i="16"/>
  <c r="T54" i="16"/>
  <c r="T51" i="16"/>
  <c r="T52" i="16" s="1"/>
  <c r="T37" i="16"/>
  <c r="T31" i="16"/>
  <c r="T26" i="16"/>
  <c r="T20" i="16"/>
  <c r="T14" i="16"/>
  <c r="T8" i="16"/>
  <c r="T54" i="15"/>
  <c r="T51" i="15"/>
  <c r="T46" i="15"/>
  <c r="T43" i="15"/>
  <c r="T33" i="15"/>
  <c r="T35" i="15"/>
  <c r="T36" i="15" s="1"/>
  <c r="T31" i="15"/>
  <c r="T26" i="15"/>
  <c r="T23" i="15"/>
  <c r="T21" i="15"/>
  <c r="T18" i="15"/>
  <c r="T16" i="15"/>
  <c r="T13" i="15"/>
  <c r="T11" i="15"/>
  <c r="T8" i="15"/>
  <c r="T3" i="15"/>
  <c r="T6" i="15"/>
  <c r="GY28" i="1" l="1"/>
  <c r="GY70" i="1"/>
  <c r="GY14" i="1"/>
  <c r="GY85" i="1"/>
  <c r="GY21" i="1"/>
  <c r="GG76" i="1"/>
  <c r="GG124" i="1" s="1"/>
  <c r="GF76" i="1"/>
  <c r="GF124" i="1" s="1"/>
  <c r="GF49" i="1"/>
  <c r="GY49" i="1" s="1"/>
  <c r="X55" i="16"/>
  <c r="X83" i="16"/>
  <c r="U48" i="15"/>
  <c r="U53" i="15" s="1"/>
  <c r="GF123" i="1"/>
  <c r="W38" i="16"/>
  <c r="W9" i="16"/>
  <c r="W32" i="16"/>
  <c r="W44" i="16"/>
  <c r="W27" i="16"/>
  <c r="W15" i="16"/>
  <c r="W21" i="16"/>
  <c r="V53" i="15"/>
  <c r="GH22" i="1"/>
  <c r="GH43" i="1"/>
  <c r="GH15" i="1"/>
  <c r="GH86" i="1"/>
  <c r="GJ125" i="1"/>
  <c r="GK78" i="1"/>
  <c r="GF43" i="1"/>
  <c r="GJ78" i="1"/>
  <c r="Y60" i="16"/>
  <c r="Y81" i="16"/>
  <c r="Y83" i="16" s="1"/>
  <c r="U10" i="16"/>
  <c r="U12" i="16" s="1"/>
  <c r="GI119" i="1"/>
  <c r="GI125" i="1"/>
  <c r="W55" i="16"/>
  <c r="GH131" i="1"/>
  <c r="W56" i="16"/>
  <c r="W57" i="16" s="1"/>
  <c r="GI50" i="1"/>
  <c r="T32" i="15"/>
  <c r="T42" i="15"/>
  <c r="T12" i="15"/>
  <c r="U42" i="15"/>
  <c r="T22" i="15"/>
  <c r="U51" i="16"/>
  <c r="U52" i="16" s="1"/>
  <c r="GG71" i="1"/>
  <c r="GH71" i="1"/>
  <c r="V16" i="16"/>
  <c r="V18" i="16" s="1"/>
  <c r="V22" i="16"/>
  <c r="V24" i="16" s="1"/>
  <c r="V51" i="16"/>
  <c r="V52" i="16" s="1"/>
  <c r="V3" i="16"/>
  <c r="V6" i="16" s="1"/>
  <c r="GG57" i="1"/>
  <c r="V28" i="16"/>
  <c r="V29" i="16" s="1"/>
  <c r="GH57" i="1"/>
  <c r="V10" i="16"/>
  <c r="V12" i="16" s="1"/>
  <c r="GG64" i="1"/>
  <c r="V33" i="16"/>
  <c r="V35" i="16" s="1"/>
  <c r="GH64" i="1"/>
  <c r="GG7" i="1"/>
  <c r="GY7" i="1" s="1"/>
  <c r="V37" i="15"/>
  <c r="GH29" i="1"/>
  <c r="GH77" i="1"/>
  <c r="V82" i="16"/>
  <c r="GG123" i="1"/>
  <c r="GG118" i="1"/>
  <c r="GG15" i="1"/>
  <c r="U12" i="15"/>
  <c r="U47" i="15"/>
  <c r="U7" i="15"/>
  <c r="U17" i="15"/>
  <c r="U27" i="15"/>
  <c r="U22" i="16"/>
  <c r="U24" i="16" s="1"/>
  <c r="GG22" i="1"/>
  <c r="GG29" i="1"/>
  <c r="GG86" i="1"/>
  <c r="GG93" i="1"/>
  <c r="GG100" i="1"/>
  <c r="GG107" i="1"/>
  <c r="GG114" i="1"/>
  <c r="GG43" i="1"/>
  <c r="U16" i="16"/>
  <c r="U18" i="16" s="1"/>
  <c r="U22" i="15"/>
  <c r="T47" i="15"/>
  <c r="U39" i="16"/>
  <c r="U41" i="16" s="1"/>
  <c r="U32" i="15"/>
  <c r="U3" i="16"/>
  <c r="U6" i="16" s="1"/>
  <c r="U28" i="16"/>
  <c r="U29" i="16" s="1"/>
  <c r="U33" i="16"/>
  <c r="U35" i="16" s="1"/>
  <c r="U43" i="16"/>
  <c r="U55" i="15"/>
  <c r="U56" i="15" s="1"/>
  <c r="U36" i="15"/>
  <c r="U37" i="15" s="1"/>
  <c r="GF118" i="1"/>
  <c r="T17" i="15"/>
  <c r="T27" i="15"/>
  <c r="T55" i="16"/>
  <c r="T43" i="16"/>
  <c r="T82" i="16" s="1"/>
  <c r="T55" i="15"/>
  <c r="T56" i="15" s="1"/>
  <c r="T37" i="15"/>
  <c r="T7" i="15"/>
  <c r="GY118" i="1" l="1"/>
  <c r="U52" i="15"/>
  <c r="V57" i="15"/>
  <c r="GK126" i="1"/>
  <c r="U15" i="16"/>
  <c r="GH119" i="1"/>
  <c r="GJ126" i="1"/>
  <c r="GF77" i="1"/>
  <c r="GH125" i="1"/>
  <c r="GI126" i="1" s="1"/>
  <c r="GI78" i="1"/>
  <c r="W81" i="16"/>
  <c r="W83" i="16" s="1"/>
  <c r="W60" i="16"/>
  <c r="U9" i="16"/>
  <c r="U21" i="16"/>
  <c r="U55" i="16"/>
  <c r="U27" i="16"/>
  <c r="U38" i="16"/>
  <c r="GG131" i="1"/>
  <c r="V56" i="16"/>
  <c r="V57" i="16" s="1"/>
  <c r="V27" i="16"/>
  <c r="GG119" i="1"/>
  <c r="GG8" i="1"/>
  <c r="V39" i="16"/>
  <c r="V41" i="16" s="1"/>
  <c r="GH8" i="1"/>
  <c r="V15" i="16"/>
  <c r="V32" i="16"/>
  <c r="GH50" i="1"/>
  <c r="V55" i="16"/>
  <c r="V21" i="16"/>
  <c r="V38" i="16"/>
  <c r="V9" i="16"/>
  <c r="GG77" i="1"/>
  <c r="U32" i="16"/>
  <c r="GG50" i="1"/>
  <c r="U56" i="16"/>
  <c r="U57" i="16" s="1"/>
  <c r="U44" i="16"/>
  <c r="U82" i="16"/>
  <c r="U57" i="15"/>
  <c r="GF131" i="1"/>
  <c r="GE48" i="1"/>
  <c r="GE113" i="1"/>
  <c r="GE106" i="1"/>
  <c r="GE85" i="1"/>
  <c r="GE72" i="1"/>
  <c r="GE70" i="1"/>
  <c r="GE63" i="1"/>
  <c r="GE56" i="1"/>
  <c r="GE35" i="1"/>
  <c r="GE28" i="1"/>
  <c r="GE21" i="1"/>
  <c r="GE14" i="1"/>
  <c r="GE7" i="1"/>
  <c r="S35" i="15"/>
  <c r="GF125" i="1" l="1"/>
  <c r="GY77" i="1"/>
  <c r="GE49" i="1"/>
  <c r="GE76" i="1"/>
  <c r="GE124" i="1" s="1"/>
  <c r="T48" i="15"/>
  <c r="T53" i="15" s="1"/>
  <c r="T57" i="15" s="1"/>
  <c r="GE123" i="1"/>
  <c r="GF114" i="1"/>
  <c r="GF107" i="1"/>
  <c r="GF93" i="1"/>
  <c r="GF100" i="1"/>
  <c r="T45" i="16"/>
  <c r="T47" i="16" s="1"/>
  <c r="GF86" i="1"/>
  <c r="GH78" i="1"/>
  <c r="GG125" i="1"/>
  <c r="V44" i="16"/>
  <c r="V81" i="16"/>
  <c r="V83" i="16" s="1"/>
  <c r="V60" i="16"/>
  <c r="GG78" i="1"/>
  <c r="U60" i="16"/>
  <c r="U81" i="16"/>
  <c r="U83" i="16" s="1"/>
  <c r="T39" i="16"/>
  <c r="T41" i="16" s="1"/>
  <c r="GF8" i="1"/>
  <c r="T22" i="16"/>
  <c r="T24" i="16" s="1"/>
  <c r="GF15" i="1"/>
  <c r="T28" i="16"/>
  <c r="T29" i="16" s="1"/>
  <c r="GF57" i="1"/>
  <c r="T3" i="16"/>
  <c r="T6" i="16" s="1"/>
  <c r="GF22" i="1"/>
  <c r="T33" i="16"/>
  <c r="T35" i="16" s="1"/>
  <c r="GF64" i="1"/>
  <c r="T10" i="16"/>
  <c r="T12" i="16" s="1"/>
  <c r="GF29" i="1"/>
  <c r="T16" i="16"/>
  <c r="T18" i="16" s="1"/>
  <c r="GF71" i="1"/>
  <c r="GE118" i="1"/>
  <c r="S3" i="15"/>
  <c r="S6" i="15"/>
  <c r="S8" i="15"/>
  <c r="S11" i="15"/>
  <c r="S13" i="15"/>
  <c r="S16" i="15"/>
  <c r="S18" i="15"/>
  <c r="S21" i="15"/>
  <c r="S23" i="15"/>
  <c r="S26" i="15"/>
  <c r="S28" i="15"/>
  <c r="S31" i="15"/>
  <c r="S33" i="15"/>
  <c r="S36" i="15"/>
  <c r="S38" i="15"/>
  <c r="S41" i="15"/>
  <c r="S43" i="15"/>
  <c r="S46" i="15"/>
  <c r="S51" i="15"/>
  <c r="S54" i="15"/>
  <c r="S55" i="15"/>
  <c r="S8" i="16"/>
  <c r="S14" i="16"/>
  <c r="S20" i="16"/>
  <c r="S26" i="16"/>
  <c r="S31" i="16"/>
  <c r="S37" i="16"/>
  <c r="S43" i="16"/>
  <c r="S49" i="16"/>
  <c r="S54" i="16"/>
  <c r="S59" i="16"/>
  <c r="GD113" i="1"/>
  <c r="GD106" i="1"/>
  <c r="GD48" i="1"/>
  <c r="GD85" i="1"/>
  <c r="GD72" i="1"/>
  <c r="GD70" i="1"/>
  <c r="GD63" i="1"/>
  <c r="GD56" i="1"/>
  <c r="GD35" i="1"/>
  <c r="GD28" i="1"/>
  <c r="GD21" i="1"/>
  <c r="GD14" i="1"/>
  <c r="GD7" i="1"/>
  <c r="GY125" i="1" l="1"/>
  <c r="GE86" i="1"/>
  <c r="GE29" i="1"/>
  <c r="GD49" i="1"/>
  <c r="GD76" i="1"/>
  <c r="GD124" i="1" s="1"/>
  <c r="T52" i="15"/>
  <c r="GD123" i="1"/>
  <c r="S32" i="15"/>
  <c r="GF119" i="1"/>
  <c r="T56" i="16"/>
  <c r="T57" i="16" s="1"/>
  <c r="T60" i="16" s="1"/>
  <c r="GF50" i="1"/>
  <c r="GH126" i="1"/>
  <c r="GG126" i="1"/>
  <c r="GE100" i="1"/>
  <c r="GE93" i="1"/>
  <c r="GE114" i="1"/>
  <c r="T15" i="16"/>
  <c r="S12" i="15"/>
  <c r="T9" i="16"/>
  <c r="T27" i="16"/>
  <c r="T21" i="16"/>
  <c r="T38" i="16"/>
  <c r="S27" i="15"/>
  <c r="T32" i="16"/>
  <c r="T44" i="16"/>
  <c r="S37" i="15"/>
  <c r="S17" i="15"/>
  <c r="S45" i="16"/>
  <c r="S47" i="16" s="1"/>
  <c r="S10" i="16"/>
  <c r="S12" i="16" s="1"/>
  <c r="S15" i="16" s="1"/>
  <c r="S42" i="15"/>
  <c r="GE131" i="1"/>
  <c r="GE77" i="1"/>
  <c r="GE107" i="1"/>
  <c r="S48" i="15"/>
  <c r="S52" i="15" s="1"/>
  <c r="S16" i="16"/>
  <c r="S18" i="16" s="1"/>
  <c r="GE71" i="1"/>
  <c r="S33" i="16"/>
  <c r="S35" i="16" s="1"/>
  <c r="GE64" i="1"/>
  <c r="GE57" i="1"/>
  <c r="S28" i="16"/>
  <c r="S29" i="16" s="1"/>
  <c r="S32" i="16" s="1"/>
  <c r="S3" i="16"/>
  <c r="S6" i="16" s="1"/>
  <c r="GE22" i="1"/>
  <c r="GE15" i="1"/>
  <c r="S22" i="16"/>
  <c r="S24" i="16" s="1"/>
  <c r="S27" i="16" s="1"/>
  <c r="GE8" i="1"/>
  <c r="S39" i="16"/>
  <c r="S41" i="16" s="1"/>
  <c r="S44" i="16" s="1"/>
  <c r="S56" i="15"/>
  <c r="S7" i="15"/>
  <c r="S47" i="15"/>
  <c r="S22" i="15"/>
  <c r="S82" i="16"/>
  <c r="GD118" i="1"/>
  <c r="GD42" i="1"/>
  <c r="R8" i="16"/>
  <c r="R14" i="16"/>
  <c r="R20" i="16"/>
  <c r="R26" i="16"/>
  <c r="R31" i="16"/>
  <c r="R37" i="16"/>
  <c r="R49" i="16"/>
  <c r="R54" i="16"/>
  <c r="R59" i="16"/>
  <c r="R3" i="15"/>
  <c r="R6" i="15"/>
  <c r="R8" i="15"/>
  <c r="R11" i="15"/>
  <c r="R13" i="15"/>
  <c r="R16" i="15"/>
  <c r="R18" i="15"/>
  <c r="R21" i="15"/>
  <c r="R23" i="15"/>
  <c r="R26" i="15"/>
  <c r="R28" i="15"/>
  <c r="R31" i="15"/>
  <c r="R33" i="15"/>
  <c r="R38" i="15"/>
  <c r="R41" i="15"/>
  <c r="R46" i="15"/>
  <c r="R51" i="15"/>
  <c r="R54" i="15"/>
  <c r="GC41" i="1"/>
  <c r="GC106" i="1"/>
  <c r="GC113" i="1"/>
  <c r="GC48" i="1"/>
  <c r="GC49" i="1" s="1"/>
  <c r="GC85" i="1"/>
  <c r="GC72" i="1"/>
  <c r="GC70" i="1"/>
  <c r="GC63" i="1"/>
  <c r="GC56" i="1"/>
  <c r="GC35" i="1"/>
  <c r="GC28" i="1"/>
  <c r="GC21" i="1"/>
  <c r="GC14" i="1"/>
  <c r="GC7" i="1"/>
  <c r="Q8" i="16"/>
  <c r="Q14" i="16"/>
  <c r="Q20" i="16"/>
  <c r="Q26" i="16"/>
  <c r="Q31" i="16"/>
  <c r="Q37" i="16"/>
  <c r="Q49" i="16"/>
  <c r="Q54" i="16"/>
  <c r="Q59" i="16"/>
  <c r="Q3" i="15"/>
  <c r="Q6" i="15"/>
  <c r="Q8" i="15"/>
  <c r="Q11" i="15"/>
  <c r="Q13" i="15"/>
  <c r="Q16" i="15"/>
  <c r="Q18" i="15"/>
  <c r="Q21" i="15"/>
  <c r="Q23" i="15"/>
  <c r="Q26" i="15"/>
  <c r="Q28" i="15"/>
  <c r="Q31" i="15"/>
  <c r="Q33" i="15"/>
  <c r="Q35" i="15"/>
  <c r="Q38" i="15"/>
  <c r="Q41" i="15"/>
  <c r="Q43" i="15"/>
  <c r="Q46" i="15"/>
  <c r="Q51" i="15"/>
  <c r="Q54" i="15"/>
  <c r="GB113" i="1"/>
  <c r="GB106" i="1"/>
  <c r="GB48" i="1"/>
  <c r="GB85" i="1"/>
  <c r="GB72" i="1"/>
  <c r="GB70" i="1"/>
  <c r="GB65" i="1"/>
  <c r="GB63" i="1"/>
  <c r="GB56" i="1"/>
  <c r="GB42" i="1"/>
  <c r="GB35" i="1"/>
  <c r="GB28" i="1"/>
  <c r="GB21" i="1"/>
  <c r="GB14" i="1"/>
  <c r="GB7" i="1"/>
  <c r="S56" i="16" l="1"/>
  <c r="S57" i="16" s="1"/>
  <c r="S60" i="16" s="1"/>
  <c r="GC76" i="1"/>
  <c r="GC124" i="1" s="1"/>
  <c r="GB76" i="1"/>
  <c r="GB124" i="1" s="1"/>
  <c r="GB49" i="1"/>
  <c r="Q48" i="15"/>
  <c r="Q52" i="15" s="1"/>
  <c r="GB123" i="1"/>
  <c r="GC42" i="1"/>
  <c r="GC43" i="1" s="1"/>
  <c r="R48" i="15"/>
  <c r="R52" i="15" s="1"/>
  <c r="GC123" i="1"/>
  <c r="Q42" i="15"/>
  <c r="T81" i="16"/>
  <c r="T83" i="16" s="1"/>
  <c r="GF78" i="1"/>
  <c r="GE119" i="1"/>
  <c r="S21" i="16"/>
  <c r="R17" i="15"/>
  <c r="Q12" i="15"/>
  <c r="GD57" i="1"/>
  <c r="GD107" i="1"/>
  <c r="GD22" i="1"/>
  <c r="GD93" i="1"/>
  <c r="GD100" i="1"/>
  <c r="GD15" i="1"/>
  <c r="GD71" i="1"/>
  <c r="GD86" i="1"/>
  <c r="GD8" i="1"/>
  <c r="R45" i="16"/>
  <c r="R47" i="16" s="1"/>
  <c r="GD114" i="1"/>
  <c r="Q51" i="16"/>
  <c r="Q52" i="16" s="1"/>
  <c r="Q16" i="16"/>
  <c r="Q18" i="16" s="1"/>
  <c r="Q10" i="16"/>
  <c r="Q12" i="16" s="1"/>
  <c r="Q39" i="16"/>
  <c r="Q41" i="16" s="1"/>
  <c r="Q3" i="16"/>
  <c r="Q6" i="16" s="1"/>
  <c r="Q28" i="16"/>
  <c r="Q29" i="16" s="1"/>
  <c r="R10" i="16"/>
  <c r="R12" i="16" s="1"/>
  <c r="Q17" i="15"/>
  <c r="GD29" i="1"/>
  <c r="GD64" i="1"/>
  <c r="S38" i="16"/>
  <c r="GE50" i="1"/>
  <c r="S9" i="16"/>
  <c r="Q55" i="15"/>
  <c r="Q56" i="15" s="1"/>
  <c r="R35" i="15"/>
  <c r="R55" i="15" s="1"/>
  <c r="R56" i="15" s="1"/>
  <c r="R42" i="15"/>
  <c r="S53" i="15"/>
  <c r="S57" i="15" s="1"/>
  <c r="GE125" i="1"/>
  <c r="GD131" i="1"/>
  <c r="GE43" i="1"/>
  <c r="S51" i="16"/>
  <c r="S52" i="16" s="1"/>
  <c r="R27" i="15"/>
  <c r="Q22" i="16"/>
  <c r="Q24" i="16" s="1"/>
  <c r="R22" i="16"/>
  <c r="R24" i="16" s="1"/>
  <c r="R27" i="16" s="1"/>
  <c r="Q33" i="16"/>
  <c r="Q35" i="16" s="1"/>
  <c r="Q45" i="16"/>
  <c r="Q47" i="16" s="1"/>
  <c r="R16" i="16"/>
  <c r="R18" i="16" s="1"/>
  <c r="R32" i="15"/>
  <c r="R28" i="16"/>
  <c r="R29" i="16" s="1"/>
  <c r="R39" i="16"/>
  <c r="R41" i="16" s="1"/>
  <c r="GD77" i="1"/>
  <c r="R33" i="16"/>
  <c r="R35" i="16" s="1"/>
  <c r="R43" i="15"/>
  <c r="R3" i="16"/>
  <c r="R6" i="16" s="1"/>
  <c r="R12" i="15"/>
  <c r="R22" i="15"/>
  <c r="R7" i="15"/>
  <c r="Q47" i="15"/>
  <c r="Q27" i="15"/>
  <c r="GC71" i="1"/>
  <c r="GC64" i="1"/>
  <c r="Q22" i="15"/>
  <c r="GC118" i="1"/>
  <c r="GC114" i="1"/>
  <c r="GC107" i="1"/>
  <c r="GC100" i="1"/>
  <c r="GC93" i="1"/>
  <c r="GC86" i="1"/>
  <c r="GC57" i="1"/>
  <c r="GC22" i="1"/>
  <c r="GC15" i="1"/>
  <c r="GC8" i="1"/>
  <c r="Q7" i="15"/>
  <c r="Q32" i="15"/>
  <c r="Q43" i="16"/>
  <c r="Q36" i="15"/>
  <c r="Q37" i="15" s="1"/>
  <c r="GB118" i="1"/>
  <c r="P8" i="16"/>
  <c r="P14" i="16"/>
  <c r="P20" i="16"/>
  <c r="P26" i="16"/>
  <c r="P31" i="16"/>
  <c r="P37" i="16"/>
  <c r="P49" i="16"/>
  <c r="P54" i="16"/>
  <c r="P59" i="16"/>
  <c r="P3" i="15"/>
  <c r="P6" i="15"/>
  <c r="P8" i="15"/>
  <c r="P11" i="15"/>
  <c r="P13" i="15"/>
  <c r="P16" i="15"/>
  <c r="P18" i="15"/>
  <c r="P21" i="15"/>
  <c r="P23" i="15"/>
  <c r="P26" i="15"/>
  <c r="P28" i="15"/>
  <c r="P31" i="15"/>
  <c r="P33" i="15"/>
  <c r="P35" i="15"/>
  <c r="P55" i="15" s="1"/>
  <c r="P38" i="15"/>
  <c r="P41" i="15"/>
  <c r="P43" i="15"/>
  <c r="P46" i="15"/>
  <c r="P51" i="15"/>
  <c r="P54" i="15"/>
  <c r="GA113" i="1"/>
  <c r="GA106" i="1"/>
  <c r="GA84" i="1"/>
  <c r="GA85" i="1" s="1"/>
  <c r="GA48" i="1"/>
  <c r="GA12" i="1"/>
  <c r="GA72" i="1"/>
  <c r="GA70" i="1"/>
  <c r="GA65" i="1"/>
  <c r="GA63" i="1"/>
  <c r="GA56" i="1"/>
  <c r="GA42" i="1"/>
  <c r="GA35" i="1"/>
  <c r="GA28" i="1"/>
  <c r="GA21" i="1"/>
  <c r="GA7" i="1"/>
  <c r="O3" i="15"/>
  <c r="O6" i="15"/>
  <c r="O8" i="15"/>
  <c r="O11" i="15"/>
  <c r="O13" i="15"/>
  <c r="O16" i="15"/>
  <c r="O18" i="15"/>
  <c r="O21" i="15"/>
  <c r="O23" i="15"/>
  <c r="O26" i="15"/>
  <c r="O28" i="15"/>
  <c r="O31" i="15"/>
  <c r="O33" i="15"/>
  <c r="O54" i="15"/>
  <c r="O35" i="15"/>
  <c r="O55" i="15" s="1"/>
  <c r="O38" i="15"/>
  <c r="O41" i="15"/>
  <c r="O43" i="15"/>
  <c r="O46" i="15"/>
  <c r="O51" i="15"/>
  <c r="O8" i="16"/>
  <c r="O14" i="16"/>
  <c r="O20" i="16"/>
  <c r="O26" i="16"/>
  <c r="O31" i="16"/>
  <c r="O37" i="16"/>
  <c r="O49" i="16"/>
  <c r="O54" i="16"/>
  <c r="O59" i="16"/>
  <c r="FZ113" i="1"/>
  <c r="FZ106" i="1"/>
  <c r="FZ48" i="1"/>
  <c r="FZ85" i="1"/>
  <c r="FZ72" i="1"/>
  <c r="FZ70" i="1"/>
  <c r="FZ65" i="1"/>
  <c r="FZ63" i="1"/>
  <c r="FZ56" i="1"/>
  <c r="FZ42" i="1"/>
  <c r="FZ35" i="1"/>
  <c r="FZ28" i="1"/>
  <c r="FZ21" i="1"/>
  <c r="FZ14" i="1"/>
  <c r="FZ7" i="1"/>
  <c r="N30" i="16"/>
  <c r="N58" i="16"/>
  <c r="N53" i="16"/>
  <c r="N36" i="16"/>
  <c r="N25" i="16"/>
  <c r="N19" i="16"/>
  <c r="N7" i="16"/>
  <c r="N34" i="15"/>
  <c r="Q53" i="15" l="1"/>
  <c r="Q57" i="15" s="1"/>
  <c r="GA49" i="1"/>
  <c r="GA76" i="1"/>
  <c r="GA124" i="1" s="1"/>
  <c r="GA14" i="1"/>
  <c r="GB15" i="1" s="1"/>
  <c r="GA75" i="1"/>
  <c r="GA123" i="1" s="1"/>
  <c r="FZ49" i="1"/>
  <c r="FZ76" i="1"/>
  <c r="FZ124" i="1" s="1"/>
  <c r="P51" i="16"/>
  <c r="P52" i="16" s="1"/>
  <c r="P55" i="16" s="1"/>
  <c r="R53" i="15"/>
  <c r="R57" i="15" s="1"/>
  <c r="O51" i="16"/>
  <c r="O52" i="16" s="1"/>
  <c r="O28" i="16"/>
  <c r="O29" i="16" s="1"/>
  <c r="O33" i="16"/>
  <c r="O35" i="16" s="1"/>
  <c r="GD43" i="1"/>
  <c r="R51" i="16"/>
  <c r="R52" i="16" s="1"/>
  <c r="O22" i="16"/>
  <c r="O24" i="16" s="1"/>
  <c r="O10" i="16"/>
  <c r="O12" i="16" s="1"/>
  <c r="P48" i="15"/>
  <c r="P53" i="15" s="1"/>
  <c r="O45" i="16"/>
  <c r="O47" i="16" s="1"/>
  <c r="O48" i="15"/>
  <c r="O52" i="15" s="1"/>
  <c r="FZ123" i="1"/>
  <c r="R36" i="15"/>
  <c r="R37" i="15" s="1"/>
  <c r="R43" i="16"/>
  <c r="R44" i="16" s="1"/>
  <c r="R9" i="16"/>
  <c r="GF126" i="1"/>
  <c r="GE78" i="1"/>
  <c r="R21" i="16"/>
  <c r="R38" i="16"/>
  <c r="Q55" i="16"/>
  <c r="Q21" i="16"/>
  <c r="Q9" i="16"/>
  <c r="Q32" i="16"/>
  <c r="R15" i="16"/>
  <c r="Q27" i="16"/>
  <c r="Q44" i="16"/>
  <c r="GC131" i="1"/>
  <c r="GD119" i="1"/>
  <c r="R32" i="16"/>
  <c r="P39" i="16"/>
  <c r="P41" i="16" s="1"/>
  <c r="GB114" i="1"/>
  <c r="P3" i="16"/>
  <c r="P6" i="16" s="1"/>
  <c r="GB86" i="1"/>
  <c r="GB100" i="1"/>
  <c r="GB93" i="1"/>
  <c r="GB107" i="1"/>
  <c r="S81" i="16"/>
  <c r="S83" i="16" s="1"/>
  <c r="S55" i="16"/>
  <c r="P28" i="16"/>
  <c r="P29" i="16" s="1"/>
  <c r="P32" i="16" s="1"/>
  <c r="O16" i="16"/>
  <c r="O18" i="16" s="1"/>
  <c r="O3" i="16"/>
  <c r="O6" i="16" s="1"/>
  <c r="O39" i="16"/>
  <c r="O41" i="16" s="1"/>
  <c r="Q38" i="16"/>
  <c r="Q56" i="16"/>
  <c r="Q57" i="16" s="1"/>
  <c r="Q60" i="16" s="1"/>
  <c r="GC77" i="1"/>
  <c r="GD50" i="1"/>
  <c r="R56" i="16"/>
  <c r="R57" i="16" s="1"/>
  <c r="R47" i="15"/>
  <c r="GD125" i="1"/>
  <c r="GC119" i="1"/>
  <c r="GC50" i="1"/>
  <c r="Q82" i="16"/>
  <c r="GB22" i="1"/>
  <c r="GB8" i="1"/>
  <c r="GB57" i="1"/>
  <c r="P12" i="15"/>
  <c r="P10" i="16"/>
  <c r="P12" i="16" s="1"/>
  <c r="P45" i="16"/>
  <c r="P47" i="16" s="1"/>
  <c r="GB43" i="1"/>
  <c r="GB77" i="1"/>
  <c r="GB131" i="1"/>
  <c r="P16" i="16"/>
  <c r="P18" i="16" s="1"/>
  <c r="P21" i="16" s="1"/>
  <c r="GB71" i="1"/>
  <c r="P33" i="16"/>
  <c r="P35" i="16" s="1"/>
  <c r="GB64" i="1"/>
  <c r="P22" i="15"/>
  <c r="P47" i="15"/>
  <c r="P7" i="15"/>
  <c r="P42" i="15"/>
  <c r="P32" i="15"/>
  <c r="P43" i="16"/>
  <c r="P27" i="15"/>
  <c r="P17" i="15"/>
  <c r="P56" i="15"/>
  <c r="P36" i="15"/>
  <c r="P37" i="15" s="1"/>
  <c r="O22" i="15"/>
  <c r="O27" i="15"/>
  <c r="O47" i="15"/>
  <c r="GA71" i="1"/>
  <c r="GA64" i="1"/>
  <c r="GA114" i="1"/>
  <c r="GA118" i="1"/>
  <c r="GA107" i="1"/>
  <c r="GA100" i="1"/>
  <c r="GA93" i="1"/>
  <c r="GA86" i="1"/>
  <c r="GA57" i="1"/>
  <c r="GA43" i="1"/>
  <c r="GA22" i="1"/>
  <c r="GA8" i="1"/>
  <c r="O42" i="15"/>
  <c r="O7" i="15"/>
  <c r="O32" i="15"/>
  <c r="O17" i="15"/>
  <c r="O43" i="16"/>
  <c r="O56" i="15"/>
  <c r="O36" i="15"/>
  <c r="O37" i="15" s="1"/>
  <c r="O12" i="15"/>
  <c r="FZ118" i="1"/>
  <c r="N3" i="15"/>
  <c r="N6" i="15"/>
  <c r="N8" i="15"/>
  <c r="N11" i="15"/>
  <c r="N13" i="15"/>
  <c r="N16" i="15"/>
  <c r="N18" i="15"/>
  <c r="N21" i="15"/>
  <c r="N23" i="15"/>
  <c r="N26" i="15"/>
  <c r="N28" i="15"/>
  <c r="N31" i="15"/>
  <c r="N38" i="15"/>
  <c r="N41" i="15"/>
  <c r="N43" i="15"/>
  <c r="N35" i="15"/>
  <c r="N51" i="15"/>
  <c r="N54" i="15"/>
  <c r="N8" i="16"/>
  <c r="N14" i="16"/>
  <c r="N20" i="16"/>
  <c r="N26" i="16"/>
  <c r="N31" i="16"/>
  <c r="N37" i="16"/>
  <c r="N49" i="16"/>
  <c r="N54" i="16"/>
  <c r="N59" i="16"/>
  <c r="FY6" i="1"/>
  <c r="N33" i="15" s="1"/>
  <c r="FX6" i="1"/>
  <c r="FY5" i="1"/>
  <c r="FY75" i="1" s="1"/>
  <c r="FX5" i="1"/>
  <c r="FX75" i="1" s="1"/>
  <c r="FY48" i="1"/>
  <c r="FY113" i="1"/>
  <c r="FY106" i="1"/>
  <c r="FY85" i="1"/>
  <c r="FY72" i="1"/>
  <c r="FY70" i="1"/>
  <c r="FY65" i="1"/>
  <c r="FY63" i="1"/>
  <c r="FY56" i="1"/>
  <c r="FY42" i="1"/>
  <c r="FY35" i="1"/>
  <c r="FY28" i="1"/>
  <c r="FY21" i="1"/>
  <c r="FY14" i="1"/>
  <c r="M45" i="15"/>
  <c r="GA15" i="1" l="1"/>
  <c r="P22" i="16"/>
  <c r="P24" i="16" s="1"/>
  <c r="P27" i="16" s="1"/>
  <c r="FY49" i="1"/>
  <c r="FY76" i="1"/>
  <c r="FY124" i="1" s="1"/>
  <c r="O55" i="16"/>
  <c r="O50" i="16"/>
  <c r="R55" i="16"/>
  <c r="O53" i="15"/>
  <c r="O57" i="15" s="1"/>
  <c r="P52" i="15"/>
  <c r="O27" i="16"/>
  <c r="O38" i="16"/>
  <c r="N48" i="15"/>
  <c r="N53" i="15" s="1"/>
  <c r="FY123" i="1"/>
  <c r="O32" i="16"/>
  <c r="FZ77" i="1"/>
  <c r="FZ125" i="1" s="1"/>
  <c r="O15" i="16"/>
  <c r="R82" i="16"/>
  <c r="P44" i="16"/>
  <c r="P9" i="16"/>
  <c r="GE126" i="1"/>
  <c r="O21" i="16"/>
  <c r="O44" i="16"/>
  <c r="O9" i="16"/>
  <c r="GC125" i="1"/>
  <c r="GB50" i="1"/>
  <c r="GB119" i="1"/>
  <c r="GD78" i="1"/>
  <c r="O56" i="16"/>
  <c r="O57" i="16" s="1"/>
  <c r="Q81" i="16"/>
  <c r="Q83" i="16" s="1"/>
  <c r="R81" i="16"/>
  <c r="R60" i="16"/>
  <c r="P38" i="16"/>
  <c r="FZ131" i="1"/>
  <c r="FZ100" i="1"/>
  <c r="FZ107" i="1"/>
  <c r="FZ114" i="1"/>
  <c r="FZ86" i="1"/>
  <c r="FZ71" i="1"/>
  <c r="FZ15" i="1"/>
  <c r="FZ22" i="1"/>
  <c r="FZ93" i="1"/>
  <c r="GB125" i="1"/>
  <c r="GC78" i="1"/>
  <c r="GA77" i="1"/>
  <c r="P56" i="16"/>
  <c r="P57" i="16" s="1"/>
  <c r="P82" i="16"/>
  <c r="P57" i="15"/>
  <c r="N42" i="15"/>
  <c r="GA131" i="1"/>
  <c r="GA119" i="1"/>
  <c r="GA50" i="1"/>
  <c r="O82" i="16"/>
  <c r="N22" i="16"/>
  <c r="N24" i="16" s="1"/>
  <c r="N3" i="16"/>
  <c r="N6" i="16" s="1"/>
  <c r="N16" i="16"/>
  <c r="N18" i="16" s="1"/>
  <c r="N17" i="15"/>
  <c r="N33" i="16"/>
  <c r="N35" i="16" s="1"/>
  <c r="FZ64" i="1"/>
  <c r="FZ57" i="1"/>
  <c r="N28" i="16"/>
  <c r="N29" i="16" s="1"/>
  <c r="FZ43" i="1"/>
  <c r="N51" i="16"/>
  <c r="N52" i="16" s="1"/>
  <c r="FZ36" i="1"/>
  <c r="N45" i="16"/>
  <c r="N47" i="16" s="1"/>
  <c r="FZ29" i="1"/>
  <c r="N10" i="16"/>
  <c r="N12" i="16" s="1"/>
  <c r="N32" i="15"/>
  <c r="N27" i="15"/>
  <c r="N22" i="15"/>
  <c r="N12" i="15"/>
  <c r="N7" i="15"/>
  <c r="N55" i="15"/>
  <c r="N56" i="15" s="1"/>
  <c r="N36" i="15"/>
  <c r="N37" i="15" s="1"/>
  <c r="N43" i="16"/>
  <c r="N46" i="15"/>
  <c r="N47" i="15" s="1"/>
  <c r="FY7" i="1"/>
  <c r="FY118" i="1"/>
  <c r="M3" i="15"/>
  <c r="M6" i="15"/>
  <c r="M8" i="15"/>
  <c r="M11" i="15"/>
  <c r="M13" i="15"/>
  <c r="M16" i="15"/>
  <c r="M18" i="15"/>
  <c r="M21" i="15"/>
  <c r="M23" i="15"/>
  <c r="M26" i="15"/>
  <c r="M28" i="15"/>
  <c r="M31" i="15"/>
  <c r="M35" i="15"/>
  <c r="M43" i="16" s="1"/>
  <c r="M38" i="15"/>
  <c r="M41" i="15"/>
  <c r="M43" i="15"/>
  <c r="M46" i="15"/>
  <c r="M51" i="15"/>
  <c r="M54" i="15"/>
  <c r="M8" i="16"/>
  <c r="M14" i="16"/>
  <c r="M20" i="16"/>
  <c r="M26" i="16"/>
  <c r="M31" i="16"/>
  <c r="M37" i="16"/>
  <c r="M49" i="16"/>
  <c r="M54" i="16"/>
  <c r="M59" i="16"/>
  <c r="FX48" i="1"/>
  <c r="FX113" i="1"/>
  <c r="FX106" i="1"/>
  <c r="FX85" i="1"/>
  <c r="FX72" i="1"/>
  <c r="FX70" i="1"/>
  <c r="FX65" i="1"/>
  <c r="FX63" i="1"/>
  <c r="FX56" i="1"/>
  <c r="FX42" i="1"/>
  <c r="FX35" i="1"/>
  <c r="FX28" i="1"/>
  <c r="FX21" i="1"/>
  <c r="FX14" i="1"/>
  <c r="L45" i="15"/>
  <c r="L40" i="15"/>
  <c r="L41" i="15" s="1"/>
  <c r="L3" i="15"/>
  <c r="L6" i="15"/>
  <c r="L8" i="15"/>
  <c r="L11" i="15"/>
  <c r="L16" i="15"/>
  <c r="L18" i="15"/>
  <c r="L21" i="15"/>
  <c r="L23" i="15"/>
  <c r="L26" i="15"/>
  <c r="L28" i="15"/>
  <c r="L31" i="15"/>
  <c r="L33" i="15"/>
  <c r="L54" i="15"/>
  <c r="L38" i="15"/>
  <c r="L43" i="15"/>
  <c r="L51" i="15"/>
  <c r="L8" i="16"/>
  <c r="L14" i="16"/>
  <c r="L20" i="16"/>
  <c r="L26" i="16"/>
  <c r="L31" i="16"/>
  <c r="L37" i="16"/>
  <c r="L49" i="16"/>
  <c r="L54" i="16"/>
  <c r="L59" i="16"/>
  <c r="FW113" i="1"/>
  <c r="FW106" i="1"/>
  <c r="FW69" i="1"/>
  <c r="FW68" i="1"/>
  <c r="FW75" i="1" s="1"/>
  <c r="FW48" i="1"/>
  <c r="FW85" i="1"/>
  <c r="FW72" i="1"/>
  <c r="FW65" i="1"/>
  <c r="FW63" i="1"/>
  <c r="FW56" i="1"/>
  <c r="FW35" i="1"/>
  <c r="FW28" i="1"/>
  <c r="FW21" i="1"/>
  <c r="FW14" i="1"/>
  <c r="FW7" i="1"/>
  <c r="K44" i="15"/>
  <c r="K34" i="15"/>
  <c r="K35" i="15"/>
  <c r="FW49" i="1" l="1"/>
  <c r="FW76" i="1"/>
  <c r="FW124" i="1" s="1"/>
  <c r="FX76" i="1"/>
  <c r="FX124" i="1" s="1"/>
  <c r="FX49" i="1"/>
  <c r="R83" i="16"/>
  <c r="N52" i="15"/>
  <c r="FW123" i="1"/>
  <c r="M48" i="15"/>
  <c r="M52" i="15" s="1"/>
  <c r="FX123" i="1"/>
  <c r="O81" i="16"/>
  <c r="O83" i="16" s="1"/>
  <c r="O60" i="16"/>
  <c r="GD126" i="1"/>
  <c r="GC126" i="1"/>
  <c r="K36" i="15"/>
  <c r="FZ119" i="1"/>
  <c r="FY86" i="1"/>
  <c r="FY93" i="1"/>
  <c r="FY100" i="1"/>
  <c r="FY107" i="1"/>
  <c r="FY114" i="1"/>
  <c r="GA78" i="1"/>
  <c r="GB78" i="1"/>
  <c r="GA125" i="1"/>
  <c r="FW70" i="1"/>
  <c r="P60" i="16"/>
  <c r="P81" i="16"/>
  <c r="P83" i="16" s="1"/>
  <c r="N57" i="15"/>
  <c r="L35" i="15"/>
  <c r="L43" i="16" s="1"/>
  <c r="L82" i="16" s="1"/>
  <c r="N27" i="16"/>
  <c r="L45" i="16"/>
  <c r="L47" i="16" s="1"/>
  <c r="L10" i="16"/>
  <c r="L12" i="16" s="1"/>
  <c r="L33" i="16"/>
  <c r="L35" i="16" s="1"/>
  <c r="L39" i="16"/>
  <c r="L41" i="16" s="1"/>
  <c r="L22" i="16"/>
  <c r="L24" i="16" s="1"/>
  <c r="L3" i="16"/>
  <c r="L6" i="16" s="1"/>
  <c r="N9" i="16"/>
  <c r="N50" i="16"/>
  <c r="N55" i="16"/>
  <c r="N38" i="16"/>
  <c r="N21" i="16"/>
  <c r="N32" i="16"/>
  <c r="N15" i="16"/>
  <c r="FZ8" i="1"/>
  <c r="N39" i="16"/>
  <c r="N41" i="16" s="1"/>
  <c r="FY131" i="1"/>
  <c r="FZ50" i="1"/>
  <c r="N56" i="16"/>
  <c r="N57" i="16" s="1"/>
  <c r="N82" i="16"/>
  <c r="FY77" i="1"/>
  <c r="M16" i="16"/>
  <c r="M18" i="16" s="1"/>
  <c r="FY71" i="1"/>
  <c r="M33" i="16"/>
  <c r="M35" i="16" s="1"/>
  <c r="FY64" i="1"/>
  <c r="M28" i="16"/>
  <c r="M29" i="16" s="1"/>
  <c r="FY57" i="1"/>
  <c r="M51" i="16"/>
  <c r="M52" i="16" s="1"/>
  <c r="FY43" i="1"/>
  <c r="M45" i="16"/>
  <c r="M47" i="16" s="1"/>
  <c r="FY36" i="1"/>
  <c r="M10" i="16"/>
  <c r="M12" i="16" s="1"/>
  <c r="FY29" i="1"/>
  <c r="M3" i="16"/>
  <c r="M6" i="16" s="1"/>
  <c r="FY22" i="1"/>
  <c r="M22" i="16"/>
  <c r="M24" i="16" s="1"/>
  <c r="FY15" i="1"/>
  <c r="M32" i="15"/>
  <c r="L27" i="15"/>
  <c r="FX7" i="1"/>
  <c r="M27" i="15"/>
  <c r="M7" i="15"/>
  <c r="M22" i="15"/>
  <c r="M33" i="15"/>
  <c r="M17" i="15"/>
  <c r="M47" i="15"/>
  <c r="M42" i="15"/>
  <c r="M55" i="15"/>
  <c r="M56" i="15" s="1"/>
  <c r="M12" i="15"/>
  <c r="M36" i="15"/>
  <c r="M82" i="16"/>
  <c r="FX64" i="1"/>
  <c r="FX118" i="1"/>
  <c r="FX114" i="1"/>
  <c r="FX107" i="1"/>
  <c r="FX100" i="1"/>
  <c r="FX93" i="1"/>
  <c r="FX86" i="1"/>
  <c r="FX36" i="1"/>
  <c r="FX29" i="1"/>
  <c r="FX22" i="1"/>
  <c r="FX15" i="1"/>
  <c r="L48" i="15"/>
  <c r="L52" i="15" s="1"/>
  <c r="L28" i="16"/>
  <c r="L29" i="16" s="1"/>
  <c r="FX57" i="1"/>
  <c r="L7" i="15"/>
  <c r="L42" i="15"/>
  <c r="L22" i="15"/>
  <c r="L13" i="15"/>
  <c r="L17" i="15" s="1"/>
  <c r="L32" i="15"/>
  <c r="L46" i="15"/>
  <c r="L47" i="15" s="1"/>
  <c r="L12" i="15"/>
  <c r="FW118" i="1"/>
  <c r="FW42" i="1"/>
  <c r="FV41" i="1"/>
  <c r="FV40" i="1"/>
  <c r="FV75" i="1" s="1"/>
  <c r="K8" i="16"/>
  <c r="K14" i="16"/>
  <c r="K20" i="16"/>
  <c r="K26" i="16"/>
  <c r="K31" i="16"/>
  <c r="K37" i="16"/>
  <c r="K49" i="16"/>
  <c r="K54" i="16"/>
  <c r="K59" i="16"/>
  <c r="K3" i="15"/>
  <c r="K6" i="15"/>
  <c r="K8" i="15"/>
  <c r="K11" i="15"/>
  <c r="K13" i="15"/>
  <c r="K16" i="15"/>
  <c r="K18" i="15"/>
  <c r="K21" i="15"/>
  <c r="K23" i="15"/>
  <c r="K26" i="15"/>
  <c r="K28" i="15"/>
  <c r="K31" i="15"/>
  <c r="K33" i="15"/>
  <c r="K43" i="16"/>
  <c r="K38" i="15"/>
  <c r="K41" i="15"/>
  <c r="K46" i="15"/>
  <c r="K51" i="15"/>
  <c r="K54" i="15"/>
  <c r="FV48" i="1"/>
  <c r="FV106" i="1"/>
  <c r="FV113" i="1"/>
  <c r="FV85" i="1"/>
  <c r="FV72" i="1"/>
  <c r="FV70" i="1"/>
  <c r="FV65" i="1"/>
  <c r="FV63" i="1"/>
  <c r="FV56" i="1"/>
  <c r="FV35" i="1"/>
  <c r="FV28" i="1"/>
  <c r="FV21" i="1"/>
  <c r="FV14" i="1"/>
  <c r="FV7" i="1"/>
  <c r="FU7" i="1"/>
  <c r="FU69" i="1"/>
  <c r="FU68" i="1"/>
  <c r="FU75" i="1" s="1"/>
  <c r="K48" i="15" l="1"/>
  <c r="K52" i="15" s="1"/>
  <c r="FV49" i="1"/>
  <c r="FV76" i="1"/>
  <c r="FV124" i="1" s="1"/>
  <c r="FV123" i="1"/>
  <c r="M53" i="15"/>
  <c r="M57" i="15" s="1"/>
  <c r="FX71" i="1"/>
  <c r="L16" i="16"/>
  <c r="L18" i="16" s="1"/>
  <c r="FZ78" i="1"/>
  <c r="L50" i="16"/>
  <c r="L15" i="16"/>
  <c r="FX8" i="1"/>
  <c r="FY119" i="1"/>
  <c r="GA126" i="1"/>
  <c r="GB126" i="1"/>
  <c r="L44" i="16"/>
  <c r="L36" i="15"/>
  <c r="L37" i="15" s="1"/>
  <c r="L55" i="15"/>
  <c r="L56" i="15" s="1"/>
  <c r="L27" i="16"/>
  <c r="L38" i="16"/>
  <c r="L9" i="16"/>
  <c r="L56" i="16"/>
  <c r="L57" i="16" s="1"/>
  <c r="L60" i="16" s="1"/>
  <c r="M50" i="16"/>
  <c r="M55" i="16"/>
  <c r="N44" i="16"/>
  <c r="M38" i="16"/>
  <c r="M21" i="16"/>
  <c r="M27" i="16"/>
  <c r="M32" i="16"/>
  <c r="L32" i="16"/>
  <c r="M15" i="16"/>
  <c r="M9" i="16"/>
  <c r="FY125" i="1"/>
  <c r="K10" i="16"/>
  <c r="K12" i="16" s="1"/>
  <c r="FW107" i="1"/>
  <c r="FW100" i="1"/>
  <c r="FW93" i="1"/>
  <c r="K39" i="16"/>
  <c r="K41" i="16" s="1"/>
  <c r="K22" i="16"/>
  <c r="K24" i="16" s="1"/>
  <c r="K28" i="16"/>
  <c r="K29" i="16" s="1"/>
  <c r="K3" i="16"/>
  <c r="K6" i="16" s="1"/>
  <c r="M37" i="15"/>
  <c r="FW114" i="1"/>
  <c r="N60" i="16"/>
  <c r="N81" i="16"/>
  <c r="N83" i="16" s="1"/>
  <c r="M39" i="16"/>
  <c r="M41" i="16" s="1"/>
  <c r="FY8" i="1"/>
  <c r="M56" i="16"/>
  <c r="M57" i="16" s="1"/>
  <c r="FY50" i="1"/>
  <c r="FX77" i="1"/>
  <c r="L51" i="16"/>
  <c r="L52" i="16" s="1"/>
  <c r="FX43" i="1"/>
  <c r="FX131" i="1"/>
  <c r="FX119" i="1"/>
  <c r="FX50" i="1"/>
  <c r="L53" i="15"/>
  <c r="K45" i="16"/>
  <c r="K47" i="16" s="1"/>
  <c r="FW36" i="1"/>
  <c r="K17" i="15"/>
  <c r="FW29" i="1"/>
  <c r="FW22" i="1"/>
  <c r="K32" i="15"/>
  <c r="K12" i="15"/>
  <c r="FW57" i="1"/>
  <c r="FW86" i="1"/>
  <c r="FW8" i="1"/>
  <c r="K42" i="15"/>
  <c r="FW15" i="1"/>
  <c r="K7" i="15"/>
  <c r="FW131" i="1"/>
  <c r="FW77" i="1"/>
  <c r="FV42" i="1"/>
  <c r="K43" i="15"/>
  <c r="K16" i="16"/>
  <c r="K18" i="16" s="1"/>
  <c r="FW71" i="1"/>
  <c r="K33" i="16"/>
  <c r="K35" i="16" s="1"/>
  <c r="FW64" i="1"/>
  <c r="K27" i="15"/>
  <c r="K82" i="16"/>
  <c r="K22" i="15"/>
  <c r="K55" i="15"/>
  <c r="K56" i="15" s="1"/>
  <c r="K37" i="15"/>
  <c r="FV8" i="1"/>
  <c r="FV118" i="1"/>
  <c r="J8" i="16"/>
  <c r="J14" i="16"/>
  <c r="J20" i="16"/>
  <c r="J26" i="16"/>
  <c r="J31" i="16"/>
  <c r="J37" i="16"/>
  <c r="J49" i="16"/>
  <c r="J54" i="16"/>
  <c r="J59" i="16"/>
  <c r="J3" i="15"/>
  <c r="J6" i="15"/>
  <c r="J8" i="15"/>
  <c r="J11" i="15"/>
  <c r="J13" i="15"/>
  <c r="J16" i="15"/>
  <c r="J18" i="15"/>
  <c r="J21" i="15"/>
  <c r="J23" i="15"/>
  <c r="J26" i="15"/>
  <c r="J28" i="15"/>
  <c r="J31" i="15"/>
  <c r="J33" i="15"/>
  <c r="J35" i="15"/>
  <c r="J36" i="15" s="1"/>
  <c r="J38" i="15"/>
  <c r="J41" i="15"/>
  <c r="J43" i="15"/>
  <c r="J54" i="15"/>
  <c r="J51" i="15"/>
  <c r="FU113" i="1"/>
  <c r="FU106" i="1"/>
  <c r="FU48" i="1"/>
  <c r="FU84" i="1"/>
  <c r="FU85" i="1" s="1"/>
  <c r="FU72" i="1"/>
  <c r="FU70" i="1"/>
  <c r="FU65" i="1"/>
  <c r="FU63" i="1"/>
  <c r="FU56" i="1"/>
  <c r="FU42" i="1"/>
  <c r="FU35" i="1"/>
  <c r="FU28" i="1"/>
  <c r="FU21" i="1"/>
  <c r="FU14" i="1"/>
  <c r="FU123" i="1"/>
  <c r="J39" i="16"/>
  <c r="J41" i="16" s="1"/>
  <c r="K53" i="15" l="1"/>
  <c r="K57" i="15" s="1"/>
  <c r="FU49" i="1"/>
  <c r="FU76" i="1"/>
  <c r="FU124" i="1" s="1"/>
  <c r="L57" i="15"/>
  <c r="L21" i="16"/>
  <c r="FZ126" i="1"/>
  <c r="FX125" i="1"/>
  <c r="M60" i="16"/>
  <c r="K50" i="16"/>
  <c r="K38" i="16"/>
  <c r="M44" i="16"/>
  <c r="K44" i="16"/>
  <c r="L55" i="16"/>
  <c r="K27" i="16"/>
  <c r="K32" i="16"/>
  <c r="K21" i="16"/>
  <c r="K15" i="16"/>
  <c r="K9" i="16"/>
  <c r="FW119" i="1"/>
  <c r="K51" i="16"/>
  <c r="K52" i="16" s="1"/>
  <c r="FV64" i="1"/>
  <c r="FV86" i="1"/>
  <c r="M81" i="16"/>
  <c r="M83" i="16" s="1"/>
  <c r="FV107" i="1"/>
  <c r="J16" i="16"/>
  <c r="J18" i="16" s="1"/>
  <c r="FV36" i="1"/>
  <c r="FV93" i="1"/>
  <c r="FV114" i="1"/>
  <c r="J28" i="16"/>
  <c r="J29" i="16" s="1"/>
  <c r="FV100" i="1"/>
  <c r="FY78" i="1"/>
  <c r="FX78" i="1"/>
  <c r="L81" i="16"/>
  <c r="L83" i="16" s="1"/>
  <c r="K47" i="15"/>
  <c r="FV77" i="1"/>
  <c r="FW43" i="1"/>
  <c r="FV131" i="1"/>
  <c r="FW125" i="1"/>
  <c r="K56" i="16"/>
  <c r="K57" i="16" s="1"/>
  <c r="FW50" i="1"/>
  <c r="J33" i="16"/>
  <c r="J35" i="16" s="1"/>
  <c r="J12" i="15"/>
  <c r="J22" i="16"/>
  <c r="J24" i="16" s="1"/>
  <c r="FV15" i="1"/>
  <c r="J51" i="16"/>
  <c r="J52" i="16" s="1"/>
  <c r="FV43" i="1"/>
  <c r="J45" i="16"/>
  <c r="J47" i="16" s="1"/>
  <c r="J3" i="16"/>
  <c r="J6" i="16" s="1"/>
  <c r="FV22" i="1"/>
  <c r="FV57" i="1"/>
  <c r="FV71" i="1"/>
  <c r="J10" i="16"/>
  <c r="J12" i="16" s="1"/>
  <c r="FV29" i="1"/>
  <c r="J42" i="15"/>
  <c r="J32" i="15"/>
  <c r="J27" i="15"/>
  <c r="J7" i="15"/>
  <c r="J37" i="15"/>
  <c r="J17" i="15"/>
  <c r="J48" i="15"/>
  <c r="J52" i="15" s="1"/>
  <c r="J22" i="15"/>
  <c r="J43" i="16"/>
  <c r="J82" i="16" s="1"/>
  <c r="J55" i="15"/>
  <c r="J56" i="15" s="1"/>
  <c r="J46" i="15"/>
  <c r="J47" i="15" s="1"/>
  <c r="FU118" i="1"/>
  <c r="I44" i="15"/>
  <c r="I39" i="15"/>
  <c r="I5" i="15"/>
  <c r="FY126" i="1" l="1"/>
  <c r="J38" i="16"/>
  <c r="J50" i="16"/>
  <c r="K55" i="16"/>
  <c r="J55" i="16"/>
  <c r="J32" i="16"/>
  <c r="J21" i="16"/>
  <c r="J27" i="16"/>
  <c r="J15" i="16"/>
  <c r="J9" i="16"/>
  <c r="FV119" i="1"/>
  <c r="FX126" i="1"/>
  <c r="FV125" i="1"/>
  <c r="FW78" i="1"/>
  <c r="K81" i="16"/>
  <c r="K83" i="16" s="1"/>
  <c r="K60" i="16"/>
  <c r="FV50" i="1"/>
  <c r="FU77" i="1"/>
  <c r="J56" i="16"/>
  <c r="J57" i="16" s="1"/>
  <c r="FU131" i="1"/>
  <c r="J53" i="15"/>
  <c r="J57" i="15" s="1"/>
  <c r="J44" i="16"/>
  <c r="I3" i="15"/>
  <c r="I6" i="15"/>
  <c r="I8" i="15"/>
  <c r="I11" i="15"/>
  <c r="I13" i="15"/>
  <c r="I16" i="15"/>
  <c r="I18" i="15"/>
  <c r="I21" i="15"/>
  <c r="I23" i="15"/>
  <c r="I26" i="15"/>
  <c r="I28" i="15"/>
  <c r="I31" i="15"/>
  <c r="I33" i="15"/>
  <c r="I35" i="15"/>
  <c r="I55" i="15" s="1"/>
  <c r="I38" i="15"/>
  <c r="I41" i="15"/>
  <c r="I43" i="15"/>
  <c r="I46" i="15"/>
  <c r="I51" i="15"/>
  <c r="I54" i="15"/>
  <c r="I8" i="16"/>
  <c r="I14" i="16"/>
  <c r="I20" i="16"/>
  <c r="I26" i="16"/>
  <c r="I31" i="16"/>
  <c r="I37" i="16"/>
  <c r="I49" i="16"/>
  <c r="I54" i="16"/>
  <c r="I59" i="16"/>
  <c r="FT12" i="1"/>
  <c r="FT75" i="1" s="1"/>
  <c r="FT48" i="1"/>
  <c r="FT113" i="1"/>
  <c r="FT106" i="1"/>
  <c r="FT85" i="1"/>
  <c r="FT72" i="1"/>
  <c r="FT70" i="1"/>
  <c r="FT65" i="1"/>
  <c r="FT63" i="1"/>
  <c r="FT56" i="1"/>
  <c r="FT42" i="1"/>
  <c r="FT35" i="1"/>
  <c r="FT28" i="1"/>
  <c r="FT21" i="1"/>
  <c r="FT7" i="1"/>
  <c r="H8" i="16"/>
  <c r="H14" i="16"/>
  <c r="H20" i="16"/>
  <c r="H26" i="16"/>
  <c r="H31" i="16"/>
  <c r="H37" i="16"/>
  <c r="H49" i="16"/>
  <c r="H54" i="16"/>
  <c r="H59" i="16"/>
  <c r="H54" i="15"/>
  <c r="FT76" i="1" l="1"/>
  <c r="FT124" i="1" s="1"/>
  <c r="FT49" i="1"/>
  <c r="I56" i="16" s="1"/>
  <c r="I57" i="16" s="1"/>
  <c r="FT123" i="1"/>
  <c r="FW126" i="1"/>
  <c r="FV78" i="1"/>
  <c r="FU107" i="1"/>
  <c r="FU114" i="1"/>
  <c r="FU100" i="1"/>
  <c r="FU93" i="1"/>
  <c r="FU125" i="1"/>
  <c r="J81" i="16"/>
  <c r="J83" i="16" s="1"/>
  <c r="J60" i="16"/>
  <c r="FU64" i="1"/>
  <c r="I33" i="16"/>
  <c r="I35" i="16" s="1"/>
  <c r="FU71" i="1"/>
  <c r="FU22" i="1"/>
  <c r="FU29" i="1"/>
  <c r="FU86" i="1"/>
  <c r="I22" i="15"/>
  <c r="FU8" i="1"/>
  <c r="FU36" i="1"/>
  <c r="I10" i="16"/>
  <c r="I12" i="16" s="1"/>
  <c r="FU43" i="1"/>
  <c r="I45" i="16"/>
  <c r="I47" i="16" s="1"/>
  <c r="FU57" i="1"/>
  <c r="I39" i="16"/>
  <c r="I41" i="16" s="1"/>
  <c r="I28" i="16"/>
  <c r="I29" i="16" s="1"/>
  <c r="I16" i="16"/>
  <c r="I18" i="16" s="1"/>
  <c r="I3" i="16"/>
  <c r="I6" i="16" s="1"/>
  <c r="I48" i="15"/>
  <c r="I52" i="15" s="1"/>
  <c r="I51" i="16"/>
  <c r="I52" i="16" s="1"/>
  <c r="I47" i="15"/>
  <c r="I27" i="15"/>
  <c r="I7" i="15"/>
  <c r="I17" i="15"/>
  <c r="I42" i="15"/>
  <c r="I56" i="15"/>
  <c r="I32" i="15"/>
  <c r="I12" i="15"/>
  <c r="I36" i="15"/>
  <c r="I37" i="15" s="1"/>
  <c r="I43" i="16"/>
  <c r="FT14" i="1"/>
  <c r="FT118" i="1"/>
  <c r="H3" i="15"/>
  <c r="H6" i="15"/>
  <c r="H8" i="15"/>
  <c r="H11" i="15"/>
  <c r="H13" i="15"/>
  <c r="H16" i="15"/>
  <c r="H18" i="15"/>
  <c r="H21" i="15"/>
  <c r="H23" i="15"/>
  <c r="H26" i="15"/>
  <c r="H28" i="15"/>
  <c r="H31" i="15"/>
  <c r="H33" i="15"/>
  <c r="H35" i="15"/>
  <c r="H38" i="15"/>
  <c r="H41" i="15"/>
  <c r="H43" i="15"/>
  <c r="H46" i="15"/>
  <c r="H51" i="15"/>
  <c r="FS48" i="1"/>
  <c r="FS84" i="1"/>
  <c r="FS85" i="1" s="1"/>
  <c r="GX85" i="1" s="1"/>
  <c r="FS106" i="1"/>
  <c r="GX106" i="1" s="1"/>
  <c r="FS113" i="1"/>
  <c r="GX113" i="1" s="1"/>
  <c r="FS58" i="1"/>
  <c r="FS72" i="1"/>
  <c r="FS70" i="1"/>
  <c r="GX70" i="1" s="1"/>
  <c r="FS65" i="1"/>
  <c r="FS63" i="1"/>
  <c r="GX63" i="1" s="1"/>
  <c r="FS56" i="1"/>
  <c r="GX56" i="1" s="1"/>
  <c r="FS42" i="1"/>
  <c r="GX42" i="1" s="1"/>
  <c r="FS35" i="1"/>
  <c r="GX35" i="1" s="1"/>
  <c r="FS28" i="1"/>
  <c r="GX28" i="1" s="1"/>
  <c r="FS21" i="1"/>
  <c r="GX21" i="1" s="1"/>
  <c r="FS14" i="1"/>
  <c r="GX14" i="1" s="1"/>
  <c r="FS7" i="1"/>
  <c r="GX7" i="1" s="1"/>
  <c r="FS123" i="1"/>
  <c r="G8" i="16"/>
  <c r="G14" i="16"/>
  <c r="G20" i="16"/>
  <c r="G26" i="16"/>
  <c r="G31" i="16"/>
  <c r="G37" i="16"/>
  <c r="G49" i="16"/>
  <c r="G54" i="16"/>
  <c r="G59" i="16"/>
  <c r="G3" i="15"/>
  <c r="G6" i="15"/>
  <c r="G8" i="15"/>
  <c r="G11" i="15"/>
  <c r="G13" i="15"/>
  <c r="G16" i="15"/>
  <c r="G18" i="15"/>
  <c r="G21" i="15"/>
  <c r="G23" i="15"/>
  <c r="G26" i="15"/>
  <c r="G28" i="15"/>
  <c r="G31" i="15"/>
  <c r="G35" i="15"/>
  <c r="G36" i="15" s="1"/>
  <c r="G38" i="15"/>
  <c r="G41" i="15"/>
  <c r="G43" i="15"/>
  <c r="G46" i="15"/>
  <c r="G51" i="15"/>
  <c r="FR6" i="1"/>
  <c r="G33" i="15" s="1"/>
  <c r="FR5" i="1"/>
  <c r="FR75" i="1" s="1"/>
  <c r="FR113" i="1"/>
  <c r="FR106" i="1"/>
  <c r="FR48" i="1"/>
  <c r="FR85" i="1"/>
  <c r="FR72" i="1"/>
  <c r="FR70" i="1"/>
  <c r="FR65" i="1"/>
  <c r="FR63" i="1"/>
  <c r="FR58" i="1"/>
  <c r="FR56" i="1"/>
  <c r="FR42" i="1"/>
  <c r="FR35" i="1"/>
  <c r="FR28" i="1"/>
  <c r="FR21" i="1"/>
  <c r="FR14" i="1"/>
  <c r="FQ6" i="1"/>
  <c r="FQ5" i="1"/>
  <c r="FQ75" i="1" s="1"/>
  <c r="F7" i="16"/>
  <c r="F44" i="15"/>
  <c r="F39" i="15"/>
  <c r="FR49" i="1" l="1"/>
  <c r="FR76" i="1"/>
  <c r="FR124" i="1" s="1"/>
  <c r="FS76" i="1"/>
  <c r="FS49" i="1"/>
  <c r="GX49" i="1" s="1"/>
  <c r="FU50" i="1"/>
  <c r="H42" i="15"/>
  <c r="H27" i="15"/>
  <c r="G7" i="15"/>
  <c r="I60" i="16"/>
  <c r="I50" i="16"/>
  <c r="I55" i="16"/>
  <c r="I38" i="16"/>
  <c r="I21" i="16"/>
  <c r="I32" i="16"/>
  <c r="I15" i="16"/>
  <c r="I9" i="16"/>
  <c r="FT77" i="1"/>
  <c r="FT114" i="1"/>
  <c r="H28" i="16"/>
  <c r="H29" i="16" s="1"/>
  <c r="FT107" i="1"/>
  <c r="FT86" i="1"/>
  <c r="FT100" i="1"/>
  <c r="H16" i="16"/>
  <c r="H18" i="16" s="1"/>
  <c r="I44" i="16"/>
  <c r="FV126" i="1"/>
  <c r="G22" i="16"/>
  <c r="G24" i="16" s="1"/>
  <c r="G33" i="16"/>
  <c r="G35" i="16" s="1"/>
  <c r="G16" i="16"/>
  <c r="G18" i="16" s="1"/>
  <c r="G10" i="16"/>
  <c r="G12" i="16" s="1"/>
  <c r="G45" i="16"/>
  <c r="G47" i="16" s="1"/>
  <c r="G3" i="16"/>
  <c r="G6" i="16" s="1"/>
  <c r="G51" i="16"/>
  <c r="G52" i="16" s="1"/>
  <c r="I53" i="15"/>
  <c r="I57" i="15" s="1"/>
  <c r="FU119" i="1"/>
  <c r="FT93" i="1"/>
  <c r="FS93" i="1"/>
  <c r="FU15" i="1"/>
  <c r="I22" i="16"/>
  <c r="I24" i="16" s="1"/>
  <c r="FT131" i="1"/>
  <c r="I82" i="16"/>
  <c r="FT57" i="1"/>
  <c r="FT71" i="1"/>
  <c r="H39" i="16"/>
  <c r="H41" i="16" s="1"/>
  <c r="FT8" i="1"/>
  <c r="H45" i="16"/>
  <c r="H47" i="16" s="1"/>
  <c r="FT36" i="1"/>
  <c r="H22" i="16"/>
  <c r="H24" i="16" s="1"/>
  <c r="FT15" i="1"/>
  <c r="H51" i="16"/>
  <c r="H52" i="16" s="1"/>
  <c r="FT43" i="1"/>
  <c r="H3" i="16"/>
  <c r="H6" i="16" s="1"/>
  <c r="FT22" i="1"/>
  <c r="H10" i="16"/>
  <c r="H12" i="16" s="1"/>
  <c r="FT29" i="1"/>
  <c r="H33" i="16"/>
  <c r="H35" i="16" s="1"/>
  <c r="FT64" i="1"/>
  <c r="FS124" i="1"/>
  <c r="H32" i="15"/>
  <c r="H36" i="15"/>
  <c r="H37" i="15" s="1"/>
  <c r="H43" i="16"/>
  <c r="H55" i="15"/>
  <c r="H56" i="15" s="1"/>
  <c r="H47" i="15"/>
  <c r="H7" i="15"/>
  <c r="H48" i="15"/>
  <c r="H52" i="15" s="1"/>
  <c r="FS64" i="1"/>
  <c r="G12" i="15"/>
  <c r="G22" i="15"/>
  <c r="H22" i="15"/>
  <c r="H12" i="15"/>
  <c r="H17" i="15"/>
  <c r="FS57" i="1"/>
  <c r="FS71" i="1"/>
  <c r="FS118" i="1"/>
  <c r="GX118" i="1" s="1"/>
  <c r="G48" i="15"/>
  <c r="G52" i="15" s="1"/>
  <c r="G28" i="16"/>
  <c r="G29" i="16" s="1"/>
  <c r="FS15" i="1"/>
  <c r="FS22" i="1"/>
  <c r="FS29" i="1"/>
  <c r="FS36" i="1"/>
  <c r="FS43" i="1"/>
  <c r="FS86" i="1"/>
  <c r="FS100" i="1"/>
  <c r="FS107" i="1"/>
  <c r="FS114" i="1"/>
  <c r="G47" i="15"/>
  <c r="G37" i="15"/>
  <c r="G27" i="15"/>
  <c r="G43" i="16"/>
  <c r="G32" i="15"/>
  <c r="G17" i="15"/>
  <c r="G55" i="15"/>
  <c r="G42" i="15"/>
  <c r="G54" i="15"/>
  <c r="FR7" i="1"/>
  <c r="FR118" i="1"/>
  <c r="FR123" i="1"/>
  <c r="F36" i="16"/>
  <c r="G56" i="16" l="1"/>
  <c r="G57" i="16" s="1"/>
  <c r="G60" i="16" s="1"/>
  <c r="FU78" i="1"/>
  <c r="H55" i="16"/>
  <c r="G55" i="16"/>
  <c r="H50" i="16"/>
  <c r="G50" i="16"/>
  <c r="H38" i="16"/>
  <c r="G38" i="16"/>
  <c r="H21" i="16"/>
  <c r="H27" i="16"/>
  <c r="G32" i="16"/>
  <c r="G21" i="16"/>
  <c r="H32" i="16"/>
  <c r="G27" i="16"/>
  <c r="H15" i="16"/>
  <c r="G15" i="16"/>
  <c r="H9" i="16"/>
  <c r="G9" i="16"/>
  <c r="FT125" i="1"/>
  <c r="FT119" i="1"/>
  <c r="I81" i="16"/>
  <c r="I83" i="16" s="1"/>
  <c r="I27" i="16"/>
  <c r="H56" i="16"/>
  <c r="H57" i="16" s="1"/>
  <c r="FT50" i="1"/>
  <c r="H44" i="16"/>
  <c r="H82" i="16"/>
  <c r="H53" i="15"/>
  <c r="H57" i="15" s="1"/>
  <c r="G53" i="15"/>
  <c r="G39" i="16"/>
  <c r="G41" i="16" s="1"/>
  <c r="FS131" i="1"/>
  <c r="FR131" i="1"/>
  <c r="FS50" i="1"/>
  <c r="FS119" i="1"/>
  <c r="FR77" i="1"/>
  <c r="FS8" i="1"/>
  <c r="FS77" i="1"/>
  <c r="GX77" i="1" s="1"/>
  <c r="G82" i="16"/>
  <c r="G56" i="15"/>
  <c r="F13" i="16"/>
  <c r="FU126" i="1" l="1"/>
  <c r="G81" i="16"/>
  <c r="G83" i="16" s="1"/>
  <c r="FR125" i="1"/>
  <c r="FT78" i="1"/>
  <c r="G57" i="15"/>
  <c r="H60" i="16"/>
  <c r="H81" i="16"/>
  <c r="H83" i="16" s="1"/>
  <c r="G44" i="16"/>
  <c r="FS125" i="1"/>
  <c r="GX125" i="1" s="1"/>
  <c r="FS78" i="1"/>
  <c r="F8" i="16"/>
  <c r="F14" i="16"/>
  <c r="F20" i="16"/>
  <c r="F26" i="16"/>
  <c r="F31" i="16"/>
  <c r="F37" i="16"/>
  <c r="F49" i="16"/>
  <c r="F54" i="16"/>
  <c r="F59" i="16"/>
  <c r="F3" i="15"/>
  <c r="F6" i="15"/>
  <c r="F8" i="15"/>
  <c r="F11" i="15"/>
  <c r="F13" i="15"/>
  <c r="F16" i="15"/>
  <c r="F18" i="15"/>
  <c r="F21" i="15"/>
  <c r="F23" i="15"/>
  <c r="F26" i="15"/>
  <c r="F28" i="15"/>
  <c r="F31" i="15"/>
  <c r="F33" i="15"/>
  <c r="F35" i="15"/>
  <c r="F55" i="15" s="1"/>
  <c r="F38" i="15"/>
  <c r="F41" i="15"/>
  <c r="F43" i="15"/>
  <c r="F46" i="15"/>
  <c r="F51" i="15"/>
  <c r="F54" i="15"/>
  <c r="FQ113" i="1"/>
  <c r="FQ106" i="1"/>
  <c r="FQ48" i="1"/>
  <c r="FQ49" i="1" l="1"/>
  <c r="FQ76" i="1"/>
  <c r="FR107" i="1"/>
  <c r="FR114" i="1"/>
  <c r="FR100" i="1"/>
  <c r="FR93" i="1"/>
  <c r="FS126" i="1"/>
  <c r="FT126" i="1"/>
  <c r="F27" i="15"/>
  <c r="F32" i="15"/>
  <c r="F43" i="16"/>
  <c r="F82" i="16" s="1"/>
  <c r="F48" i="15"/>
  <c r="F52" i="15" s="1"/>
  <c r="F47" i="15"/>
  <c r="F42" i="15"/>
  <c r="F22" i="15"/>
  <c r="F12" i="15"/>
  <c r="F7" i="15"/>
  <c r="F56" i="15"/>
  <c r="F36" i="15"/>
  <c r="F37" i="15" s="1"/>
  <c r="F17" i="15"/>
  <c r="FQ85" i="1"/>
  <c r="FQ123" i="1"/>
  <c r="FQ72" i="1"/>
  <c r="FQ70" i="1"/>
  <c r="FQ65" i="1"/>
  <c r="FQ63" i="1"/>
  <c r="FQ58" i="1"/>
  <c r="FQ56" i="1"/>
  <c r="FQ124" i="1"/>
  <c r="FQ42" i="1"/>
  <c r="FQ35" i="1"/>
  <c r="FQ28" i="1"/>
  <c r="FQ21" i="1"/>
  <c r="FQ14" i="1"/>
  <c r="FQ7" i="1"/>
  <c r="E7" i="16"/>
  <c r="FR86" i="1" l="1"/>
  <c r="F3" i="16"/>
  <c r="F6" i="16" s="1"/>
  <c r="FR22" i="1"/>
  <c r="F10" i="16"/>
  <c r="F12" i="16" s="1"/>
  <c r="FR29" i="1"/>
  <c r="F28" i="16"/>
  <c r="F29" i="16" s="1"/>
  <c r="FR57" i="1"/>
  <c r="F16" i="16"/>
  <c r="F18" i="16" s="1"/>
  <c r="FR71" i="1"/>
  <c r="F39" i="16"/>
  <c r="F41" i="16" s="1"/>
  <c r="FR8" i="1"/>
  <c r="F45" i="16"/>
  <c r="F47" i="16" s="1"/>
  <c r="FR36" i="1"/>
  <c r="F22" i="16"/>
  <c r="F24" i="16" s="1"/>
  <c r="FR15" i="1"/>
  <c r="F51" i="16"/>
  <c r="F52" i="16" s="1"/>
  <c r="FR43" i="1"/>
  <c r="F33" i="16"/>
  <c r="F35" i="16" s="1"/>
  <c r="FR64" i="1"/>
  <c r="F53" i="15"/>
  <c r="F57" i="15" s="1"/>
  <c r="FQ118" i="1"/>
  <c r="E8" i="16"/>
  <c r="E14" i="16"/>
  <c r="E20" i="16"/>
  <c r="E26" i="16"/>
  <c r="E31" i="16"/>
  <c r="E37" i="16"/>
  <c r="E49" i="16"/>
  <c r="E54" i="16"/>
  <c r="E59" i="16"/>
  <c r="E3" i="15"/>
  <c r="E6" i="15"/>
  <c r="E8" i="15"/>
  <c r="E11" i="15"/>
  <c r="E13" i="15"/>
  <c r="E16" i="15"/>
  <c r="E18" i="15"/>
  <c r="E21" i="15"/>
  <c r="E23" i="15"/>
  <c r="E26" i="15"/>
  <c r="E28" i="15"/>
  <c r="E31" i="15"/>
  <c r="E33" i="15"/>
  <c r="E35" i="15"/>
  <c r="E55" i="15" s="1"/>
  <c r="E38" i="15"/>
  <c r="E41" i="15"/>
  <c r="E43" i="15"/>
  <c r="E46" i="15"/>
  <c r="E51" i="15"/>
  <c r="E54" i="15"/>
  <c r="FP48" i="1"/>
  <c r="FP106" i="1"/>
  <c r="FP113" i="1"/>
  <c r="FP85" i="1"/>
  <c r="FP123" i="1"/>
  <c r="FP72" i="1"/>
  <c r="FP70" i="1"/>
  <c r="FP65" i="1"/>
  <c r="FP63" i="1"/>
  <c r="FP58" i="1"/>
  <c r="FP56" i="1"/>
  <c r="FP42" i="1"/>
  <c r="FP35" i="1"/>
  <c r="FP28" i="1"/>
  <c r="FP21" i="1"/>
  <c r="FP14" i="1"/>
  <c r="FP7" i="1"/>
  <c r="D8" i="15"/>
  <c r="D11" i="15"/>
  <c r="D13" i="15"/>
  <c r="D16" i="15"/>
  <c r="D18" i="15"/>
  <c r="D21" i="15"/>
  <c r="D23" i="15"/>
  <c r="D26" i="15"/>
  <c r="D28" i="15"/>
  <c r="D31" i="15"/>
  <c r="D33" i="15"/>
  <c r="D35" i="15"/>
  <c r="D36" i="15" s="1"/>
  <c r="D38" i="15"/>
  <c r="D41" i="15"/>
  <c r="D43" i="15"/>
  <c r="D46" i="15"/>
  <c r="D51" i="15"/>
  <c r="D54" i="15"/>
  <c r="FP76" i="1" l="1"/>
  <c r="FP124" i="1" s="1"/>
  <c r="FP49" i="1"/>
  <c r="FQ93" i="1"/>
  <c r="E22" i="15"/>
  <c r="D42" i="15"/>
  <c r="D22" i="15"/>
  <c r="F50" i="16"/>
  <c r="F55" i="16"/>
  <c r="F38" i="16"/>
  <c r="F44" i="16"/>
  <c r="F21" i="16"/>
  <c r="F32" i="16"/>
  <c r="F27" i="16"/>
  <c r="F15" i="16"/>
  <c r="F9" i="16"/>
  <c r="FQ64" i="1"/>
  <c r="FQ100" i="1"/>
  <c r="FQ15" i="1"/>
  <c r="E45" i="16"/>
  <c r="E47" i="16" s="1"/>
  <c r="FQ107" i="1"/>
  <c r="FQ43" i="1"/>
  <c r="FQ86" i="1"/>
  <c r="FQ114" i="1"/>
  <c r="FR119" i="1"/>
  <c r="F56" i="16"/>
  <c r="F57" i="16" s="1"/>
  <c r="FR50" i="1"/>
  <c r="E47" i="15"/>
  <c r="E10" i="16"/>
  <c r="E12" i="16" s="1"/>
  <c r="E39" i="16"/>
  <c r="E41" i="16" s="1"/>
  <c r="FQ22" i="1"/>
  <c r="FQ131" i="1"/>
  <c r="FQ77" i="1"/>
  <c r="E28" i="16"/>
  <c r="E29" i="16" s="1"/>
  <c r="FQ57" i="1"/>
  <c r="FQ36" i="1"/>
  <c r="FQ8" i="1"/>
  <c r="E16" i="16"/>
  <c r="E18" i="16" s="1"/>
  <c r="FQ71" i="1"/>
  <c r="FQ29" i="1"/>
  <c r="E48" i="15"/>
  <c r="E53" i="15" s="1"/>
  <c r="E33" i="16"/>
  <c r="E35" i="16" s="1"/>
  <c r="E3" i="16"/>
  <c r="E6" i="16" s="1"/>
  <c r="E51" i="16"/>
  <c r="E52" i="16" s="1"/>
  <c r="E22" i="16"/>
  <c r="E24" i="16" s="1"/>
  <c r="E17" i="15"/>
  <c r="E12" i="15"/>
  <c r="D27" i="15"/>
  <c r="D47" i="15"/>
  <c r="D12" i="15"/>
  <c r="D17" i="15"/>
  <c r="D32" i="15"/>
  <c r="E42" i="15"/>
  <c r="E43" i="16"/>
  <c r="E32" i="15"/>
  <c r="E27" i="15"/>
  <c r="E56" i="15"/>
  <c r="E36" i="15"/>
  <c r="E37" i="15" s="1"/>
  <c r="E7" i="15"/>
  <c r="FP118" i="1"/>
  <c r="D37" i="15"/>
  <c r="D55" i="15"/>
  <c r="D56" i="15" s="1"/>
  <c r="F60" i="16" l="1"/>
  <c r="E55" i="16"/>
  <c r="E50" i="16"/>
  <c r="E38" i="16"/>
  <c r="E27" i="16"/>
  <c r="E21" i="16"/>
  <c r="E32" i="16"/>
  <c r="E15" i="16"/>
  <c r="E9" i="16"/>
  <c r="F81" i="16"/>
  <c r="F83" i="16" s="1"/>
  <c r="E56" i="16"/>
  <c r="E57" i="16" s="1"/>
  <c r="FQ119" i="1"/>
  <c r="E44" i="16"/>
  <c r="FR78" i="1"/>
  <c r="E52" i="15"/>
  <c r="FQ50" i="1"/>
  <c r="FQ125" i="1"/>
  <c r="E82" i="16"/>
  <c r="E57" i="15"/>
  <c r="FP77" i="1"/>
  <c r="FP131" i="1"/>
  <c r="E60" i="16" l="1"/>
  <c r="E81" i="16"/>
  <c r="E83" i="16" s="1"/>
  <c r="FQ78" i="1"/>
  <c r="FR126" i="1"/>
  <c r="FP125" i="1"/>
  <c r="C8" i="16"/>
  <c r="D59" i="16"/>
  <c r="D54" i="16"/>
  <c r="D49" i="16"/>
  <c r="D37" i="16"/>
  <c r="D31" i="16"/>
  <c r="D26" i="16"/>
  <c r="D20" i="16"/>
  <c r="D14" i="16"/>
  <c r="D8" i="16"/>
  <c r="FQ126" i="1" l="1"/>
  <c r="C8" i="15"/>
  <c r="D3" i="15"/>
  <c r="D2" i="16" l="1"/>
  <c r="E2" i="16" s="1"/>
  <c r="F2" i="16" s="1"/>
  <c r="G2" i="16" s="1"/>
  <c r="H2" i="16" s="1"/>
  <c r="I2" i="16" s="1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AB2" i="16" s="1"/>
  <c r="AC2" i="16" s="1"/>
  <c r="AD2" i="16" s="1"/>
  <c r="AE2" i="16" s="1"/>
  <c r="C59" i="16"/>
  <c r="C54" i="16"/>
  <c r="C49" i="16"/>
  <c r="C37" i="16"/>
  <c r="C31" i="16"/>
  <c r="C26" i="16"/>
  <c r="C20" i="16"/>
  <c r="C14" i="16"/>
  <c r="C54" i="15"/>
  <c r="D2" i="15"/>
  <c r="E2" i="15" s="1"/>
  <c r="F2" i="15" s="1"/>
  <c r="G2" i="15" s="1"/>
  <c r="H2" i="15" s="1"/>
  <c r="I2" i="15" s="1"/>
  <c r="J2" i="15" s="1"/>
  <c r="K2" i="15" s="1"/>
  <c r="L2" i="15" s="1"/>
  <c r="M2" i="15" s="1"/>
  <c r="N2" i="15" s="1"/>
  <c r="O2" i="15" s="1"/>
  <c r="P2" i="15" s="1"/>
  <c r="Q2" i="15" s="1"/>
  <c r="R2" i="15" s="1"/>
  <c r="S2" i="15" s="1"/>
  <c r="T2" i="15" s="1"/>
  <c r="U2" i="15" s="1"/>
  <c r="V2" i="15" s="1"/>
  <c r="W2" i="15" s="1"/>
  <c r="X2" i="15" s="1"/>
  <c r="Y2" i="15" s="1"/>
  <c r="Z2" i="15" s="1"/>
  <c r="AA2" i="15" s="1"/>
  <c r="AB2" i="15" s="1"/>
  <c r="AC2" i="15" s="1"/>
  <c r="AD2" i="15" s="1"/>
  <c r="AE2" i="15" s="1"/>
  <c r="AF2" i="15" s="1"/>
  <c r="AG2" i="15" s="1"/>
  <c r="D6" i="15"/>
  <c r="D7" i="15" s="1"/>
  <c r="C45" i="15"/>
  <c r="C46" i="15" s="1"/>
  <c r="C43" i="15"/>
  <c r="C38" i="15"/>
  <c r="C33" i="15"/>
  <c r="C28" i="15"/>
  <c r="C23" i="15"/>
  <c r="C18" i="15"/>
  <c r="C13" i="15"/>
  <c r="C3" i="15"/>
  <c r="C50" i="15"/>
  <c r="C40" i="15"/>
  <c r="C41" i="15" s="1"/>
  <c r="C30" i="15"/>
  <c r="C31" i="15" s="1"/>
  <c r="C25" i="15"/>
  <c r="C26" i="15" s="1"/>
  <c r="C20" i="15"/>
  <c r="C21" i="15" s="1"/>
  <c r="C15" i="15"/>
  <c r="C16" i="15" s="1"/>
  <c r="C10" i="15"/>
  <c r="C11" i="15" s="1"/>
  <c r="C5" i="15"/>
  <c r="FO113" i="1"/>
  <c r="FO106" i="1"/>
  <c r="FO123" i="1"/>
  <c r="FO48" i="1"/>
  <c r="FO85" i="1"/>
  <c r="FO72" i="1"/>
  <c r="FO70" i="1"/>
  <c r="FO65" i="1"/>
  <c r="FO63" i="1"/>
  <c r="FO58" i="1"/>
  <c r="FO56" i="1"/>
  <c r="FO42" i="1"/>
  <c r="FO35" i="1"/>
  <c r="FO28" i="1"/>
  <c r="FO21" i="1"/>
  <c r="FO14" i="1"/>
  <c r="FO7" i="1"/>
  <c r="FO49" i="1" l="1"/>
  <c r="FO76" i="1"/>
  <c r="D33" i="16"/>
  <c r="D35" i="16" s="1"/>
  <c r="D16" i="16"/>
  <c r="D18" i="16" s="1"/>
  <c r="FP107" i="1"/>
  <c r="FP114" i="1"/>
  <c r="FO107" i="1"/>
  <c r="C51" i="15"/>
  <c r="C35" i="15"/>
  <c r="C55" i="15" s="1"/>
  <c r="C56" i="15" s="1"/>
  <c r="FP22" i="1"/>
  <c r="FP93" i="1"/>
  <c r="FP36" i="1"/>
  <c r="FP43" i="1"/>
  <c r="FP29" i="1"/>
  <c r="D3" i="16"/>
  <c r="D6" i="16" s="1"/>
  <c r="FP71" i="1"/>
  <c r="FP86" i="1"/>
  <c r="FP8" i="1"/>
  <c r="FP64" i="1"/>
  <c r="FP100" i="1"/>
  <c r="FP15" i="1"/>
  <c r="FO124" i="1"/>
  <c r="D48" i="15"/>
  <c r="D51" i="16"/>
  <c r="D52" i="16" s="1"/>
  <c r="D22" i="16"/>
  <c r="D24" i="16" s="1"/>
  <c r="D45" i="16"/>
  <c r="D47" i="16" s="1"/>
  <c r="D28" i="16"/>
  <c r="D29" i="16" s="1"/>
  <c r="FP57" i="1"/>
  <c r="FO114" i="1"/>
  <c r="D39" i="16"/>
  <c r="D41" i="16" s="1"/>
  <c r="D10" i="16"/>
  <c r="D12" i="16" s="1"/>
  <c r="C47" i="15"/>
  <c r="C42" i="15"/>
  <c r="C22" i="15"/>
  <c r="C32" i="15"/>
  <c r="C27" i="15"/>
  <c r="C17" i="15"/>
  <c r="C12" i="15"/>
  <c r="C6" i="15"/>
  <c r="FO100" i="1"/>
  <c r="FO118" i="1"/>
  <c r="D50" i="16" l="1"/>
  <c r="D38" i="16"/>
  <c r="D55" i="16"/>
  <c r="D32" i="16"/>
  <c r="D21" i="16"/>
  <c r="D27" i="16"/>
  <c r="D15" i="16"/>
  <c r="D9" i="16"/>
  <c r="FO77" i="1"/>
  <c r="FO131" i="1"/>
  <c r="C43" i="16"/>
  <c r="C82" i="16" s="1"/>
  <c r="C36" i="15"/>
  <c r="C37" i="15" s="1"/>
  <c r="FP119" i="1"/>
  <c r="FP50" i="1"/>
  <c r="D56" i="16"/>
  <c r="D57" i="16" s="1"/>
  <c r="D52" i="15"/>
  <c r="D53" i="15"/>
  <c r="D57" i="15" s="1"/>
  <c r="C7" i="15"/>
  <c r="FP78" i="1" l="1"/>
  <c r="FO125" i="1"/>
  <c r="D60" i="16"/>
  <c r="D81" i="16"/>
  <c r="FN48" i="1"/>
  <c r="FN123" i="1"/>
  <c r="FN56" i="1"/>
  <c r="FN85" i="1"/>
  <c r="FN72" i="1"/>
  <c r="FN70" i="1"/>
  <c r="FN65" i="1"/>
  <c r="FN63" i="1"/>
  <c r="FN58" i="1"/>
  <c r="FN42" i="1"/>
  <c r="FN35" i="1"/>
  <c r="FN28" i="1"/>
  <c r="FN21" i="1"/>
  <c r="FN14" i="1"/>
  <c r="FN7" i="1"/>
  <c r="DI115" i="1"/>
  <c r="DJ115" i="1"/>
  <c r="DK115" i="1"/>
  <c r="DL115" i="1"/>
  <c r="DM115" i="1"/>
  <c r="DN115" i="1"/>
  <c r="DO115" i="1"/>
  <c r="DP115" i="1"/>
  <c r="DQ115" i="1"/>
  <c r="DR115" i="1"/>
  <c r="DS115" i="1"/>
  <c r="GT7" i="1"/>
  <c r="GT113" i="1"/>
  <c r="GT106" i="1"/>
  <c r="GT85" i="1"/>
  <c r="GT63" i="1"/>
  <c r="GT56" i="1"/>
  <c r="GT49" i="1"/>
  <c r="GT42" i="1"/>
  <c r="GT35" i="1"/>
  <c r="GT28" i="1"/>
  <c r="GT21" i="1"/>
  <c r="GT14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FM69" i="1"/>
  <c r="FM68" i="1"/>
  <c r="FM75" i="1" s="1"/>
  <c r="FM48" i="1"/>
  <c r="FM49" i="1" l="1"/>
  <c r="FM76" i="1"/>
  <c r="FM124" i="1" s="1"/>
  <c r="FN49" i="1"/>
  <c r="FN76" i="1"/>
  <c r="FN124" i="1" s="1"/>
  <c r="C48" i="15"/>
  <c r="C52" i="15" s="1"/>
  <c r="FP126" i="1"/>
  <c r="C10" i="16"/>
  <c r="C12" i="16" s="1"/>
  <c r="C45" i="16"/>
  <c r="C47" i="16" s="1"/>
  <c r="C28" i="16"/>
  <c r="C29" i="16" s="1"/>
  <c r="C51" i="16"/>
  <c r="C52" i="16" s="1"/>
  <c r="C33" i="16"/>
  <c r="C35" i="16" s="1"/>
  <c r="C39" i="16"/>
  <c r="C41" i="16" s="1"/>
  <c r="C22" i="16"/>
  <c r="C24" i="16" s="1"/>
  <c r="C16" i="16"/>
  <c r="C18" i="16" s="1"/>
  <c r="C3" i="16"/>
  <c r="C6" i="16" s="1"/>
  <c r="FO8" i="1"/>
  <c r="FO64" i="1"/>
  <c r="FO15" i="1"/>
  <c r="FO22" i="1"/>
  <c r="FO71" i="1"/>
  <c r="FO29" i="1"/>
  <c r="FO36" i="1"/>
  <c r="FO86" i="1"/>
  <c r="FO43" i="1"/>
  <c r="FO57" i="1"/>
  <c r="FO93" i="1"/>
  <c r="FN118" i="1"/>
  <c r="FM113" i="1"/>
  <c r="FM106" i="1"/>
  <c r="FM85" i="1"/>
  <c r="FM123" i="1"/>
  <c r="FM72" i="1"/>
  <c r="FM70" i="1"/>
  <c r="FM65" i="1"/>
  <c r="FM63" i="1"/>
  <c r="FM58" i="1"/>
  <c r="FM56" i="1"/>
  <c r="FM42" i="1"/>
  <c r="FM35" i="1"/>
  <c r="FM28" i="1"/>
  <c r="FM21" i="1"/>
  <c r="FM14" i="1"/>
  <c r="FM7" i="1"/>
  <c r="FL69" i="1"/>
  <c r="FL68" i="1"/>
  <c r="FL75" i="1" s="1"/>
  <c r="FL48" i="1"/>
  <c r="FL113" i="1"/>
  <c r="FL106" i="1"/>
  <c r="FL85" i="1"/>
  <c r="FL72" i="1"/>
  <c r="FL65" i="1"/>
  <c r="FL63" i="1"/>
  <c r="FL58" i="1"/>
  <c r="FL56" i="1"/>
  <c r="FL42" i="1"/>
  <c r="FL35" i="1"/>
  <c r="FL28" i="1"/>
  <c r="FL21" i="1"/>
  <c r="FL14" i="1"/>
  <c r="FL7" i="1"/>
  <c r="FK69" i="1"/>
  <c r="FK76" i="1" s="1"/>
  <c r="FK68" i="1"/>
  <c r="FK75" i="1" s="1"/>
  <c r="C7" i="2"/>
  <c r="FL76" i="1" l="1"/>
  <c r="FL124" i="1" s="1"/>
  <c r="FL49" i="1"/>
  <c r="FM50" i="1" s="1"/>
  <c r="C53" i="15"/>
  <c r="C57" i="15" s="1"/>
  <c r="C44" i="16"/>
  <c r="C55" i="16"/>
  <c r="C50" i="16"/>
  <c r="C38" i="16"/>
  <c r="C27" i="16"/>
  <c r="C21" i="16"/>
  <c r="C32" i="16"/>
  <c r="C15" i="16"/>
  <c r="C9" i="16"/>
  <c r="C56" i="16"/>
  <c r="C57" i="16" s="1"/>
  <c r="FN29" i="1"/>
  <c r="FN36" i="1"/>
  <c r="FN86" i="1"/>
  <c r="FN8" i="1"/>
  <c r="FN57" i="1"/>
  <c r="FN15" i="1"/>
  <c r="FN107" i="1"/>
  <c r="FN71" i="1"/>
  <c r="FN22" i="1"/>
  <c r="FN64" i="1"/>
  <c r="D43" i="16"/>
  <c r="FO119" i="1"/>
  <c r="FO50" i="1"/>
  <c r="FN43" i="1"/>
  <c r="FM77" i="1"/>
  <c r="FN114" i="1"/>
  <c r="FN77" i="1"/>
  <c r="FM100" i="1"/>
  <c r="FN100" i="1"/>
  <c r="FL118" i="1"/>
  <c r="FN50" i="1"/>
  <c r="FN131" i="1"/>
  <c r="FM107" i="1"/>
  <c r="FM57" i="1"/>
  <c r="FM22" i="1"/>
  <c r="FM64" i="1"/>
  <c r="FM114" i="1"/>
  <c r="FM43" i="1"/>
  <c r="FM29" i="1"/>
  <c r="FM36" i="1"/>
  <c r="FM86" i="1"/>
  <c r="FM15" i="1"/>
  <c r="FM8" i="1"/>
  <c r="FL70" i="1"/>
  <c r="FL123" i="1"/>
  <c r="FK7" i="1"/>
  <c r="FK14" i="1"/>
  <c r="FK21" i="1"/>
  <c r="FK28" i="1"/>
  <c r="FK35" i="1"/>
  <c r="FK42" i="1"/>
  <c r="FK56" i="1"/>
  <c r="FK58" i="1"/>
  <c r="FK63" i="1"/>
  <c r="FK65" i="1"/>
  <c r="FK70" i="1"/>
  <c r="FK72" i="1"/>
  <c r="FK123" i="1"/>
  <c r="FK85" i="1"/>
  <c r="FK106" i="1"/>
  <c r="FK113" i="1"/>
  <c r="FJ69" i="1"/>
  <c r="FJ76" i="1" s="1"/>
  <c r="FJ68" i="1"/>
  <c r="FJ75" i="1" s="1"/>
  <c r="FJ7" i="1"/>
  <c r="FJ14" i="1"/>
  <c r="FJ21" i="1"/>
  <c r="FJ28" i="1"/>
  <c r="FJ35" i="1"/>
  <c r="FJ42" i="1"/>
  <c r="FJ56" i="1"/>
  <c r="FJ58" i="1"/>
  <c r="FJ63" i="1"/>
  <c r="FJ65" i="1"/>
  <c r="FJ72" i="1"/>
  <c r="FJ85" i="1"/>
  <c r="FJ106" i="1"/>
  <c r="FJ113" i="1"/>
  <c r="FI48" i="1"/>
  <c r="FI69" i="1"/>
  <c r="FI68" i="1"/>
  <c r="FI75" i="1" s="1"/>
  <c r="FH56" i="1"/>
  <c r="FH63" i="1"/>
  <c r="FI63" i="1"/>
  <c r="FI7" i="1"/>
  <c r="FI14" i="1"/>
  <c r="FI21" i="1"/>
  <c r="FI28" i="1"/>
  <c r="FI35" i="1"/>
  <c r="FI42" i="1"/>
  <c r="FI56" i="1"/>
  <c r="FI58" i="1"/>
  <c r="FI65" i="1"/>
  <c r="FI72" i="1"/>
  <c r="FI85" i="1"/>
  <c r="FI106" i="1"/>
  <c r="FI113" i="1"/>
  <c r="FG83" i="1"/>
  <c r="FG82" i="1"/>
  <c r="FH48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EC123" i="1"/>
  <c r="ED123" i="1"/>
  <c r="EE123" i="1"/>
  <c r="EJ123" i="1"/>
  <c r="EM123" i="1"/>
  <c r="EN123" i="1"/>
  <c r="EP123" i="1"/>
  <c r="ER123" i="1"/>
  <c r="ES123" i="1"/>
  <c r="ET123" i="1"/>
  <c r="EU123" i="1"/>
  <c r="EV123" i="1"/>
  <c r="EW123" i="1"/>
  <c r="EX123" i="1"/>
  <c r="EZ123" i="1"/>
  <c r="FA123" i="1"/>
  <c r="FB123" i="1"/>
  <c r="FD123" i="1"/>
  <c r="FE123" i="1"/>
  <c r="FF123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E124" i="1"/>
  <c r="CF124" i="1"/>
  <c r="CG124" i="1"/>
  <c r="CH124" i="1"/>
  <c r="CI124" i="1"/>
  <c r="CJ124" i="1"/>
  <c r="CK124" i="1"/>
  <c r="CL124" i="1"/>
  <c r="CM124" i="1"/>
  <c r="CN124" i="1"/>
  <c r="CP124" i="1"/>
  <c r="CQ124" i="1"/>
  <c r="CR124" i="1"/>
  <c r="CS124" i="1"/>
  <c r="CT124" i="1"/>
  <c r="CU124" i="1"/>
  <c r="CV124" i="1"/>
  <c r="CW124" i="1"/>
  <c r="CX124" i="1"/>
  <c r="CY124" i="1"/>
  <c r="CZ124" i="1"/>
  <c r="DK124" i="1"/>
  <c r="FH123" i="1"/>
  <c r="B68" i="1"/>
  <c r="GT70" i="1" s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FG70" i="1"/>
  <c r="FH70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EW72" i="1"/>
  <c r="EX72" i="1"/>
  <c r="EY72" i="1"/>
  <c r="EZ72" i="1"/>
  <c r="FA72" i="1"/>
  <c r="FB72" i="1"/>
  <c r="FC72" i="1"/>
  <c r="FD72" i="1"/>
  <c r="FE72" i="1"/>
  <c r="FF72" i="1"/>
  <c r="FG72" i="1"/>
  <c r="FH72" i="1"/>
  <c r="FH113" i="1"/>
  <c r="FH106" i="1"/>
  <c r="FH85" i="1"/>
  <c r="FH65" i="1"/>
  <c r="FH58" i="1"/>
  <c r="FH42" i="1"/>
  <c r="FH35" i="1"/>
  <c r="FH28" i="1"/>
  <c r="FH21" i="1"/>
  <c r="FH14" i="1"/>
  <c r="FH7" i="1"/>
  <c r="FG48" i="1"/>
  <c r="FG14" i="1"/>
  <c r="FI49" i="1" l="1"/>
  <c r="FI76" i="1"/>
  <c r="FI124" i="1" s="1"/>
  <c r="FH76" i="1"/>
  <c r="FH124" i="1" s="1"/>
  <c r="FH49" i="1"/>
  <c r="FG49" i="1"/>
  <c r="FG76" i="1"/>
  <c r="FG124" i="1" s="1"/>
  <c r="FL131" i="1"/>
  <c r="FJ123" i="1"/>
  <c r="FJ124" i="1"/>
  <c r="EO123" i="1"/>
  <c r="EK123" i="1"/>
  <c r="EL123" i="1"/>
  <c r="EI123" i="1"/>
  <c r="EH123" i="1"/>
  <c r="EG123" i="1"/>
  <c r="EF123" i="1"/>
  <c r="EB123" i="1"/>
  <c r="EA123" i="1"/>
  <c r="C81" i="16"/>
  <c r="C83" i="16" s="1"/>
  <c r="DZ123" i="1"/>
  <c r="DY123" i="1"/>
  <c r="DX123" i="1"/>
  <c r="C60" i="16"/>
  <c r="DW123" i="1"/>
  <c r="DV123" i="1"/>
  <c r="DU123" i="1"/>
  <c r="DT123" i="1"/>
  <c r="DS123" i="1"/>
  <c r="DR123" i="1"/>
  <c r="DQ123" i="1"/>
  <c r="FM118" i="1"/>
  <c r="FM71" i="1"/>
  <c r="D44" i="16"/>
  <c r="D82" i="16"/>
  <c r="D83" i="16" s="1"/>
  <c r="FL64" i="1"/>
  <c r="FL22" i="1"/>
  <c r="FL107" i="1"/>
  <c r="FL86" i="1"/>
  <c r="FL93" i="1"/>
  <c r="FO78" i="1"/>
  <c r="DO123" i="1"/>
  <c r="FN125" i="1"/>
  <c r="FK100" i="1"/>
  <c r="FI100" i="1"/>
  <c r="FJ100" i="1"/>
  <c r="FL77" i="1"/>
  <c r="FK118" i="1"/>
  <c r="FH118" i="1"/>
  <c r="FJ118" i="1"/>
  <c r="FK77" i="1"/>
  <c r="FL100" i="1"/>
  <c r="DN123" i="1"/>
  <c r="FM131" i="1"/>
  <c r="FN93" i="1"/>
  <c r="FJ86" i="1"/>
  <c r="FK15" i="1"/>
  <c r="FH71" i="1"/>
  <c r="FJ22" i="1"/>
  <c r="FJ57" i="1"/>
  <c r="FK43" i="1"/>
  <c r="FI64" i="1"/>
  <c r="FK29" i="1"/>
  <c r="FJ29" i="1"/>
  <c r="FJ114" i="1"/>
  <c r="FJ107" i="1"/>
  <c r="FK36" i="1"/>
  <c r="FI57" i="1"/>
  <c r="FJ43" i="1"/>
  <c r="FK114" i="1"/>
  <c r="FK64" i="1"/>
  <c r="FK22" i="1"/>
  <c r="FL71" i="1"/>
  <c r="FL43" i="1"/>
  <c r="FN78" i="1"/>
  <c r="FM93" i="1"/>
  <c r="FI114" i="1"/>
  <c r="FI43" i="1"/>
  <c r="FJ36" i="1"/>
  <c r="FK107" i="1"/>
  <c r="FL36" i="1"/>
  <c r="FI107" i="1"/>
  <c r="FI36" i="1"/>
  <c r="FK57" i="1"/>
  <c r="FI29" i="1"/>
  <c r="FJ64" i="1"/>
  <c r="FK86" i="1"/>
  <c r="FK93" i="1"/>
  <c r="FL15" i="1"/>
  <c r="FL114" i="1"/>
  <c r="FH15" i="1"/>
  <c r="DM123" i="1"/>
  <c r="FI86" i="1"/>
  <c r="FI22" i="1"/>
  <c r="FJ15" i="1"/>
  <c r="FK50" i="1"/>
  <c r="FL50" i="1"/>
  <c r="FL57" i="1"/>
  <c r="FI15" i="1"/>
  <c r="FL29" i="1"/>
  <c r="FJ8" i="1"/>
  <c r="FK8" i="1"/>
  <c r="FI8" i="1"/>
  <c r="FL8" i="1"/>
  <c r="FK124" i="1"/>
  <c r="FK131" i="1"/>
  <c r="FJ70" i="1"/>
  <c r="FI70" i="1"/>
  <c r="GW70" i="1" s="1"/>
  <c r="FJ131" i="1"/>
  <c r="FI123" i="1"/>
  <c r="FG123" i="1"/>
  <c r="AW71" i="1"/>
  <c r="AG71" i="1"/>
  <c r="Q71" i="1"/>
  <c r="BB71" i="1"/>
  <c r="AT71" i="1"/>
  <c r="AL71" i="1"/>
  <c r="AD71" i="1"/>
  <c r="V71" i="1"/>
  <c r="L71" i="1"/>
  <c r="AX71" i="1"/>
  <c r="AJ71" i="1"/>
  <c r="I71" i="1"/>
  <c r="N71" i="1"/>
  <c r="F71" i="1"/>
  <c r="AV71" i="1"/>
  <c r="AK71" i="1"/>
  <c r="AO71" i="1"/>
  <c r="AN71" i="1"/>
  <c r="AP71" i="1"/>
  <c r="AH71" i="1"/>
  <c r="Z71" i="1"/>
  <c r="R71" i="1"/>
  <c r="J71" i="1"/>
  <c r="AF71" i="1"/>
  <c r="X71" i="1"/>
  <c r="P71" i="1"/>
  <c r="H71" i="1"/>
  <c r="AZ71" i="1"/>
  <c r="AR71" i="1"/>
  <c r="AB71" i="1"/>
  <c r="T71" i="1"/>
  <c r="Y71" i="1"/>
  <c r="U71" i="1"/>
  <c r="BA71" i="1"/>
  <c r="AS71" i="1"/>
  <c r="AC71" i="1"/>
  <c r="M71" i="1"/>
  <c r="E71" i="1"/>
  <c r="BC71" i="1"/>
  <c r="AU71" i="1"/>
  <c r="AM71" i="1"/>
  <c r="AE71" i="1"/>
  <c r="W71" i="1"/>
  <c r="O71" i="1"/>
  <c r="G71" i="1"/>
  <c r="AY71" i="1"/>
  <c r="AQ71" i="1"/>
  <c r="AI71" i="1"/>
  <c r="AA71" i="1"/>
  <c r="S71" i="1"/>
  <c r="K71" i="1"/>
  <c r="FG113" i="1"/>
  <c r="FG106" i="1"/>
  <c r="FG85" i="1"/>
  <c r="FG65" i="1"/>
  <c r="FG63" i="1"/>
  <c r="FG58" i="1"/>
  <c r="FG56" i="1"/>
  <c r="FG42" i="1"/>
  <c r="FG35" i="1"/>
  <c r="FG28" i="1"/>
  <c r="FG21" i="1"/>
  <c r="FG7" i="1"/>
  <c r="FF21" i="1"/>
  <c r="FF48" i="1"/>
  <c r="HA70" i="1" l="1"/>
  <c r="FF49" i="1"/>
  <c r="FF76" i="1"/>
  <c r="FI71" i="1"/>
  <c r="FI93" i="1"/>
  <c r="FH131" i="1"/>
  <c r="FH64" i="1"/>
  <c r="FH86" i="1"/>
  <c r="FH100" i="1"/>
  <c r="FH22" i="1"/>
  <c r="FH29" i="1"/>
  <c r="FH36" i="1"/>
  <c r="FN119" i="1"/>
  <c r="FM119" i="1"/>
  <c r="FL125" i="1"/>
  <c r="FI77" i="1"/>
  <c r="FO126" i="1"/>
  <c r="FG118" i="1"/>
  <c r="FH77" i="1"/>
  <c r="FH43" i="1"/>
  <c r="FG77" i="1"/>
  <c r="FI118" i="1"/>
  <c r="FJ77" i="1"/>
  <c r="FM125" i="1"/>
  <c r="FK125" i="1"/>
  <c r="FK119" i="1"/>
  <c r="FH114" i="1"/>
  <c r="FI50" i="1"/>
  <c r="FM78" i="1"/>
  <c r="FH107" i="1"/>
  <c r="FH93" i="1"/>
  <c r="FJ71" i="1"/>
  <c r="FJ50" i="1"/>
  <c r="FH57" i="1"/>
  <c r="FG22" i="1"/>
  <c r="FL119" i="1"/>
  <c r="FK71" i="1"/>
  <c r="FL78" i="1"/>
  <c r="FH50" i="1"/>
  <c r="FJ93" i="1"/>
  <c r="FH8" i="1"/>
  <c r="FI131" i="1"/>
  <c r="FF124" i="1"/>
  <c r="FG131" i="1"/>
  <c r="FF113" i="1"/>
  <c r="FF106" i="1"/>
  <c r="FF85" i="1"/>
  <c r="FF65" i="1"/>
  <c r="FF63" i="1"/>
  <c r="FF58" i="1"/>
  <c r="FF56" i="1"/>
  <c r="FF42" i="1"/>
  <c r="FF35" i="1"/>
  <c r="FF28" i="1"/>
  <c r="FF14" i="1"/>
  <c r="FF7" i="1"/>
  <c r="FE84" i="1"/>
  <c r="FE85" i="1" s="1"/>
  <c r="FE48" i="1"/>
  <c r="FE7" i="1"/>
  <c r="FE113" i="1"/>
  <c r="FE106" i="1"/>
  <c r="FE65" i="1"/>
  <c r="FE63" i="1"/>
  <c r="FE58" i="1"/>
  <c r="FE56" i="1"/>
  <c r="FE42" i="1"/>
  <c r="FE35" i="1"/>
  <c r="FE28" i="1"/>
  <c r="FE21" i="1"/>
  <c r="FE14" i="1"/>
  <c r="FD48" i="1"/>
  <c r="FD113" i="1"/>
  <c r="FD106" i="1"/>
  <c r="FD85" i="1"/>
  <c r="FD65" i="1"/>
  <c r="FD63" i="1"/>
  <c r="FD58" i="1"/>
  <c r="FD56" i="1"/>
  <c r="FD42" i="1"/>
  <c r="FD35" i="1"/>
  <c r="FD28" i="1"/>
  <c r="FD21" i="1"/>
  <c r="FD14" i="1"/>
  <c r="FD7" i="1"/>
  <c r="FC104" i="1"/>
  <c r="FC48" i="1"/>
  <c r="FC28" i="1"/>
  <c r="FC113" i="1"/>
  <c r="FC85" i="1"/>
  <c r="FC65" i="1"/>
  <c r="FC63" i="1"/>
  <c r="FC58" i="1"/>
  <c r="FC56" i="1"/>
  <c r="FC42" i="1"/>
  <c r="FC35" i="1"/>
  <c r="FC21" i="1"/>
  <c r="FC14" i="1"/>
  <c r="FC7" i="1"/>
  <c r="FA106" i="1"/>
  <c r="FB106" i="1"/>
  <c r="E3" i="5"/>
  <c r="FE49" i="1" l="1"/>
  <c r="FE76" i="1"/>
  <c r="FD76" i="1"/>
  <c r="FD49" i="1"/>
  <c r="FC76" i="1"/>
  <c r="FC124" i="1" s="1"/>
  <c r="FC49" i="1"/>
  <c r="FJ119" i="1"/>
  <c r="FH125" i="1"/>
  <c r="FH119" i="1"/>
  <c r="FG29" i="1"/>
  <c r="FG86" i="1"/>
  <c r="FG36" i="1"/>
  <c r="FG93" i="1"/>
  <c r="FN126" i="1"/>
  <c r="FL126" i="1"/>
  <c r="FI125" i="1"/>
  <c r="FI119" i="1"/>
  <c r="FD100" i="1"/>
  <c r="FE118" i="1"/>
  <c r="FF100" i="1"/>
  <c r="FG100" i="1"/>
  <c r="FD118" i="1"/>
  <c r="FE100" i="1"/>
  <c r="FF118" i="1"/>
  <c r="FC29" i="1"/>
  <c r="FJ125" i="1"/>
  <c r="FM126" i="1"/>
  <c r="FE64" i="1"/>
  <c r="FH78" i="1"/>
  <c r="FE22" i="1"/>
  <c r="FG125" i="1"/>
  <c r="FE86" i="1"/>
  <c r="FE15" i="1"/>
  <c r="FE114" i="1"/>
  <c r="FD36" i="1"/>
  <c r="FE43" i="1"/>
  <c r="FF107" i="1"/>
  <c r="FI78" i="1"/>
  <c r="FE57" i="1"/>
  <c r="FE93" i="1"/>
  <c r="FJ78" i="1"/>
  <c r="FD64" i="1"/>
  <c r="FD22" i="1"/>
  <c r="FD86" i="1"/>
  <c r="FE29" i="1"/>
  <c r="FE107" i="1"/>
  <c r="FF29" i="1"/>
  <c r="FF86" i="1"/>
  <c r="FK78" i="1"/>
  <c r="FF15" i="1"/>
  <c r="FG15" i="1"/>
  <c r="FD29" i="1"/>
  <c r="FE36" i="1"/>
  <c r="FF36" i="1"/>
  <c r="FF64" i="1"/>
  <c r="FD114" i="1"/>
  <c r="FF93" i="1"/>
  <c r="FF114" i="1"/>
  <c r="FF22" i="1"/>
  <c r="FG64" i="1"/>
  <c r="FD15" i="1"/>
  <c r="FF43" i="1"/>
  <c r="FG43" i="1"/>
  <c r="FD43" i="1"/>
  <c r="FB107" i="1"/>
  <c r="FD57" i="1"/>
  <c r="FD93" i="1"/>
  <c r="FF57" i="1"/>
  <c r="FG114" i="1"/>
  <c r="FG57" i="1"/>
  <c r="FG107" i="1"/>
  <c r="FF8" i="1"/>
  <c r="FD8" i="1"/>
  <c r="FG8" i="1"/>
  <c r="FE8" i="1"/>
  <c r="FE124" i="1"/>
  <c r="FC106" i="1"/>
  <c r="FC123" i="1"/>
  <c r="FD124" i="1"/>
  <c r="FB48" i="1"/>
  <c r="FB113" i="1"/>
  <c r="FB85" i="1"/>
  <c r="FB65" i="1"/>
  <c r="FB63" i="1"/>
  <c r="FB58" i="1"/>
  <c r="FB56" i="1"/>
  <c r="FB42" i="1"/>
  <c r="FB35" i="1"/>
  <c r="FB21" i="1"/>
  <c r="FB14" i="1"/>
  <c r="FB7" i="1"/>
  <c r="FB49" i="1" l="1"/>
  <c r="FB76" i="1"/>
  <c r="FF77" i="1"/>
  <c r="FE77" i="1"/>
  <c r="FD77" i="1"/>
  <c r="FC118" i="1"/>
  <c r="FC77" i="1"/>
  <c r="FC100" i="1"/>
  <c r="FB118" i="1"/>
  <c r="FK126" i="1"/>
  <c r="FD50" i="1"/>
  <c r="FC22" i="1"/>
  <c r="FC36" i="1"/>
  <c r="FC86" i="1"/>
  <c r="FC93" i="1"/>
  <c r="FC57" i="1"/>
  <c r="FF119" i="1"/>
  <c r="FC107" i="1"/>
  <c r="FF50" i="1"/>
  <c r="FG50" i="1"/>
  <c r="FI126" i="1"/>
  <c r="FC64" i="1"/>
  <c r="FE131" i="1"/>
  <c r="FE50" i="1"/>
  <c r="FG119" i="1"/>
  <c r="FH126" i="1"/>
  <c r="FJ126" i="1"/>
  <c r="FC114" i="1"/>
  <c r="FE119" i="1"/>
  <c r="FC43" i="1"/>
  <c r="FD107" i="1"/>
  <c r="FC15" i="1"/>
  <c r="FC8" i="1"/>
  <c r="FF131" i="1"/>
  <c r="FD131" i="1"/>
  <c r="FB124" i="1"/>
  <c r="FC131" i="1"/>
  <c r="E10" i="5"/>
  <c r="FA48" i="1"/>
  <c r="FA113" i="1"/>
  <c r="FA85" i="1"/>
  <c r="FA65" i="1"/>
  <c r="FA63" i="1"/>
  <c r="FA58" i="1"/>
  <c r="FA56" i="1"/>
  <c r="FA42" i="1"/>
  <c r="FA35" i="1"/>
  <c r="FA28" i="1"/>
  <c r="FA21" i="1"/>
  <c r="FA14" i="1"/>
  <c r="FA7" i="1"/>
  <c r="FA49" i="1" l="1"/>
  <c r="FA76" i="1"/>
  <c r="FA124" i="1" s="1"/>
  <c r="FD125" i="1"/>
  <c r="FB77" i="1"/>
  <c r="FB64" i="1"/>
  <c r="FB57" i="1"/>
  <c r="FB8" i="1"/>
  <c r="FB86" i="1"/>
  <c r="FB36" i="1"/>
  <c r="FF125" i="1"/>
  <c r="FE125" i="1"/>
  <c r="FC125" i="1"/>
  <c r="FA118" i="1"/>
  <c r="FB43" i="1"/>
  <c r="FB100" i="1"/>
  <c r="FC119" i="1"/>
  <c r="FC50" i="1"/>
  <c r="FB15" i="1"/>
  <c r="FB93" i="1"/>
  <c r="FD78" i="1"/>
  <c r="FB114" i="1"/>
  <c r="FB29" i="1"/>
  <c r="FE78" i="1"/>
  <c r="FB131" i="1"/>
  <c r="FF78" i="1"/>
  <c r="FG78" i="1"/>
  <c r="FB22" i="1"/>
  <c r="FD119" i="1"/>
  <c r="EZ48" i="1"/>
  <c r="EZ7" i="1"/>
  <c r="EZ4" i="1"/>
  <c r="EZ14" i="1"/>
  <c r="EZ21" i="1"/>
  <c r="EZ28" i="1"/>
  <c r="EZ35" i="1"/>
  <c r="EZ42" i="1"/>
  <c r="EZ56" i="1"/>
  <c r="EZ58" i="1"/>
  <c r="EZ63" i="1"/>
  <c r="EZ65" i="1"/>
  <c r="EZ85" i="1"/>
  <c r="EZ106" i="1"/>
  <c r="EZ113" i="1"/>
  <c r="EY82" i="1"/>
  <c r="EY48" i="1"/>
  <c r="EY113" i="1"/>
  <c r="EY106" i="1"/>
  <c r="EY65" i="1"/>
  <c r="EY63" i="1"/>
  <c r="EY58" i="1"/>
  <c r="EY56" i="1"/>
  <c r="EY42" i="1"/>
  <c r="EY35" i="1"/>
  <c r="EY28" i="1"/>
  <c r="EY21" i="1"/>
  <c r="EY14" i="1"/>
  <c r="EY7" i="1"/>
  <c r="BD87" i="1"/>
  <c r="EX48" i="1"/>
  <c r="EX113" i="1"/>
  <c r="EX106" i="1"/>
  <c r="EX85" i="1"/>
  <c r="EX65" i="1"/>
  <c r="EX63" i="1"/>
  <c r="EX58" i="1"/>
  <c r="EX56" i="1"/>
  <c r="EX42" i="1"/>
  <c r="EX35" i="1"/>
  <c r="EX28" i="1"/>
  <c r="EX21" i="1"/>
  <c r="EX14" i="1"/>
  <c r="EX7" i="1"/>
  <c r="EW48" i="1"/>
  <c r="EX49" i="1" l="1"/>
  <c r="EX76" i="1"/>
  <c r="EX124" i="1" s="1"/>
  <c r="EZ76" i="1"/>
  <c r="EZ49" i="1"/>
  <c r="EW49" i="1"/>
  <c r="EW76" i="1"/>
  <c r="EW124" i="1" s="1"/>
  <c r="EY49" i="1"/>
  <c r="EY76" i="1"/>
  <c r="EY124" i="1" s="1"/>
  <c r="FA77" i="1"/>
  <c r="FB119" i="1"/>
  <c r="FA8" i="1"/>
  <c r="FA86" i="1"/>
  <c r="FA29" i="1"/>
  <c r="FA22" i="1"/>
  <c r="FE126" i="1"/>
  <c r="EX118" i="1"/>
  <c r="FA43" i="1"/>
  <c r="EY100" i="1"/>
  <c r="EZ100" i="1"/>
  <c r="EZ118" i="1"/>
  <c r="FA100" i="1"/>
  <c r="FB125" i="1"/>
  <c r="EY107" i="1"/>
  <c r="EZ64" i="1"/>
  <c r="EY43" i="1"/>
  <c r="EZ15" i="1"/>
  <c r="EZ114" i="1"/>
  <c r="FA114" i="1"/>
  <c r="EY22" i="1"/>
  <c r="EZ36" i="1"/>
  <c r="EZ57" i="1"/>
  <c r="EY93" i="1"/>
  <c r="FC78" i="1"/>
  <c r="EY15" i="1"/>
  <c r="EZ107" i="1"/>
  <c r="FA107" i="1"/>
  <c r="EZ43" i="1"/>
  <c r="FA64" i="1"/>
  <c r="FB50" i="1"/>
  <c r="FD126" i="1"/>
  <c r="EY64" i="1"/>
  <c r="FA36" i="1"/>
  <c r="EZ93" i="1"/>
  <c r="EZ29" i="1"/>
  <c r="FA57" i="1"/>
  <c r="EY57" i="1"/>
  <c r="EY29" i="1"/>
  <c r="EY36" i="1"/>
  <c r="EY114" i="1"/>
  <c r="EZ22" i="1"/>
  <c r="FF126" i="1"/>
  <c r="FG126" i="1"/>
  <c r="FA93" i="1"/>
  <c r="FA15" i="1"/>
  <c r="EZ8" i="1"/>
  <c r="EY8" i="1"/>
  <c r="FA131" i="1"/>
  <c r="EY85" i="1"/>
  <c r="EY123" i="1"/>
  <c r="EZ124" i="1"/>
  <c r="EW113" i="1"/>
  <c r="EW106" i="1"/>
  <c r="EW85" i="1"/>
  <c r="EW65" i="1"/>
  <c r="EW63" i="1"/>
  <c r="EW58" i="1"/>
  <c r="EW56" i="1"/>
  <c r="EW42" i="1"/>
  <c r="EW35" i="1"/>
  <c r="EW28" i="1"/>
  <c r="EW21" i="1"/>
  <c r="EW14" i="1"/>
  <c r="EW7" i="1"/>
  <c r="EV48" i="1"/>
  <c r="EV113" i="1"/>
  <c r="EV106" i="1"/>
  <c r="EV85" i="1"/>
  <c r="EV65" i="1"/>
  <c r="EV63" i="1"/>
  <c r="EV58" i="1"/>
  <c r="EV56" i="1"/>
  <c r="EV42" i="1"/>
  <c r="EV35" i="1"/>
  <c r="EV28" i="1"/>
  <c r="EV21" i="1"/>
  <c r="EV14" i="1"/>
  <c r="EV7" i="1"/>
  <c r="EV76" i="1" l="1"/>
  <c r="EV124" i="1" s="1"/>
  <c r="EV49" i="1"/>
  <c r="FA125" i="1"/>
  <c r="EZ77" i="1"/>
  <c r="EY86" i="1"/>
  <c r="EY77" i="1"/>
  <c r="EX77" i="1"/>
  <c r="EX125" i="1" s="1"/>
  <c r="EX22" i="1"/>
  <c r="EX36" i="1"/>
  <c r="EX107" i="1"/>
  <c r="EX15" i="1"/>
  <c r="EY118" i="1"/>
  <c r="EW100" i="1"/>
  <c r="EV118" i="1"/>
  <c r="EX100" i="1"/>
  <c r="FC126" i="1"/>
  <c r="EZ50" i="1"/>
  <c r="EZ86" i="1"/>
  <c r="EW57" i="1"/>
  <c r="EW114" i="1"/>
  <c r="EW29" i="1"/>
  <c r="FB78" i="1"/>
  <c r="EW43" i="1"/>
  <c r="EW64" i="1"/>
  <c r="EX43" i="1"/>
  <c r="FA50" i="1"/>
  <c r="EW86" i="1"/>
  <c r="EX86" i="1"/>
  <c r="EX114" i="1"/>
  <c r="EY50" i="1"/>
  <c r="FA119" i="1"/>
  <c r="EW15" i="1"/>
  <c r="EW22" i="1"/>
  <c r="EW36" i="1"/>
  <c r="EW107" i="1"/>
  <c r="EX29" i="1"/>
  <c r="EX64" i="1"/>
  <c r="EX57" i="1"/>
  <c r="EW8" i="1"/>
  <c r="EX8" i="1"/>
  <c r="EX131" i="1"/>
  <c r="EZ131" i="1"/>
  <c r="EY131" i="1"/>
  <c r="FB126" i="1" l="1"/>
  <c r="EZ125" i="1"/>
  <c r="EZ119" i="1"/>
  <c r="EX50" i="1"/>
  <c r="EW118" i="1"/>
  <c r="EV77" i="1"/>
  <c r="EV125" i="1" s="1"/>
  <c r="EW77" i="1"/>
  <c r="EY119" i="1"/>
  <c r="EY78" i="1"/>
  <c r="EY125" i="1"/>
  <c r="EZ78" i="1"/>
  <c r="EW93" i="1"/>
  <c r="EX93" i="1"/>
  <c r="EW50" i="1"/>
  <c r="FA78" i="1"/>
  <c r="EV131" i="1"/>
  <c r="EW131" i="1"/>
  <c r="EX119" i="1" l="1"/>
  <c r="EX78" i="1"/>
  <c r="EW119" i="1"/>
  <c r="EW125" i="1"/>
  <c r="EY126" i="1"/>
  <c r="EZ126" i="1"/>
  <c r="EW78" i="1"/>
  <c r="FA126" i="1"/>
  <c r="EW126" i="1" l="1"/>
  <c r="EX126" i="1"/>
  <c r="EU48" i="1"/>
  <c r="EU113" i="1"/>
  <c r="EU106" i="1"/>
  <c r="EU85" i="1"/>
  <c r="EU65" i="1"/>
  <c r="EU63" i="1"/>
  <c r="EU58" i="1"/>
  <c r="EU56" i="1"/>
  <c r="EU42" i="1"/>
  <c r="EU35" i="1"/>
  <c r="EU28" i="1"/>
  <c r="EU21" i="1"/>
  <c r="EU14" i="1"/>
  <c r="EU7" i="1"/>
  <c r="EU49" i="1" l="1"/>
  <c r="EU76" i="1"/>
  <c r="EU124" i="1" s="1"/>
  <c r="EV100" i="1"/>
  <c r="EU118" i="1"/>
  <c r="EV114" i="1"/>
  <c r="EV29" i="1"/>
  <c r="EV107" i="1"/>
  <c r="EV57" i="1"/>
  <c r="EV36" i="1"/>
  <c r="EV43" i="1"/>
  <c r="EV93" i="1"/>
  <c r="EV64" i="1"/>
  <c r="EV15" i="1"/>
  <c r="EV22" i="1"/>
  <c r="EV86" i="1"/>
  <c r="EV8" i="1"/>
  <c r="EU77" i="1" l="1"/>
  <c r="EU125" i="1" s="1"/>
  <c r="EV50" i="1"/>
  <c r="EV119" i="1"/>
  <c r="EU131" i="1"/>
  <c r="EV78" i="1" l="1"/>
  <c r="EV126" i="1" l="1"/>
  <c r="E4" i="5"/>
  <c r="E5" i="5"/>
  <c r="E6" i="5"/>
  <c r="E7" i="5"/>
  <c r="E8" i="5"/>
  <c r="E9" i="5"/>
  <c r="E2" i="5"/>
  <c r="ET48" i="1"/>
  <c r="ET113" i="1"/>
  <c r="ET106" i="1"/>
  <c r="ET85" i="1"/>
  <c r="ET65" i="1"/>
  <c r="ET63" i="1"/>
  <c r="ET58" i="1"/>
  <c r="ET56" i="1"/>
  <c r="ET42" i="1"/>
  <c r="ET35" i="1"/>
  <c r="ET28" i="1"/>
  <c r="ET21" i="1"/>
  <c r="ET14" i="1"/>
  <c r="ET7" i="1"/>
  <c r="ES48" i="1"/>
  <c r="ES113" i="1"/>
  <c r="GW113" i="1" s="1"/>
  <c r="ES106" i="1"/>
  <c r="GW106" i="1" s="1"/>
  <c r="ES85" i="1"/>
  <c r="GW85" i="1" s="1"/>
  <c r="ES65" i="1"/>
  <c r="ES63" i="1"/>
  <c r="ES58" i="1"/>
  <c r="ES56" i="1"/>
  <c r="ES42" i="1"/>
  <c r="ES35" i="1"/>
  <c r="GW35" i="1" s="1"/>
  <c r="ES28" i="1"/>
  <c r="GW28" i="1" s="1"/>
  <c r="ES21" i="1"/>
  <c r="GW21" i="1" s="1"/>
  <c r="ES14" i="1"/>
  <c r="GW14" i="1" s="1"/>
  <c r="ES7" i="1"/>
  <c r="GW7" i="1" s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R48" i="1"/>
  <c r="GW63" i="1" l="1"/>
  <c r="GW42" i="1"/>
  <c r="GW56" i="1"/>
  <c r="ES49" i="1"/>
  <c r="ES76" i="1"/>
  <c r="ER76" i="1"/>
  <c r="ER49" i="1"/>
  <c r="ET49" i="1"/>
  <c r="ET76" i="1"/>
  <c r="ET124" i="1" s="1"/>
  <c r="ES118" i="1"/>
  <c r="ET118" i="1"/>
  <c r="ET100" i="1"/>
  <c r="EU100" i="1"/>
  <c r="ET29" i="1"/>
  <c r="EU29" i="1"/>
  <c r="ET22" i="1"/>
  <c r="EU22" i="1"/>
  <c r="ET36" i="1"/>
  <c r="EU36" i="1"/>
  <c r="ET107" i="1"/>
  <c r="EU107" i="1"/>
  <c r="ET43" i="1"/>
  <c r="EU43" i="1"/>
  <c r="ET114" i="1"/>
  <c r="EU114" i="1"/>
  <c r="ET86" i="1"/>
  <c r="EU86" i="1"/>
  <c r="ET57" i="1"/>
  <c r="EU57" i="1"/>
  <c r="ET93" i="1"/>
  <c r="EU93" i="1"/>
  <c r="ET15" i="1"/>
  <c r="EU15" i="1"/>
  <c r="ET64" i="1"/>
  <c r="EU64" i="1"/>
  <c r="ET8" i="1"/>
  <c r="EU8" i="1"/>
  <c r="ER113" i="1"/>
  <c r="ER106" i="1"/>
  <c r="ER85" i="1"/>
  <c r="ER63" i="1"/>
  <c r="ER58" i="1"/>
  <c r="ER56" i="1"/>
  <c r="ER42" i="1"/>
  <c r="ER35" i="1"/>
  <c r="ER28" i="1"/>
  <c r="ER21" i="1"/>
  <c r="ER14" i="1"/>
  <c r="ER7" i="1"/>
  <c r="GW49" i="1" l="1"/>
  <c r="GW118" i="1"/>
  <c r="GR65" i="1"/>
  <c r="GR66" i="1" s="1"/>
  <c r="ES124" i="1"/>
  <c r="ER124" i="1"/>
  <c r="ET77" i="1"/>
  <c r="ET125" i="1" s="1"/>
  <c r="ES77" i="1"/>
  <c r="ES57" i="1"/>
  <c r="ES15" i="1"/>
  <c r="ES8" i="1"/>
  <c r="ES29" i="1"/>
  <c r="ES36" i="1"/>
  <c r="ES107" i="1"/>
  <c r="ES93" i="1"/>
  <c r="ER118" i="1"/>
  <c r="ES43" i="1"/>
  <c r="ES100" i="1"/>
  <c r="ES114" i="1"/>
  <c r="ES22" i="1"/>
  <c r="ET119" i="1"/>
  <c r="EU119" i="1"/>
  <c r="ES64" i="1"/>
  <c r="ET50" i="1"/>
  <c r="EU50" i="1"/>
  <c r="ES86" i="1"/>
  <c r="ES131" i="1"/>
  <c r="ET131" i="1"/>
  <c r="EQ82" i="1"/>
  <c r="GS82" i="1" s="1"/>
  <c r="EQ83" i="1"/>
  <c r="GS83" i="1" s="1"/>
  <c r="EQ48" i="1"/>
  <c r="GS48" i="1" s="1"/>
  <c r="ES125" i="1" l="1"/>
  <c r="GW125" i="1" s="1"/>
  <c r="GW77" i="1"/>
  <c r="EQ49" i="1"/>
  <c r="GR51" i="1" s="1"/>
  <c r="GR52" i="1" s="1"/>
  <c r="EQ76" i="1"/>
  <c r="GS76" i="1" s="1"/>
  <c r="EQ123" i="1"/>
  <c r="GS123" i="1" s="1"/>
  <c r="ES50" i="1"/>
  <c r="ES119" i="1"/>
  <c r="ER77" i="1"/>
  <c r="ET78" i="1"/>
  <c r="EU78" i="1"/>
  <c r="ER131" i="1"/>
  <c r="EQ113" i="1"/>
  <c r="EQ106" i="1"/>
  <c r="EQ85" i="1"/>
  <c r="GR87" i="1" s="1"/>
  <c r="GR88" i="1" s="1"/>
  <c r="EQ63" i="1"/>
  <c r="EQ58" i="1"/>
  <c r="EQ56" i="1"/>
  <c r="GR58" i="1" s="1"/>
  <c r="GR59" i="1" s="1"/>
  <c r="EQ42" i="1"/>
  <c r="GR44" i="1" s="1"/>
  <c r="GR45" i="1" s="1"/>
  <c r="EQ35" i="1"/>
  <c r="GR37" i="1" s="1"/>
  <c r="GR38" i="1" s="1"/>
  <c r="EQ28" i="1"/>
  <c r="GR30" i="1" s="1"/>
  <c r="GR31" i="1" s="1"/>
  <c r="EQ21" i="1"/>
  <c r="GR23" i="1" s="1"/>
  <c r="GR24" i="1" s="1"/>
  <c r="EQ14" i="1"/>
  <c r="GR16" i="1" s="1"/>
  <c r="GR17" i="1" s="1"/>
  <c r="EQ7" i="1"/>
  <c r="GR9" i="1" s="1"/>
  <c r="GR10" i="1" s="1"/>
  <c r="EP83" i="1"/>
  <c r="GS85" i="1" s="1"/>
  <c r="EP48" i="1"/>
  <c r="GS49" i="1" s="1"/>
  <c r="EP113" i="1"/>
  <c r="EP106" i="1"/>
  <c r="EP63" i="1"/>
  <c r="GP65" i="1" s="1"/>
  <c r="GP66" i="1" s="1"/>
  <c r="EP58" i="1"/>
  <c r="EP56" i="1"/>
  <c r="GQ58" i="1" s="1"/>
  <c r="GQ59" i="1" s="1"/>
  <c r="EP42" i="1"/>
  <c r="GQ44" i="1" s="1"/>
  <c r="GQ45" i="1" s="1"/>
  <c r="EP35" i="1"/>
  <c r="GQ37" i="1" s="1"/>
  <c r="GQ38" i="1" s="1"/>
  <c r="EP28" i="1"/>
  <c r="GQ30" i="1" s="1"/>
  <c r="GQ31" i="1" s="1"/>
  <c r="EP21" i="1"/>
  <c r="GQ23" i="1" s="1"/>
  <c r="GQ24" i="1" s="1"/>
  <c r="EP14" i="1"/>
  <c r="GQ16" i="1" s="1"/>
  <c r="GQ17" i="1" s="1"/>
  <c r="EP7" i="1"/>
  <c r="GQ9" i="1" s="1"/>
  <c r="GQ10" i="1" s="1"/>
  <c r="EO83" i="1"/>
  <c r="EO48" i="1"/>
  <c r="EO113" i="1"/>
  <c r="EO106" i="1"/>
  <c r="EO63" i="1"/>
  <c r="GO65" i="1" s="1"/>
  <c r="GO66" i="1" s="1"/>
  <c r="EO58" i="1"/>
  <c r="EO56" i="1"/>
  <c r="GP58" i="1" s="1"/>
  <c r="GP59" i="1" s="1"/>
  <c r="EO42" i="1"/>
  <c r="GP44" i="1" s="1"/>
  <c r="GP45" i="1" s="1"/>
  <c r="EO35" i="1"/>
  <c r="GP37" i="1" s="1"/>
  <c r="GP38" i="1" s="1"/>
  <c r="EO28" i="1"/>
  <c r="GP30" i="1" s="1"/>
  <c r="GP31" i="1" s="1"/>
  <c r="EO21" i="1"/>
  <c r="GP23" i="1" s="1"/>
  <c r="GP24" i="1" s="1"/>
  <c r="EO14" i="1"/>
  <c r="GP16" i="1" s="1"/>
  <c r="GP17" i="1" s="1"/>
  <c r="EO7" i="1"/>
  <c r="GP9" i="1" s="1"/>
  <c r="GP10" i="1" s="1"/>
  <c r="EN48" i="1"/>
  <c r="GR108" i="1" l="1"/>
  <c r="GR109" i="1" s="1"/>
  <c r="GS106" i="1"/>
  <c r="GR115" i="1"/>
  <c r="GR116" i="1" s="1"/>
  <c r="GS113" i="1"/>
  <c r="GQ65" i="1"/>
  <c r="GQ66" i="1" s="1"/>
  <c r="GQ115" i="1"/>
  <c r="GQ116" i="1" s="1"/>
  <c r="GQ108" i="1"/>
  <c r="GQ109" i="1" s="1"/>
  <c r="GP115" i="1"/>
  <c r="GP116" i="1" s="1"/>
  <c r="GP108" i="1"/>
  <c r="GP109" i="1" s="1"/>
  <c r="EN76" i="1"/>
  <c r="EN49" i="1"/>
  <c r="EO49" i="1"/>
  <c r="GP51" i="1" s="1"/>
  <c r="GP52" i="1" s="1"/>
  <c r="EO76" i="1"/>
  <c r="EP49" i="1"/>
  <c r="GQ51" i="1" s="1"/>
  <c r="GQ52" i="1" s="1"/>
  <c r="EP76" i="1"/>
  <c r="GS77" i="1" s="1"/>
  <c r="EQ124" i="1"/>
  <c r="GS124" i="1" s="1"/>
  <c r="EP85" i="1"/>
  <c r="EO85" i="1"/>
  <c r="ER125" i="1"/>
  <c r="EQ77" i="1"/>
  <c r="GR79" i="1" s="1"/>
  <c r="EP100" i="1"/>
  <c r="EQ118" i="1"/>
  <c r="EQ100" i="1"/>
  <c r="ER100" i="1"/>
  <c r="EP15" i="1"/>
  <c r="EP64" i="1"/>
  <c r="EP107" i="1"/>
  <c r="EP29" i="1"/>
  <c r="EP114" i="1"/>
  <c r="EQ15" i="1"/>
  <c r="ER15" i="1"/>
  <c r="EQ22" i="1"/>
  <c r="ER22" i="1"/>
  <c r="EP22" i="1"/>
  <c r="EQ29" i="1"/>
  <c r="ER29" i="1"/>
  <c r="ER86" i="1"/>
  <c r="EQ64" i="1"/>
  <c r="ER64" i="1"/>
  <c r="EP36" i="1"/>
  <c r="EP93" i="1"/>
  <c r="EQ43" i="1"/>
  <c r="ER43" i="1"/>
  <c r="EQ107" i="1"/>
  <c r="ER107" i="1"/>
  <c r="ET126" i="1"/>
  <c r="EU126" i="1"/>
  <c r="EQ36" i="1"/>
  <c r="ER36" i="1"/>
  <c r="EP43" i="1"/>
  <c r="EQ114" i="1"/>
  <c r="ER114" i="1"/>
  <c r="ER50" i="1"/>
  <c r="EP57" i="1"/>
  <c r="EQ93" i="1"/>
  <c r="ER93" i="1"/>
  <c r="EQ57" i="1"/>
  <c r="ER57" i="1"/>
  <c r="ES78" i="1"/>
  <c r="EP8" i="1"/>
  <c r="EQ8" i="1"/>
  <c r="ER8" i="1"/>
  <c r="EQ131" i="1"/>
  <c r="EN83" i="1"/>
  <c r="GR120" i="1" l="1"/>
  <c r="GR121" i="1" s="1"/>
  <c r="GS118" i="1"/>
  <c r="ES126" i="1"/>
  <c r="EQ86" i="1"/>
  <c r="GQ87" i="1"/>
  <c r="GQ88" i="1" s="1"/>
  <c r="EO77" i="1"/>
  <c r="GP79" i="1" s="1"/>
  <c r="EP124" i="1"/>
  <c r="GS125" i="1" s="1"/>
  <c r="EO118" i="1"/>
  <c r="GP87" i="1"/>
  <c r="GP88" i="1" s="1"/>
  <c r="EP118" i="1"/>
  <c r="EN124" i="1"/>
  <c r="EP86" i="1"/>
  <c r="EO124" i="1"/>
  <c r="ER78" i="1"/>
  <c r="EP77" i="1"/>
  <c r="GQ79" i="1" s="1"/>
  <c r="EP50" i="1"/>
  <c r="EQ125" i="1"/>
  <c r="GR127" i="1" s="1"/>
  <c r="ER119" i="1"/>
  <c r="EQ50" i="1"/>
  <c r="EP131" i="1"/>
  <c r="EO131" i="1"/>
  <c r="EN113" i="1"/>
  <c r="EN106" i="1"/>
  <c r="EN85" i="1"/>
  <c r="EN63" i="1"/>
  <c r="EN58" i="1"/>
  <c r="EN56" i="1"/>
  <c r="EN42" i="1"/>
  <c r="EN35" i="1"/>
  <c r="EN28" i="1"/>
  <c r="EN21" i="1"/>
  <c r="EN14" i="1"/>
  <c r="EN7" i="1"/>
  <c r="GQ80" i="1" l="1"/>
  <c r="GR132" i="1"/>
  <c r="GR128" i="1"/>
  <c r="GR80" i="1"/>
  <c r="GQ120" i="1"/>
  <c r="GQ121" i="1" s="1"/>
  <c r="GP120" i="1"/>
  <c r="GP121" i="1" s="1"/>
  <c r="GO23" i="1"/>
  <c r="GO24" i="1" s="1"/>
  <c r="GO37" i="1"/>
  <c r="GO38" i="1" s="1"/>
  <c r="EP119" i="1"/>
  <c r="GN65" i="1"/>
  <c r="GN66" i="1" s="1"/>
  <c r="GO30" i="1"/>
  <c r="GO31" i="1" s="1"/>
  <c r="GO44" i="1"/>
  <c r="GO45" i="1" s="1"/>
  <c r="GO9" i="1"/>
  <c r="GO10" i="1" s="1"/>
  <c r="GO16" i="1"/>
  <c r="GO17" i="1" s="1"/>
  <c r="GO87" i="1"/>
  <c r="GO88" i="1" s="1"/>
  <c r="GO58" i="1"/>
  <c r="GO59" i="1" s="1"/>
  <c r="GO108" i="1"/>
  <c r="GO109" i="1" s="1"/>
  <c r="GO115" i="1"/>
  <c r="GO116" i="1" s="1"/>
  <c r="EQ119" i="1"/>
  <c r="EN118" i="1"/>
  <c r="EO100" i="1"/>
  <c r="EO125" i="1"/>
  <c r="GP127" i="1" s="1"/>
  <c r="EP78" i="1"/>
  <c r="EQ78" i="1"/>
  <c r="EP125" i="1"/>
  <c r="GQ127" i="1" s="1"/>
  <c r="EO43" i="1"/>
  <c r="EO114" i="1"/>
  <c r="EO36" i="1"/>
  <c r="EO15" i="1"/>
  <c r="EO86" i="1"/>
  <c r="EO107" i="1"/>
  <c r="EO93" i="1"/>
  <c r="EO57" i="1"/>
  <c r="EO64" i="1"/>
  <c r="EO22" i="1"/>
  <c r="EO29" i="1"/>
  <c r="ER126" i="1"/>
  <c r="EO8" i="1"/>
  <c r="EM83" i="1"/>
  <c r="EM48" i="1"/>
  <c r="GN94" i="1"/>
  <c r="GN95" i="1" s="1"/>
  <c r="EM113" i="1"/>
  <c r="EM106" i="1"/>
  <c r="EM63" i="1"/>
  <c r="EM58" i="1"/>
  <c r="EM56" i="1"/>
  <c r="EM42" i="1"/>
  <c r="EM35" i="1"/>
  <c r="EM28" i="1"/>
  <c r="EM21" i="1"/>
  <c r="EM14" i="1"/>
  <c r="EM7" i="1"/>
  <c r="GQ132" i="1" l="1"/>
  <c r="GQ128" i="1"/>
  <c r="GN44" i="1"/>
  <c r="GN45" i="1" s="1"/>
  <c r="GN9" i="1"/>
  <c r="GN10" i="1" s="1"/>
  <c r="GN37" i="1"/>
  <c r="GN38" i="1" s="1"/>
  <c r="GM65" i="1"/>
  <c r="GM66" i="1" s="1"/>
  <c r="EM49" i="1"/>
  <c r="EM76" i="1"/>
  <c r="EM124" i="1" s="1"/>
  <c r="GP132" i="1"/>
  <c r="GP128" i="1"/>
  <c r="GN23" i="1"/>
  <c r="GN24" i="1" s="1"/>
  <c r="GN30" i="1"/>
  <c r="GN31" i="1" s="1"/>
  <c r="GO120" i="1"/>
  <c r="GO121" i="1" s="1"/>
  <c r="EN77" i="1"/>
  <c r="GO51" i="1"/>
  <c r="GO52" i="1" s="1"/>
  <c r="GN115" i="1"/>
  <c r="GN116" i="1" s="1"/>
  <c r="EM85" i="1"/>
  <c r="EN36" i="1"/>
  <c r="EN107" i="1"/>
  <c r="GN108" i="1"/>
  <c r="GN109" i="1" s="1"/>
  <c r="EN57" i="1"/>
  <c r="GN58" i="1"/>
  <c r="GN59" i="1" s="1"/>
  <c r="EN15" i="1"/>
  <c r="GN16" i="1"/>
  <c r="GN17" i="1" s="1"/>
  <c r="EN100" i="1"/>
  <c r="GN101" i="1"/>
  <c r="GN102" i="1" s="1"/>
  <c r="EN64" i="1"/>
  <c r="GL65" i="1"/>
  <c r="GL66" i="1" s="1"/>
  <c r="EP126" i="1"/>
  <c r="EN114" i="1"/>
  <c r="EN22" i="1"/>
  <c r="EO50" i="1"/>
  <c r="EQ126" i="1"/>
  <c r="EN43" i="1"/>
  <c r="EN29" i="1"/>
  <c r="EN93" i="1"/>
  <c r="EO119" i="1"/>
  <c r="EN8" i="1"/>
  <c r="EN131" i="1"/>
  <c r="GO79" i="1" l="1"/>
  <c r="GP80" i="1" s="1"/>
  <c r="GN87" i="1"/>
  <c r="GN88" i="1" s="1"/>
  <c r="EN125" i="1"/>
  <c r="AC57" i="16"/>
  <c r="EM118" i="1"/>
  <c r="EN86" i="1"/>
  <c r="EM77" i="1"/>
  <c r="GN51" i="1"/>
  <c r="GN52" i="1" s="1"/>
  <c r="EO78" i="1"/>
  <c r="EN50" i="1"/>
  <c r="EM131" i="1"/>
  <c r="EL83" i="1"/>
  <c r="EL48" i="1"/>
  <c r="GO127" i="1" l="1"/>
  <c r="GO132" i="1" s="1"/>
  <c r="EL49" i="1"/>
  <c r="EL76" i="1"/>
  <c r="GN79" i="1"/>
  <c r="AC60" i="16"/>
  <c r="AC81" i="16"/>
  <c r="AC83" i="16" s="1"/>
  <c r="GN120" i="1"/>
  <c r="GN121" i="1" s="1"/>
  <c r="EN119" i="1"/>
  <c r="EN78" i="1"/>
  <c r="EM125" i="1"/>
  <c r="EO126" i="1"/>
  <c r="EL113" i="1"/>
  <c r="EL106" i="1"/>
  <c r="EL85" i="1"/>
  <c r="EL63" i="1"/>
  <c r="EL58" i="1"/>
  <c r="EL56" i="1"/>
  <c r="EL42" i="1"/>
  <c r="EL35" i="1"/>
  <c r="EL28" i="1"/>
  <c r="EL21" i="1"/>
  <c r="EL14" i="1"/>
  <c r="EL7" i="1"/>
  <c r="EK83" i="1"/>
  <c r="EK48" i="1"/>
  <c r="GO128" i="1" l="1"/>
  <c r="EK49" i="1"/>
  <c r="EK76" i="1"/>
  <c r="GO80" i="1"/>
  <c r="GN127" i="1"/>
  <c r="GN132" i="1" s="1"/>
  <c r="GL37" i="1"/>
  <c r="GM37" i="1"/>
  <c r="GM38" i="1" s="1"/>
  <c r="GM115" i="1"/>
  <c r="GM116" i="1" s="1"/>
  <c r="GL16" i="1"/>
  <c r="GL17" i="1" s="1"/>
  <c r="GM16" i="1"/>
  <c r="GM17" i="1" s="1"/>
  <c r="GL44" i="1"/>
  <c r="GL45" i="1" s="1"/>
  <c r="GM44" i="1"/>
  <c r="GM45" i="1" s="1"/>
  <c r="GK65" i="1"/>
  <c r="GK66" i="1" s="1"/>
  <c r="GL87" i="1"/>
  <c r="GL88" i="1" s="1"/>
  <c r="GM87" i="1"/>
  <c r="GM88" i="1" s="1"/>
  <c r="GL9" i="1"/>
  <c r="GL10" i="1" s="1"/>
  <c r="GM9" i="1"/>
  <c r="GM10" i="1" s="1"/>
  <c r="GL23" i="1"/>
  <c r="GL24" i="1" s="1"/>
  <c r="GM23" i="1"/>
  <c r="GM24" i="1" s="1"/>
  <c r="GL51" i="1"/>
  <c r="GL52" i="1" s="1"/>
  <c r="GM51" i="1"/>
  <c r="GM52" i="1" s="1"/>
  <c r="GL30" i="1"/>
  <c r="GL31" i="1" s="1"/>
  <c r="GM30" i="1"/>
  <c r="GM31" i="1" s="1"/>
  <c r="GL58" i="1"/>
  <c r="GL59" i="1" s="1"/>
  <c r="GM58" i="1"/>
  <c r="GM59" i="1" s="1"/>
  <c r="GM108" i="1"/>
  <c r="GM109" i="1" s="1"/>
  <c r="GL101" i="1"/>
  <c r="GL102" i="1" s="1"/>
  <c r="GL108" i="1"/>
  <c r="GL109" i="1" s="1"/>
  <c r="GL115" i="1"/>
  <c r="GL116" i="1" s="1"/>
  <c r="GL94" i="1"/>
  <c r="GL95" i="1" s="1"/>
  <c r="EL124" i="1"/>
  <c r="EL118" i="1"/>
  <c r="EM100" i="1"/>
  <c r="EL77" i="1"/>
  <c r="EL131" i="1"/>
  <c r="EM114" i="1"/>
  <c r="EM107" i="1"/>
  <c r="EM22" i="1"/>
  <c r="EM64" i="1"/>
  <c r="EM29" i="1"/>
  <c r="EM86" i="1"/>
  <c r="EN126" i="1"/>
  <c r="EM43" i="1"/>
  <c r="EM50" i="1"/>
  <c r="EM93" i="1"/>
  <c r="EM57" i="1"/>
  <c r="EM15" i="1"/>
  <c r="EM36" i="1"/>
  <c r="EM8" i="1"/>
  <c r="EK113" i="1"/>
  <c r="EK106" i="1"/>
  <c r="EK85" i="1"/>
  <c r="EK63" i="1"/>
  <c r="EK58" i="1"/>
  <c r="EK56" i="1"/>
  <c r="EK42" i="1"/>
  <c r="EK35" i="1"/>
  <c r="EK28" i="1"/>
  <c r="EK21" i="1"/>
  <c r="EK14" i="1"/>
  <c r="EK7" i="1"/>
  <c r="EJ83" i="1"/>
  <c r="EJ85" i="1" s="1"/>
  <c r="EJ48" i="1"/>
  <c r="EJ113" i="1"/>
  <c r="EJ106" i="1"/>
  <c r="EJ63" i="1"/>
  <c r="EJ58" i="1"/>
  <c r="EJ56" i="1"/>
  <c r="EJ42" i="1"/>
  <c r="EJ35" i="1"/>
  <c r="EJ28" i="1"/>
  <c r="EJ21" i="1"/>
  <c r="EJ14" i="1"/>
  <c r="EJ7" i="1"/>
  <c r="EI83" i="1"/>
  <c r="EI48" i="1"/>
  <c r="GN128" i="1" l="1"/>
  <c r="EJ76" i="1"/>
  <c r="EJ124" i="1" s="1"/>
  <c r="EJ49" i="1"/>
  <c r="EI49" i="1"/>
  <c r="EI76" i="1"/>
  <c r="GL79" i="1"/>
  <c r="GM79" i="1"/>
  <c r="GM120" i="1"/>
  <c r="GM121" i="1" s="1"/>
  <c r="GK87" i="1"/>
  <c r="GK88" i="1" s="1"/>
  <c r="GK44" i="1"/>
  <c r="GK45" i="1" s="1"/>
  <c r="GK37" i="1"/>
  <c r="GK9" i="1"/>
  <c r="GK10" i="1" s="1"/>
  <c r="GK58" i="1"/>
  <c r="GK59" i="1" s="1"/>
  <c r="GK51" i="1"/>
  <c r="GK52" i="1" s="1"/>
  <c r="GK16" i="1"/>
  <c r="GK17" i="1" s="1"/>
  <c r="GL120" i="1"/>
  <c r="GL121" i="1" s="1"/>
  <c r="GK30" i="1"/>
  <c r="GK31" i="1" s="1"/>
  <c r="GK23" i="1"/>
  <c r="GK24" i="1" s="1"/>
  <c r="GJ23" i="1"/>
  <c r="GJ24" i="1" s="1"/>
  <c r="GJ115" i="1"/>
  <c r="GJ116" i="1" s="1"/>
  <c r="GK101" i="1"/>
  <c r="GK102" i="1" s="1"/>
  <c r="GJ94" i="1"/>
  <c r="GJ95" i="1" s="1"/>
  <c r="GK108" i="1"/>
  <c r="GK109" i="1" s="1"/>
  <c r="GJ58" i="1"/>
  <c r="GJ59" i="1" s="1"/>
  <c r="GJ87" i="1"/>
  <c r="GJ88" i="1" s="1"/>
  <c r="GK94" i="1"/>
  <c r="GK95" i="1" s="1"/>
  <c r="EK124" i="1"/>
  <c r="GJ108" i="1"/>
  <c r="GJ109" i="1" s="1"/>
  <c r="GJ37" i="1"/>
  <c r="GJ30" i="1"/>
  <c r="GJ31" i="1" s="1"/>
  <c r="GJ9" i="1"/>
  <c r="GJ10" i="1" s="1"/>
  <c r="GI65" i="1"/>
  <c r="GI66" i="1" s="1"/>
  <c r="GJ44" i="1"/>
  <c r="GJ45" i="1" s="1"/>
  <c r="GK115" i="1"/>
  <c r="GK116" i="1" s="1"/>
  <c r="GJ16" i="1"/>
  <c r="GJ17" i="1" s="1"/>
  <c r="GJ101" i="1"/>
  <c r="GJ102" i="1" s="1"/>
  <c r="EL64" i="1"/>
  <c r="GJ65" i="1"/>
  <c r="GJ66" i="1" s="1"/>
  <c r="EK118" i="1"/>
  <c r="EJ118" i="1"/>
  <c r="EK100" i="1"/>
  <c r="EL43" i="1"/>
  <c r="EK77" i="1"/>
  <c r="EL100" i="1"/>
  <c r="EL107" i="1"/>
  <c r="EK131" i="1"/>
  <c r="EL125" i="1"/>
  <c r="EK22" i="1"/>
  <c r="EL114" i="1"/>
  <c r="EK15" i="1"/>
  <c r="EK93" i="1"/>
  <c r="EL15" i="1"/>
  <c r="EK57" i="1"/>
  <c r="EK29" i="1"/>
  <c r="EL22" i="1"/>
  <c r="EK36" i="1"/>
  <c r="EM119" i="1"/>
  <c r="EK86" i="1"/>
  <c r="EL86" i="1"/>
  <c r="EL57" i="1"/>
  <c r="EL93" i="1"/>
  <c r="EK64" i="1"/>
  <c r="EK43" i="1"/>
  <c r="EK107" i="1"/>
  <c r="EL29" i="1"/>
  <c r="EM78" i="1"/>
  <c r="EK114" i="1"/>
  <c r="EL36" i="1"/>
  <c r="EL50" i="1"/>
  <c r="EK8" i="1"/>
  <c r="EL8" i="1"/>
  <c r="EI113" i="1"/>
  <c r="EI106" i="1"/>
  <c r="EI85" i="1"/>
  <c r="EI63" i="1"/>
  <c r="EI58" i="1"/>
  <c r="EI56" i="1"/>
  <c r="EI42" i="1"/>
  <c r="EI35" i="1"/>
  <c r="EI28" i="1"/>
  <c r="EI21" i="1"/>
  <c r="EI14" i="1"/>
  <c r="EI7" i="1"/>
  <c r="GM80" i="1" l="1"/>
  <c r="GN80" i="1"/>
  <c r="GL127" i="1"/>
  <c r="GL134" i="1" s="1"/>
  <c r="GL132" i="1" s="1"/>
  <c r="GM127" i="1"/>
  <c r="GK79" i="1"/>
  <c r="GK80" i="1" s="1"/>
  <c r="GJ120" i="1"/>
  <c r="GJ121" i="1" s="1"/>
  <c r="GK120" i="1"/>
  <c r="GK121" i="1" s="1"/>
  <c r="GI51" i="1"/>
  <c r="GI52" i="1" s="1"/>
  <c r="GI30" i="1"/>
  <c r="GI31" i="1" s="1"/>
  <c r="GI9" i="1"/>
  <c r="GI10" i="1" s="1"/>
  <c r="GI44" i="1"/>
  <c r="GI45" i="1" s="1"/>
  <c r="GI58" i="1"/>
  <c r="GI59" i="1" s="1"/>
  <c r="GI16" i="1"/>
  <c r="GI23" i="1"/>
  <c r="GI24" i="1" s="1"/>
  <c r="EK50" i="1"/>
  <c r="GJ51" i="1"/>
  <c r="GJ52" i="1" s="1"/>
  <c r="GI108" i="1"/>
  <c r="GI109" i="1" s="1"/>
  <c r="EI124" i="1"/>
  <c r="GI101" i="1"/>
  <c r="GI102" i="1" s="1"/>
  <c r="GI115" i="1"/>
  <c r="GI116" i="1" s="1"/>
  <c r="EJ93" i="1"/>
  <c r="GI94" i="1"/>
  <c r="GI95" i="1" s="1"/>
  <c r="EJ36" i="1"/>
  <c r="GI37" i="1"/>
  <c r="EJ86" i="1"/>
  <c r="GI87" i="1"/>
  <c r="GI88" i="1" s="1"/>
  <c r="EJ64" i="1"/>
  <c r="GH65" i="1"/>
  <c r="GH66" i="1" s="1"/>
  <c r="EI118" i="1"/>
  <c r="EJ100" i="1"/>
  <c r="EJ43" i="1"/>
  <c r="EI77" i="1"/>
  <c r="EJ77" i="1"/>
  <c r="EJ107" i="1"/>
  <c r="EI131" i="1"/>
  <c r="EK125" i="1"/>
  <c r="EM126" i="1"/>
  <c r="EJ22" i="1"/>
  <c r="EK119" i="1"/>
  <c r="EJ131" i="1"/>
  <c r="EJ50" i="1"/>
  <c r="EL119" i="1"/>
  <c r="EJ114" i="1"/>
  <c r="EL78" i="1"/>
  <c r="EJ15" i="1"/>
  <c r="EJ29" i="1"/>
  <c r="EJ57" i="1"/>
  <c r="EJ8" i="1"/>
  <c r="EH83" i="1"/>
  <c r="EH48" i="1"/>
  <c r="GL80" i="1" l="1"/>
  <c r="EH49" i="1"/>
  <c r="EH76" i="1"/>
  <c r="EH124" i="1" s="1"/>
  <c r="GL128" i="1"/>
  <c r="GM132" i="1"/>
  <c r="GM128" i="1"/>
  <c r="EL126" i="1"/>
  <c r="GK127" i="1"/>
  <c r="GI79" i="1"/>
  <c r="GI80" i="1" s="1"/>
  <c r="EJ125" i="1"/>
  <c r="GJ79" i="1"/>
  <c r="GJ80" i="1" s="1"/>
  <c r="GI120" i="1"/>
  <c r="GI121" i="1" s="1"/>
  <c r="EI125" i="1"/>
  <c r="EJ78" i="1"/>
  <c r="EK78" i="1"/>
  <c r="EJ119" i="1"/>
  <c r="EH113" i="1"/>
  <c r="EH106" i="1"/>
  <c r="EH85" i="1"/>
  <c r="EH63" i="1"/>
  <c r="EH58" i="1"/>
  <c r="EH56" i="1"/>
  <c r="EH42" i="1"/>
  <c r="EH35" i="1"/>
  <c r="EH28" i="1"/>
  <c r="EH21" i="1"/>
  <c r="EH14" i="1"/>
  <c r="EH7" i="1"/>
  <c r="GJ127" i="1" l="1"/>
  <c r="GJ134" i="1" s="1"/>
  <c r="GJ132" i="1" s="1"/>
  <c r="GK134" i="1"/>
  <c r="GK132" i="1" s="1"/>
  <c r="GK128" i="1"/>
  <c r="GI127" i="1"/>
  <c r="GI134" i="1" s="1"/>
  <c r="GI132" i="1" s="1"/>
  <c r="GG65" i="1"/>
  <c r="GG66" i="1" s="1"/>
  <c r="GH30" i="1"/>
  <c r="GH31" i="1" s="1"/>
  <c r="GH87" i="1"/>
  <c r="GH88" i="1" s="1"/>
  <c r="GH9" i="1"/>
  <c r="GH10" i="1" s="1"/>
  <c r="GH23" i="1"/>
  <c r="GH24" i="1" s="1"/>
  <c r="GH58" i="1"/>
  <c r="GH59" i="1" s="1"/>
  <c r="GH16" i="1"/>
  <c r="GH17" i="1" s="1"/>
  <c r="GH37" i="1"/>
  <c r="GH44" i="1"/>
  <c r="GH45" i="1" s="1"/>
  <c r="GH51" i="1"/>
  <c r="GH52" i="1" s="1"/>
  <c r="GH101" i="1"/>
  <c r="GH102" i="1" s="1"/>
  <c r="GH115" i="1"/>
  <c r="GH116" i="1" s="1"/>
  <c r="GH94" i="1"/>
  <c r="GH95" i="1" s="1"/>
  <c r="GH108" i="1"/>
  <c r="GH109" i="1" s="1"/>
  <c r="EI100" i="1"/>
  <c r="EH77" i="1"/>
  <c r="EH118" i="1"/>
  <c r="EJ126" i="1"/>
  <c r="EI64" i="1"/>
  <c r="EI29" i="1"/>
  <c r="EK126" i="1"/>
  <c r="EI36" i="1"/>
  <c r="EI93" i="1"/>
  <c r="EI57" i="1"/>
  <c r="EI15" i="1"/>
  <c r="EI22" i="1"/>
  <c r="EI86" i="1"/>
  <c r="EI43" i="1"/>
  <c r="EI107" i="1"/>
  <c r="EI50" i="1"/>
  <c r="EI114" i="1"/>
  <c r="EI8" i="1"/>
  <c r="EH131" i="1"/>
  <c r="EG48" i="1"/>
  <c r="EG113" i="1"/>
  <c r="EG106" i="1"/>
  <c r="EG85" i="1"/>
  <c r="EG63" i="1"/>
  <c r="EG58" i="1"/>
  <c r="EG56" i="1"/>
  <c r="EG42" i="1"/>
  <c r="EG35" i="1"/>
  <c r="EG28" i="1"/>
  <c r="EG21" i="1"/>
  <c r="EG14" i="1"/>
  <c r="EG7" i="1"/>
  <c r="EF48" i="1"/>
  <c r="EF113" i="1"/>
  <c r="EF106" i="1"/>
  <c r="EF85" i="1"/>
  <c r="EF63" i="1"/>
  <c r="EF58" i="1"/>
  <c r="EF56" i="1"/>
  <c r="EF42" i="1"/>
  <c r="EF35" i="1"/>
  <c r="EF28" i="1"/>
  <c r="EF21" i="1"/>
  <c r="EF14" i="1"/>
  <c r="EF7" i="1"/>
  <c r="EE48" i="1"/>
  <c r="EE7" i="1"/>
  <c r="EE14" i="1"/>
  <c r="EE21" i="1"/>
  <c r="EE28" i="1"/>
  <c r="EE35" i="1"/>
  <c r="EE42" i="1"/>
  <c r="EE56" i="1"/>
  <c r="EE58" i="1"/>
  <c r="EE63" i="1"/>
  <c r="EE85" i="1"/>
  <c r="EE106" i="1"/>
  <c r="EE113" i="1"/>
  <c r="E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ED48" i="1"/>
  <c r="ED113" i="1"/>
  <c r="ED106" i="1"/>
  <c r="ED85" i="1"/>
  <c r="ED58" i="1"/>
  <c r="ED56" i="1"/>
  <c r="ED42" i="1"/>
  <c r="ED35" i="1"/>
  <c r="ED28" i="1"/>
  <c r="ED21" i="1"/>
  <c r="ED14" i="1"/>
  <c r="ED7" i="1"/>
  <c r="EC48" i="1"/>
  <c r="EC113" i="1"/>
  <c r="EC106" i="1"/>
  <c r="EC85" i="1"/>
  <c r="EC58" i="1"/>
  <c r="EC56" i="1"/>
  <c r="EC42" i="1"/>
  <c r="EC35" i="1"/>
  <c r="EC28" i="1"/>
  <c r="EC21" i="1"/>
  <c r="EC14" i="1"/>
  <c r="EC7" i="1"/>
  <c r="EB48" i="1"/>
  <c r="EB113" i="1"/>
  <c r="EB106" i="1"/>
  <c r="EB85" i="1"/>
  <c r="EB58" i="1"/>
  <c r="EB56" i="1"/>
  <c r="EB42" i="1"/>
  <c r="EB35" i="1"/>
  <c r="EB28" i="1"/>
  <c r="EB21" i="1"/>
  <c r="EB14" i="1"/>
  <c r="EB7" i="1"/>
  <c r="DY85" i="1"/>
  <c r="DT84" i="1"/>
  <c r="DU84" i="1"/>
  <c r="DV84" i="1"/>
  <c r="DW84" i="1"/>
  <c r="DX84" i="1"/>
  <c r="DZ84" i="1"/>
  <c r="DR85" i="1"/>
  <c r="DS85" i="1"/>
  <c r="EA84" i="1"/>
  <c r="EA48" i="1"/>
  <c r="EA113" i="1"/>
  <c r="EA106" i="1"/>
  <c r="EA58" i="1"/>
  <c r="EA56" i="1"/>
  <c r="EA42" i="1"/>
  <c r="EA35" i="1"/>
  <c r="EA28" i="1"/>
  <c r="EA21" i="1"/>
  <c r="EA14" i="1"/>
  <c r="EA7" i="1"/>
  <c r="DZ56" i="1"/>
  <c r="DY48" i="1"/>
  <c r="DZ48" i="1"/>
  <c r="HA63" i="1" l="1"/>
  <c r="DZ49" i="1"/>
  <c r="DZ76" i="1"/>
  <c r="EA49" i="1"/>
  <c r="EA76" i="1"/>
  <c r="EE49" i="1"/>
  <c r="EE76" i="1"/>
  <c r="EE124" i="1" s="1"/>
  <c r="DY49" i="1"/>
  <c r="DY76" i="1"/>
  <c r="EF76" i="1"/>
  <c r="EF49" i="1"/>
  <c r="EB76" i="1"/>
  <c r="EB49" i="1"/>
  <c r="EC49" i="1"/>
  <c r="EC76" i="1"/>
  <c r="EC124" i="1" s="1"/>
  <c r="ED49" i="1"/>
  <c r="ED76" i="1"/>
  <c r="ED124" i="1" s="1"/>
  <c r="EG49" i="1"/>
  <c r="EG76" i="1"/>
  <c r="GJ128" i="1"/>
  <c r="GI128" i="1"/>
  <c r="GH79" i="1"/>
  <c r="GH80" i="1" s="1"/>
  <c r="GG9" i="1"/>
  <c r="GG10" i="1" s="1"/>
  <c r="GG16" i="1"/>
  <c r="GG17" i="1" s="1"/>
  <c r="GG23" i="1"/>
  <c r="GG24" i="1" s="1"/>
  <c r="GG87" i="1"/>
  <c r="GG88" i="1" s="1"/>
  <c r="GG44" i="1"/>
  <c r="GG45" i="1" s="1"/>
  <c r="GG30" i="1"/>
  <c r="GG31" i="1" s="1"/>
  <c r="GH120" i="1"/>
  <c r="GH121" i="1" s="1"/>
  <c r="GG94" i="1"/>
  <c r="GG95" i="1" s="1"/>
  <c r="GF23" i="1"/>
  <c r="GF24" i="1" s="1"/>
  <c r="GF58" i="1"/>
  <c r="GF59" i="1" s="1"/>
  <c r="GG101" i="1"/>
  <c r="GG102" i="1" s="1"/>
  <c r="GF16" i="1"/>
  <c r="GF17" i="1" s="1"/>
  <c r="GF44" i="1"/>
  <c r="GF45" i="1" s="1"/>
  <c r="GF87" i="1"/>
  <c r="GF88" i="1" s="1"/>
  <c r="GF30" i="1"/>
  <c r="GF31" i="1" s="1"/>
  <c r="GF9" i="1"/>
  <c r="GF10" i="1" s="1"/>
  <c r="GF37" i="1"/>
  <c r="GE65" i="1"/>
  <c r="GE66" i="1" s="1"/>
  <c r="GG115" i="1"/>
  <c r="GG116" i="1" s="1"/>
  <c r="EF118" i="1"/>
  <c r="GE115" i="1"/>
  <c r="GE116" i="1" s="1"/>
  <c r="GD65" i="1"/>
  <c r="GD66" i="1" s="1"/>
  <c r="GE37" i="1"/>
  <c r="GE9" i="1"/>
  <c r="GE10" i="1" s="1"/>
  <c r="GF101" i="1"/>
  <c r="GF102" i="1" s="1"/>
  <c r="EH57" i="1"/>
  <c r="GG58" i="1"/>
  <c r="GG59" i="1" s="1"/>
  <c r="GE108" i="1"/>
  <c r="GE109" i="1" s="1"/>
  <c r="GE30" i="1"/>
  <c r="GE31" i="1" s="1"/>
  <c r="GF108" i="1"/>
  <c r="GF109" i="1" s="1"/>
  <c r="EH36" i="1"/>
  <c r="GG37" i="1"/>
  <c r="EH107" i="1"/>
  <c r="GG108" i="1"/>
  <c r="GG109" i="1" s="1"/>
  <c r="GE87" i="1"/>
  <c r="GE88" i="1" s="1"/>
  <c r="GE44" i="1"/>
  <c r="GE45" i="1" s="1"/>
  <c r="GE16" i="1"/>
  <c r="GE17" i="1" s="1"/>
  <c r="GE101" i="1"/>
  <c r="GE102" i="1" s="1"/>
  <c r="GE58" i="1"/>
  <c r="GE59" i="1" s="1"/>
  <c r="GE23" i="1"/>
  <c r="GE24" i="1" s="1"/>
  <c r="GF115" i="1"/>
  <c r="GF116" i="1" s="1"/>
  <c r="GD23" i="1"/>
  <c r="GD24" i="1" s="1"/>
  <c r="GD58" i="1"/>
  <c r="GD59" i="1" s="1"/>
  <c r="GD108" i="1"/>
  <c r="GD109" i="1" s="1"/>
  <c r="GD30" i="1"/>
  <c r="GD31" i="1" s="1"/>
  <c r="GD115" i="1"/>
  <c r="GD116" i="1" s="1"/>
  <c r="GD9" i="1"/>
  <c r="GD10" i="1" s="1"/>
  <c r="GD37" i="1"/>
  <c r="GD87" i="1"/>
  <c r="GD88" i="1" s="1"/>
  <c r="GD94" i="1"/>
  <c r="GD95" i="1" s="1"/>
  <c r="GD16" i="1"/>
  <c r="GD17" i="1" s="1"/>
  <c r="GD44" i="1"/>
  <c r="GD45" i="1" s="1"/>
  <c r="GD101" i="1"/>
  <c r="GD102" i="1" s="1"/>
  <c r="EH64" i="1"/>
  <c r="GF65" i="1"/>
  <c r="GF66" i="1" s="1"/>
  <c r="GC94" i="1"/>
  <c r="GC95" i="1" s="1"/>
  <c r="GC115" i="1"/>
  <c r="GC116" i="1" s="1"/>
  <c r="GC108" i="1"/>
  <c r="GC109" i="1" s="1"/>
  <c r="GC101" i="1"/>
  <c r="GC102" i="1" s="1"/>
  <c r="GC87" i="1"/>
  <c r="GC88" i="1" s="1"/>
  <c r="GC58" i="1"/>
  <c r="GC59" i="1" s="1"/>
  <c r="GC44" i="1"/>
  <c r="GC45" i="1" s="1"/>
  <c r="GC37" i="1"/>
  <c r="GC30" i="1"/>
  <c r="GC31" i="1" s="1"/>
  <c r="GC23" i="1"/>
  <c r="GC24" i="1" s="1"/>
  <c r="GC16" i="1"/>
  <c r="GC17" i="1" s="1"/>
  <c r="GC9" i="1"/>
  <c r="GC10" i="1" s="1"/>
  <c r="GB58" i="1"/>
  <c r="GB59" i="1" s="1"/>
  <c r="GC65" i="1"/>
  <c r="GC66" i="1" s="1"/>
  <c r="GB87" i="1"/>
  <c r="GB88" i="1" s="1"/>
  <c r="GB16" i="1"/>
  <c r="GB17" i="1" s="1"/>
  <c r="GB23" i="1"/>
  <c r="GB24" i="1" s="1"/>
  <c r="GB30" i="1"/>
  <c r="GB37" i="1"/>
  <c r="GB9" i="1"/>
  <c r="GB10" i="1" s="1"/>
  <c r="GB44" i="1"/>
  <c r="GB45" i="1" s="1"/>
  <c r="EC93" i="1"/>
  <c r="GA44" i="1"/>
  <c r="GA45" i="1" s="1"/>
  <c r="GA9" i="1"/>
  <c r="GA10" i="1" s="1"/>
  <c r="GB101" i="1"/>
  <c r="GB102" i="1" s="1"/>
  <c r="GA58" i="1"/>
  <c r="GA59" i="1" s="1"/>
  <c r="GB108" i="1"/>
  <c r="GB109" i="1" s="1"/>
  <c r="GA16" i="1"/>
  <c r="GA17" i="1" s="1"/>
  <c r="GA23" i="1"/>
  <c r="GA24" i="1" s="1"/>
  <c r="GB115" i="1"/>
  <c r="GB116" i="1" s="1"/>
  <c r="GA30" i="1"/>
  <c r="GA37" i="1"/>
  <c r="GA94" i="1"/>
  <c r="GA95" i="1" s="1"/>
  <c r="EA85" i="1"/>
  <c r="GA108" i="1"/>
  <c r="GA109" i="1" s="1"/>
  <c r="FZ58" i="1"/>
  <c r="FZ59" i="1" s="1"/>
  <c r="GA101" i="1"/>
  <c r="GA102" i="1" s="1"/>
  <c r="GA115" i="1"/>
  <c r="GA116" i="1" s="1"/>
  <c r="FY87" i="1"/>
  <c r="FY88" i="1" s="1"/>
  <c r="DZ85" i="1"/>
  <c r="DX85" i="1"/>
  <c r="DY86" i="1" s="1"/>
  <c r="DW85" i="1"/>
  <c r="DV85" i="1"/>
  <c r="DU85" i="1"/>
  <c r="DT85" i="1"/>
  <c r="DT86" i="1" s="1"/>
  <c r="FS87" i="1"/>
  <c r="FS88" i="1" s="1"/>
  <c r="FR87" i="1"/>
  <c r="FR88" i="1" s="1"/>
  <c r="EC100" i="1"/>
  <c r="EF100" i="1"/>
  <c r="ED118" i="1"/>
  <c r="EB100" i="1"/>
  <c r="EC118" i="1"/>
  <c r="ED100" i="1"/>
  <c r="EE100" i="1"/>
  <c r="EH43" i="1"/>
  <c r="EG118" i="1"/>
  <c r="EG100" i="1"/>
  <c r="EH100" i="1"/>
  <c r="EB36" i="1"/>
  <c r="ED86" i="1"/>
  <c r="EC57" i="1"/>
  <c r="EC86" i="1"/>
  <c r="ED22" i="1"/>
  <c r="DS86" i="1"/>
  <c r="ED107" i="1"/>
  <c r="EH125" i="1"/>
  <c r="EF15" i="1"/>
  <c r="EF86" i="1"/>
  <c r="EC15" i="1"/>
  <c r="ED29" i="1"/>
  <c r="EF22" i="1"/>
  <c r="EB43" i="1"/>
  <c r="ED15" i="1"/>
  <c r="EE57" i="1"/>
  <c r="EF64" i="1"/>
  <c r="EG15" i="1"/>
  <c r="ED114" i="1"/>
  <c r="EE36" i="1"/>
  <c r="EG29" i="1"/>
  <c r="ED43" i="1"/>
  <c r="EH15" i="1"/>
  <c r="EB57" i="1"/>
  <c r="EE43" i="1"/>
  <c r="EG22" i="1"/>
  <c r="EG86" i="1"/>
  <c r="EI78" i="1"/>
  <c r="EE114" i="1"/>
  <c r="EH29" i="1"/>
  <c r="EA57" i="1"/>
  <c r="EC22" i="1"/>
  <c r="EC107" i="1"/>
  <c r="ED36" i="1"/>
  <c r="ED93" i="1"/>
  <c r="EE107" i="1"/>
  <c r="EE29" i="1"/>
  <c r="EF29" i="1"/>
  <c r="EF107" i="1"/>
  <c r="EG36" i="1"/>
  <c r="EG107" i="1"/>
  <c r="EB15" i="1"/>
  <c r="EC29" i="1"/>
  <c r="EC114" i="1"/>
  <c r="EE22" i="1"/>
  <c r="EF36" i="1"/>
  <c r="EF114" i="1"/>
  <c r="EG43" i="1"/>
  <c r="EG114" i="1"/>
  <c r="EH114" i="1"/>
  <c r="EH86" i="1"/>
  <c r="EB22" i="1"/>
  <c r="EB107" i="1"/>
  <c r="EC36" i="1"/>
  <c r="ED57" i="1"/>
  <c r="EE86" i="1"/>
  <c r="EE15" i="1"/>
  <c r="EF43" i="1"/>
  <c r="EH93" i="1"/>
  <c r="EG64" i="1"/>
  <c r="EB29" i="1"/>
  <c r="EB114" i="1"/>
  <c r="EC43" i="1"/>
  <c r="EE64" i="1"/>
  <c r="EF57" i="1"/>
  <c r="EG57" i="1"/>
  <c r="EI119" i="1"/>
  <c r="EH22" i="1"/>
  <c r="EB8" i="1"/>
  <c r="EE8" i="1"/>
  <c r="ED8" i="1"/>
  <c r="EG8" i="1"/>
  <c r="EF8" i="1"/>
  <c r="EC8" i="1"/>
  <c r="EH8" i="1"/>
  <c r="I64" i="1"/>
  <c r="Q64" i="1"/>
  <c r="Y64" i="1"/>
  <c r="AG64" i="1"/>
  <c r="AO64" i="1"/>
  <c r="AW64" i="1"/>
  <c r="G64" i="1"/>
  <c r="K64" i="1"/>
  <c r="O64" i="1"/>
  <c r="S64" i="1"/>
  <c r="W64" i="1"/>
  <c r="AA64" i="1"/>
  <c r="AE64" i="1"/>
  <c r="AI64" i="1"/>
  <c r="AM64" i="1"/>
  <c r="AQ64" i="1"/>
  <c r="AU64" i="1"/>
  <c r="AY64" i="1"/>
  <c r="BC64" i="1"/>
  <c r="BA64" i="1"/>
  <c r="H64" i="1"/>
  <c r="P64" i="1"/>
  <c r="X64" i="1"/>
  <c r="AF64" i="1"/>
  <c r="AN64" i="1"/>
  <c r="AV64" i="1"/>
  <c r="L64" i="1"/>
  <c r="T64" i="1"/>
  <c r="AB64" i="1"/>
  <c r="AJ64" i="1"/>
  <c r="AR64" i="1"/>
  <c r="AZ64" i="1"/>
  <c r="E64" i="1"/>
  <c r="M64" i="1"/>
  <c r="U64" i="1"/>
  <c r="AC64" i="1"/>
  <c r="AK64" i="1"/>
  <c r="AS64" i="1"/>
  <c r="F64" i="1"/>
  <c r="N64" i="1"/>
  <c r="V64" i="1"/>
  <c r="AD64" i="1"/>
  <c r="AL64" i="1"/>
  <c r="AP64" i="1"/>
  <c r="AT64" i="1"/>
  <c r="AX64" i="1"/>
  <c r="J64" i="1"/>
  <c r="R64" i="1"/>
  <c r="Z64" i="1"/>
  <c r="AH64" i="1"/>
  <c r="BB64" i="1"/>
  <c r="DZ113" i="1"/>
  <c r="DZ106" i="1"/>
  <c r="DZ58" i="1"/>
  <c r="DZ42" i="1"/>
  <c r="DZ35" i="1"/>
  <c r="DZ28" i="1"/>
  <c r="DZ21" i="1"/>
  <c r="DZ14" i="1"/>
  <c r="DZ7" i="1"/>
  <c r="DY113" i="1"/>
  <c r="DY106" i="1"/>
  <c r="DY58" i="1"/>
  <c r="DY56" i="1"/>
  <c r="DY42" i="1"/>
  <c r="DY35" i="1"/>
  <c r="DY28" i="1"/>
  <c r="DY21" i="1"/>
  <c r="DY14" i="1"/>
  <c r="DY7" i="1"/>
  <c r="GH127" i="1" l="1"/>
  <c r="GH134" i="1" s="1"/>
  <c r="GH132" i="1" s="1"/>
  <c r="EG124" i="1"/>
  <c r="EG93" i="1"/>
  <c r="GG120" i="1"/>
  <c r="GG121" i="1" s="1"/>
  <c r="GE51" i="1"/>
  <c r="GE52" i="1" s="1"/>
  <c r="EG77" i="1"/>
  <c r="GG51" i="1"/>
  <c r="GG52" i="1" s="1"/>
  <c r="EF124" i="1"/>
  <c r="GF120" i="1"/>
  <c r="GF121" i="1" s="1"/>
  <c r="GF94" i="1"/>
  <c r="GF95" i="1" s="1"/>
  <c r="EF77" i="1"/>
  <c r="EF125" i="1" s="1"/>
  <c r="GF51" i="1"/>
  <c r="GF52" i="1" s="1"/>
  <c r="GD120" i="1"/>
  <c r="GD121" i="1" s="1"/>
  <c r="GC120" i="1"/>
  <c r="GC121" i="1" s="1"/>
  <c r="EE93" i="1"/>
  <c r="GE94" i="1"/>
  <c r="GE95" i="1" s="1"/>
  <c r="ED77" i="1"/>
  <c r="GD51" i="1"/>
  <c r="GD52" i="1" s="1"/>
  <c r="EB118" i="1"/>
  <c r="EB93" i="1"/>
  <c r="EA118" i="1"/>
  <c r="GA120" i="1" s="1"/>
  <c r="GA121" i="1" s="1"/>
  <c r="EC77" i="1"/>
  <c r="GC51" i="1"/>
  <c r="GC52" i="1" s="1"/>
  <c r="EB86" i="1"/>
  <c r="EB124" i="1"/>
  <c r="GB94" i="1"/>
  <c r="GB95" i="1" s="1"/>
  <c r="GA87" i="1"/>
  <c r="GA88" i="1" s="1"/>
  <c r="EA86" i="1"/>
  <c r="EA124" i="1"/>
  <c r="EB77" i="1"/>
  <c r="GB51" i="1"/>
  <c r="GB52" i="1" s="1"/>
  <c r="FZ87" i="1"/>
  <c r="FZ88" i="1" s="1"/>
  <c r="FZ9" i="1"/>
  <c r="FZ10" i="1" s="1"/>
  <c r="DZ86" i="1"/>
  <c r="FZ51" i="1"/>
  <c r="FZ52" i="1" s="1"/>
  <c r="FZ23" i="1"/>
  <c r="FZ24" i="1" s="1"/>
  <c r="FZ30" i="1"/>
  <c r="FZ31" i="1" s="1"/>
  <c r="FZ37" i="1"/>
  <c r="FZ38" i="1" s="1"/>
  <c r="FZ44" i="1"/>
  <c r="FZ45" i="1" s="1"/>
  <c r="EA77" i="1"/>
  <c r="GA51" i="1"/>
  <c r="GA52" i="1" s="1"/>
  <c r="FY23" i="1"/>
  <c r="FY24" i="1" s="1"/>
  <c r="FY37" i="1"/>
  <c r="FY38" i="1" s="1"/>
  <c r="FY9" i="1"/>
  <c r="FY10" i="1" s="1"/>
  <c r="FY16" i="1"/>
  <c r="FY17" i="1" s="1"/>
  <c r="FY44" i="1"/>
  <c r="FY45" i="1" s="1"/>
  <c r="FY30" i="1"/>
  <c r="FY31" i="1" s="1"/>
  <c r="FY51" i="1"/>
  <c r="FY52" i="1" s="1"/>
  <c r="FZ115" i="1"/>
  <c r="FZ116" i="1" s="1"/>
  <c r="DW86" i="1"/>
  <c r="EA107" i="1"/>
  <c r="FZ108" i="1"/>
  <c r="FZ109" i="1" s="1"/>
  <c r="EA100" i="1"/>
  <c r="FZ101" i="1"/>
  <c r="FZ102" i="1" s="1"/>
  <c r="EA15" i="1"/>
  <c r="FZ16" i="1"/>
  <c r="FZ17" i="1" s="1"/>
  <c r="FY115" i="1"/>
  <c r="FY116" i="1" s="1"/>
  <c r="FY101" i="1"/>
  <c r="FY102" i="1" s="1"/>
  <c r="FX87" i="1"/>
  <c r="FX88" i="1" s="1"/>
  <c r="FY108" i="1"/>
  <c r="FY109" i="1" s="1"/>
  <c r="DZ57" i="1"/>
  <c r="FY58" i="1"/>
  <c r="FY59" i="1" s="1"/>
  <c r="FW87" i="1"/>
  <c r="FW88" i="1" s="1"/>
  <c r="DX86" i="1"/>
  <c r="DV86" i="1"/>
  <c r="FV87" i="1"/>
  <c r="FV88" i="1" s="1"/>
  <c r="FU87" i="1"/>
  <c r="FU88" i="1" s="1"/>
  <c r="FT87" i="1"/>
  <c r="FT88" i="1" s="1"/>
  <c r="DU86" i="1"/>
  <c r="EE77" i="1"/>
  <c r="DZ100" i="1"/>
  <c r="DY77" i="1"/>
  <c r="DZ77" i="1"/>
  <c r="EE118" i="1"/>
  <c r="ED119" i="1"/>
  <c r="EG119" i="1"/>
  <c r="DZ22" i="1"/>
  <c r="DZ114" i="1"/>
  <c r="DZ43" i="1"/>
  <c r="EG50" i="1"/>
  <c r="EH50" i="1"/>
  <c r="EI126" i="1"/>
  <c r="EC131" i="1"/>
  <c r="EC50" i="1"/>
  <c r="EH119" i="1"/>
  <c r="DZ15" i="1"/>
  <c r="DZ107" i="1"/>
  <c r="EA22" i="1"/>
  <c r="EA114" i="1"/>
  <c r="DZ29" i="1"/>
  <c r="EA29" i="1"/>
  <c r="EB50" i="1"/>
  <c r="DZ36" i="1"/>
  <c r="EF50" i="1"/>
  <c r="EA131" i="1"/>
  <c r="EA50" i="1"/>
  <c r="ED131" i="1"/>
  <c r="ED50" i="1"/>
  <c r="EA43" i="1"/>
  <c r="DZ50" i="1"/>
  <c r="EE131" i="1"/>
  <c r="EE50" i="1"/>
  <c r="EF93" i="1"/>
  <c r="EA36" i="1"/>
  <c r="DZ8" i="1"/>
  <c r="EA8" i="1"/>
  <c r="EG131" i="1"/>
  <c r="EB131" i="1"/>
  <c r="EF131" i="1"/>
  <c r="DY131" i="1"/>
  <c r="DZ131" i="1"/>
  <c r="GH128" i="1" l="1"/>
  <c r="GG79" i="1"/>
  <c r="GG80" i="1" s="1"/>
  <c r="GF79" i="1"/>
  <c r="GF80" i="1" s="1"/>
  <c r="GF127" i="1"/>
  <c r="GF134" i="1" s="1"/>
  <c r="GF132" i="1" s="1"/>
  <c r="EG125" i="1"/>
  <c r="GE79" i="1"/>
  <c r="GE80" i="1" s="1"/>
  <c r="GD79" i="1"/>
  <c r="GD80" i="1" s="1"/>
  <c r="DZ93" i="1"/>
  <c r="GC79" i="1"/>
  <c r="GC80" i="1" s="1"/>
  <c r="EF119" i="1"/>
  <c r="GE120" i="1"/>
  <c r="GE121" i="1" s="1"/>
  <c r="EC125" i="1"/>
  <c r="GB79" i="1"/>
  <c r="GB80" i="1" s="1"/>
  <c r="GB120" i="1"/>
  <c r="GB121" i="1" s="1"/>
  <c r="EB119" i="1"/>
  <c r="EC119" i="1"/>
  <c r="EB125" i="1"/>
  <c r="GA79" i="1"/>
  <c r="GA80" i="1" s="1"/>
  <c r="EA125" i="1"/>
  <c r="DY118" i="1"/>
  <c r="FZ79" i="1"/>
  <c r="FZ80" i="1" s="1"/>
  <c r="EA93" i="1"/>
  <c r="DZ118" i="1"/>
  <c r="FY79" i="1"/>
  <c r="FY80" i="1" s="1"/>
  <c r="FZ94" i="1"/>
  <c r="FZ95" i="1" s="1"/>
  <c r="DZ124" i="1"/>
  <c r="DY124" i="1"/>
  <c r="FY94" i="1"/>
  <c r="FY95" i="1" s="1"/>
  <c r="EE125" i="1"/>
  <c r="EE119" i="1"/>
  <c r="ED78" i="1"/>
  <c r="ED125" i="1"/>
  <c r="DZ78" i="1"/>
  <c r="EB78" i="1"/>
  <c r="EG78" i="1"/>
  <c r="EH78" i="1"/>
  <c r="EF78" i="1"/>
  <c r="EE78" i="1"/>
  <c r="EA78" i="1"/>
  <c r="EC78" i="1"/>
  <c r="GF128" i="1" l="1"/>
  <c r="GG127" i="1"/>
  <c r="GC127" i="1"/>
  <c r="EF126" i="1"/>
  <c r="GE127" i="1"/>
  <c r="ED126" i="1"/>
  <c r="GD127" i="1"/>
  <c r="GD134" i="1" s="1"/>
  <c r="GB127" i="1"/>
  <c r="EC126" i="1"/>
  <c r="GA127" i="1"/>
  <c r="FY120" i="1"/>
  <c r="FY121" i="1" s="1"/>
  <c r="DY125" i="1"/>
  <c r="FY127" i="1" s="1"/>
  <c r="DZ125" i="1"/>
  <c r="FZ127" i="1" s="1"/>
  <c r="EA119" i="1"/>
  <c r="DZ119" i="1"/>
  <c r="FZ120" i="1"/>
  <c r="FZ121" i="1" s="1"/>
  <c r="EG126" i="1"/>
  <c r="EH126" i="1"/>
  <c r="EE126" i="1"/>
  <c r="EB126" i="1"/>
  <c r="DX48" i="1"/>
  <c r="DX113" i="1"/>
  <c r="DX106" i="1"/>
  <c r="DX58" i="1"/>
  <c r="DX56" i="1"/>
  <c r="DX42" i="1"/>
  <c r="DX35" i="1"/>
  <c r="DX28" i="1"/>
  <c r="DX21" i="1"/>
  <c r="DX14" i="1"/>
  <c r="DX7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DW48" i="1"/>
  <c r="DW113" i="1"/>
  <c r="DW106" i="1"/>
  <c r="DW58" i="1"/>
  <c r="DW56" i="1"/>
  <c r="DW42" i="1"/>
  <c r="DW35" i="1"/>
  <c r="DW28" i="1"/>
  <c r="DW21" i="1"/>
  <c r="DW14" i="1"/>
  <c r="DW7" i="1"/>
  <c r="DW49" i="1" l="1"/>
  <c r="DW76" i="1"/>
  <c r="DX76" i="1"/>
  <c r="DX49" i="1"/>
  <c r="GG134" i="1"/>
  <c r="GG132" i="1" s="1"/>
  <c r="GG128" i="1"/>
  <c r="GC134" i="1"/>
  <c r="GC132" i="1" s="1"/>
  <c r="GC128" i="1"/>
  <c r="GE128" i="1"/>
  <c r="GE134" i="1"/>
  <c r="GE132" i="1" s="1"/>
  <c r="GD132" i="1"/>
  <c r="GD128" i="1"/>
  <c r="GB134" i="1"/>
  <c r="GB132" i="1" s="1"/>
  <c r="GB128" i="1"/>
  <c r="EA126" i="1"/>
  <c r="FZ128" i="1"/>
  <c r="FZ132" i="1"/>
  <c r="FY132" i="1"/>
  <c r="FY128" i="1"/>
  <c r="DZ126" i="1"/>
  <c r="GA134" i="1"/>
  <c r="GA132" i="1" s="1"/>
  <c r="GA128" i="1"/>
  <c r="FX44" i="1"/>
  <c r="FX45" i="1" s="1"/>
  <c r="FX58" i="1"/>
  <c r="FX59" i="1" s="1"/>
  <c r="FX16" i="1"/>
  <c r="FX17" i="1" s="1"/>
  <c r="FX23" i="1"/>
  <c r="FX24" i="1" s="1"/>
  <c r="FX9" i="1"/>
  <c r="FX10" i="1" s="1"/>
  <c r="FX30" i="1"/>
  <c r="FX31" i="1" s="1"/>
  <c r="FX37" i="1"/>
  <c r="FX38" i="1" s="1"/>
  <c r="FW16" i="1"/>
  <c r="FW17" i="1" s="1"/>
  <c r="FW44" i="1"/>
  <c r="FW45" i="1" s="1"/>
  <c r="FW23" i="1"/>
  <c r="FW24" i="1" s="1"/>
  <c r="FW30" i="1"/>
  <c r="FW31" i="1" s="1"/>
  <c r="FX101" i="1"/>
  <c r="FX102" i="1" s="1"/>
  <c r="FW37" i="1"/>
  <c r="FW38" i="1" s="1"/>
  <c r="FW58" i="1"/>
  <c r="FW59" i="1" s="1"/>
  <c r="FX108" i="1"/>
  <c r="FX109" i="1" s="1"/>
  <c r="FW9" i="1"/>
  <c r="FW10" i="1" s="1"/>
  <c r="FX115" i="1"/>
  <c r="FX116" i="1" s="1"/>
  <c r="FW108" i="1"/>
  <c r="FW109" i="1" s="1"/>
  <c r="FW115" i="1"/>
  <c r="FW116" i="1" s="1"/>
  <c r="FW101" i="1"/>
  <c r="FW102" i="1" s="1"/>
  <c r="DX100" i="1"/>
  <c r="DY100" i="1"/>
  <c r="DX43" i="1"/>
  <c r="DY43" i="1"/>
  <c r="DX36" i="1"/>
  <c r="DY36" i="1"/>
  <c r="DX57" i="1"/>
  <c r="DY57" i="1"/>
  <c r="DX29" i="1"/>
  <c r="DY29" i="1"/>
  <c r="DX15" i="1"/>
  <c r="DY15" i="1"/>
  <c r="DX107" i="1"/>
  <c r="DY107" i="1"/>
  <c r="DX22" i="1"/>
  <c r="DY22" i="1"/>
  <c r="DX114" i="1"/>
  <c r="DY114" i="1"/>
  <c r="DX8" i="1"/>
  <c r="DY8" i="1"/>
  <c r="DV48" i="1"/>
  <c r="DV49" i="1" l="1"/>
  <c r="DV76" i="1"/>
  <c r="DX118" i="1"/>
  <c r="FX120" i="1" s="1"/>
  <c r="FX121" i="1" s="1"/>
  <c r="DY93" i="1"/>
  <c r="DX124" i="1"/>
  <c r="FX94" i="1"/>
  <c r="FX95" i="1" s="1"/>
  <c r="DX77" i="1"/>
  <c r="FX51" i="1"/>
  <c r="FX52" i="1" s="1"/>
  <c r="FW94" i="1"/>
  <c r="FW95" i="1" s="1"/>
  <c r="DW118" i="1"/>
  <c r="DW124" i="1"/>
  <c r="DX93" i="1"/>
  <c r="DW77" i="1"/>
  <c r="FW51" i="1"/>
  <c r="FW52" i="1" s="1"/>
  <c r="DX50" i="1"/>
  <c r="DY50" i="1"/>
  <c r="DW131" i="1"/>
  <c r="DX131" i="1"/>
  <c r="DV113" i="1"/>
  <c r="DV106" i="1"/>
  <c r="DV58" i="1"/>
  <c r="DV56" i="1"/>
  <c r="DV42" i="1"/>
  <c r="DV35" i="1"/>
  <c r="DV28" i="1"/>
  <c r="DV21" i="1"/>
  <c r="DV14" i="1"/>
  <c r="DV7" i="1"/>
  <c r="DU48" i="1"/>
  <c r="DU113" i="1"/>
  <c r="DU106" i="1"/>
  <c r="DU58" i="1"/>
  <c r="DU56" i="1"/>
  <c r="DU42" i="1"/>
  <c r="DU35" i="1"/>
  <c r="DU28" i="1"/>
  <c r="DU21" i="1"/>
  <c r="DU14" i="1"/>
  <c r="DU7" i="1"/>
  <c r="DU49" i="1" l="1"/>
  <c r="DU76" i="1"/>
  <c r="DY119" i="1"/>
  <c r="FX79" i="1"/>
  <c r="FX80" i="1" s="1"/>
  <c r="DX125" i="1"/>
  <c r="DX119" i="1"/>
  <c r="FW79" i="1"/>
  <c r="FW80" i="1" s="1"/>
  <c r="FV9" i="1"/>
  <c r="FV10" i="1" s="1"/>
  <c r="FV58" i="1"/>
  <c r="FV59" i="1" s="1"/>
  <c r="FV23" i="1"/>
  <c r="FV24" i="1" s="1"/>
  <c r="FW120" i="1"/>
  <c r="FW121" i="1" s="1"/>
  <c r="FV30" i="1"/>
  <c r="FV31" i="1" s="1"/>
  <c r="FV37" i="1"/>
  <c r="FV38" i="1" s="1"/>
  <c r="FV16" i="1"/>
  <c r="FV17" i="1" s="1"/>
  <c r="FV44" i="1"/>
  <c r="FV45" i="1" s="1"/>
  <c r="DW125" i="1"/>
  <c r="FV94" i="1"/>
  <c r="FV95" i="1" s="1"/>
  <c r="FU44" i="1"/>
  <c r="FU45" i="1" s="1"/>
  <c r="FV108" i="1"/>
  <c r="FV109" i="1" s="1"/>
  <c r="FV101" i="1"/>
  <c r="FV102" i="1" s="1"/>
  <c r="FV115" i="1"/>
  <c r="FV116" i="1" s="1"/>
  <c r="FU37" i="1"/>
  <c r="FU38" i="1" s="1"/>
  <c r="FU16" i="1"/>
  <c r="FU17" i="1" s="1"/>
  <c r="FU23" i="1"/>
  <c r="FU24" i="1" s="1"/>
  <c r="FU58" i="1"/>
  <c r="FU59" i="1" s="1"/>
  <c r="FU30" i="1"/>
  <c r="FU31" i="1" s="1"/>
  <c r="DV124" i="1"/>
  <c r="DW50" i="1"/>
  <c r="FV51" i="1"/>
  <c r="FV52" i="1" s="1"/>
  <c r="FU9" i="1"/>
  <c r="FU10" i="1" s="1"/>
  <c r="FU115" i="1"/>
  <c r="FU116" i="1" s="1"/>
  <c r="FU101" i="1"/>
  <c r="FU102" i="1" s="1"/>
  <c r="DV93" i="1"/>
  <c r="FU108" i="1"/>
  <c r="FU109" i="1" s="1"/>
  <c r="DV118" i="1"/>
  <c r="DV77" i="1"/>
  <c r="DV100" i="1"/>
  <c r="DW100" i="1"/>
  <c r="DV22" i="1"/>
  <c r="DW22" i="1"/>
  <c r="DV29" i="1"/>
  <c r="DW29" i="1"/>
  <c r="DV107" i="1"/>
  <c r="DW107" i="1"/>
  <c r="DV36" i="1"/>
  <c r="DW36" i="1"/>
  <c r="DV114" i="1"/>
  <c r="DW114" i="1"/>
  <c r="DV15" i="1"/>
  <c r="DW15" i="1"/>
  <c r="DV43" i="1"/>
  <c r="DW43" i="1"/>
  <c r="DV57" i="1"/>
  <c r="DW57" i="1"/>
  <c r="DW93" i="1"/>
  <c r="DX78" i="1"/>
  <c r="DY78" i="1"/>
  <c r="DV8" i="1"/>
  <c r="DW8" i="1"/>
  <c r="DV131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DT48" i="1"/>
  <c r="DT113" i="1"/>
  <c r="DT106" i="1"/>
  <c r="DT42" i="1"/>
  <c r="DT35" i="1"/>
  <c r="DT28" i="1"/>
  <c r="DT21" i="1"/>
  <c r="DT14" i="1"/>
  <c r="DT7" i="1"/>
  <c r="DS48" i="1"/>
  <c r="DS113" i="1"/>
  <c r="DS106" i="1"/>
  <c r="DS42" i="1"/>
  <c r="DS35" i="1"/>
  <c r="DS28" i="1"/>
  <c r="DS21" i="1"/>
  <c r="DS14" i="1"/>
  <c r="DS7" i="1"/>
  <c r="DS49" i="1" l="1"/>
  <c r="DS76" i="1"/>
  <c r="DT76" i="1"/>
  <c r="DT49" i="1"/>
  <c r="FX127" i="1"/>
  <c r="FX128" i="1" s="1"/>
  <c r="DY126" i="1"/>
  <c r="FW127" i="1"/>
  <c r="DX126" i="1"/>
  <c r="FV79" i="1"/>
  <c r="FV80" i="1" s="1"/>
  <c r="FV120" i="1"/>
  <c r="FV121" i="1" s="1"/>
  <c r="FT9" i="1"/>
  <c r="FT10" i="1" s="1"/>
  <c r="DU124" i="1"/>
  <c r="FU94" i="1"/>
  <c r="FU95" i="1" s="1"/>
  <c r="FT30" i="1"/>
  <c r="FT31" i="1" s="1"/>
  <c r="FT37" i="1"/>
  <c r="FT38" i="1" s="1"/>
  <c r="FT44" i="1"/>
  <c r="FT45" i="1" s="1"/>
  <c r="DU118" i="1"/>
  <c r="DV50" i="1"/>
  <c r="FU51" i="1"/>
  <c r="FU52" i="1" s="1"/>
  <c r="FS30" i="1"/>
  <c r="FS31" i="1" s="1"/>
  <c r="FT108" i="1"/>
  <c r="FT109" i="1" s="1"/>
  <c r="FS44" i="1"/>
  <c r="FS45" i="1" s="1"/>
  <c r="FS9" i="1"/>
  <c r="FS10" i="1" s="1"/>
  <c r="FT115" i="1"/>
  <c r="FT116" i="1" s="1"/>
  <c r="FS37" i="1"/>
  <c r="FS38" i="1" s="1"/>
  <c r="FS16" i="1"/>
  <c r="FS17" i="1" s="1"/>
  <c r="FS23" i="1"/>
  <c r="FS24" i="1" s="1"/>
  <c r="FT94" i="1"/>
  <c r="FT95" i="1" s="1"/>
  <c r="DU100" i="1"/>
  <c r="FT101" i="1"/>
  <c r="FT102" i="1" s="1"/>
  <c r="DU15" i="1"/>
  <c r="FT16" i="1"/>
  <c r="FT17" i="1" s="1"/>
  <c r="DU22" i="1"/>
  <c r="FT23" i="1"/>
  <c r="FT24" i="1" s="1"/>
  <c r="FS101" i="1"/>
  <c r="FS102" i="1" s="1"/>
  <c r="FS94" i="1"/>
  <c r="FS95" i="1" s="1"/>
  <c r="FS108" i="1"/>
  <c r="FS109" i="1" s="1"/>
  <c r="FS115" i="1"/>
  <c r="FS116" i="1" s="1"/>
  <c r="FR101" i="1"/>
  <c r="FR102" i="1" s="1"/>
  <c r="DS118" i="1"/>
  <c r="DT118" i="1"/>
  <c r="DS100" i="1"/>
  <c r="DT100" i="1"/>
  <c r="DU77" i="1"/>
  <c r="DT29" i="1"/>
  <c r="DU114" i="1"/>
  <c r="DT36" i="1"/>
  <c r="DV125" i="1"/>
  <c r="DT43" i="1"/>
  <c r="DT93" i="1"/>
  <c r="DU29" i="1"/>
  <c r="DU36" i="1"/>
  <c r="DU93" i="1"/>
  <c r="DT107" i="1"/>
  <c r="DU131" i="1"/>
  <c r="DT114" i="1"/>
  <c r="DU43" i="1"/>
  <c r="DT15" i="1"/>
  <c r="DT22" i="1"/>
  <c r="DW119" i="1"/>
  <c r="DW78" i="1"/>
  <c r="DU107" i="1"/>
  <c r="DT8" i="1"/>
  <c r="DU8" i="1"/>
  <c r="X57" i="1"/>
  <c r="F57" i="1"/>
  <c r="N57" i="1"/>
  <c r="V57" i="1"/>
  <c r="AD57" i="1"/>
  <c r="AL57" i="1"/>
  <c r="AT57" i="1"/>
  <c r="BB57" i="1"/>
  <c r="BC57" i="1"/>
  <c r="O57" i="1"/>
  <c r="AU57" i="1"/>
  <c r="W57" i="1"/>
  <c r="AE57" i="1"/>
  <c r="DT56" i="1"/>
  <c r="HA56" i="1" s="1"/>
  <c r="AF57" i="1"/>
  <c r="G57" i="1"/>
  <c r="AM57" i="1"/>
  <c r="H57" i="1"/>
  <c r="AN57" i="1"/>
  <c r="P57" i="1"/>
  <c r="AV57" i="1"/>
  <c r="I57" i="1"/>
  <c r="Q57" i="1"/>
  <c r="Y57" i="1"/>
  <c r="AG57" i="1"/>
  <c r="AO57" i="1"/>
  <c r="AW57" i="1"/>
  <c r="DT58" i="1"/>
  <c r="J57" i="1"/>
  <c r="R57" i="1"/>
  <c r="Z57" i="1"/>
  <c r="AH57" i="1"/>
  <c r="AP57" i="1"/>
  <c r="AX57" i="1"/>
  <c r="K57" i="1"/>
  <c r="S57" i="1"/>
  <c r="AA57" i="1"/>
  <c r="AI57" i="1"/>
  <c r="AQ57" i="1"/>
  <c r="AY57" i="1"/>
  <c r="L57" i="1"/>
  <c r="T57" i="1"/>
  <c r="AB57" i="1"/>
  <c r="AJ57" i="1"/>
  <c r="AR57" i="1"/>
  <c r="AZ57" i="1"/>
  <c r="E57" i="1"/>
  <c r="M57" i="1"/>
  <c r="U57" i="1"/>
  <c r="AC57" i="1"/>
  <c r="AK57" i="1"/>
  <c r="AS57" i="1"/>
  <c r="BA57" i="1"/>
  <c r="DR48" i="1"/>
  <c r="DR49" i="1" l="1"/>
  <c r="DR76" i="1"/>
  <c r="FX132" i="1"/>
  <c r="FW128" i="1"/>
  <c r="FW132" i="1"/>
  <c r="DW126" i="1"/>
  <c r="FV127" i="1"/>
  <c r="FU120" i="1"/>
  <c r="FU121" i="1" s="1"/>
  <c r="FT51" i="1"/>
  <c r="FT52" i="1" s="1"/>
  <c r="DV119" i="1"/>
  <c r="DU125" i="1"/>
  <c r="FU79" i="1"/>
  <c r="FU80" i="1" s="1"/>
  <c r="DT124" i="1"/>
  <c r="FT120" i="1"/>
  <c r="FT121" i="1" s="1"/>
  <c r="FT58" i="1"/>
  <c r="FT59" i="1" s="1"/>
  <c r="DS124" i="1"/>
  <c r="FS120" i="1"/>
  <c r="FS121" i="1" s="1"/>
  <c r="DS77" i="1"/>
  <c r="FS51" i="1"/>
  <c r="FS52" i="1" s="1"/>
  <c r="DT77" i="1"/>
  <c r="DT50" i="1"/>
  <c r="DT119" i="1"/>
  <c r="DU119" i="1"/>
  <c r="DU57" i="1"/>
  <c r="DU50" i="1"/>
  <c r="DV78" i="1"/>
  <c r="DS131" i="1"/>
  <c r="DT131" i="1"/>
  <c r="DR113" i="1"/>
  <c r="DR106" i="1"/>
  <c r="DR42" i="1"/>
  <c r="DR35" i="1"/>
  <c r="DR28" i="1"/>
  <c r="DR21" i="1"/>
  <c r="DR14" i="1"/>
  <c r="DR7" i="1"/>
  <c r="FU127" i="1" l="1"/>
  <c r="FU132" i="1" s="1"/>
  <c r="FV132" i="1"/>
  <c r="FV128" i="1"/>
  <c r="FS79" i="1"/>
  <c r="FS80" i="1" s="1"/>
  <c r="DT125" i="1"/>
  <c r="FT79" i="1"/>
  <c r="FT80" i="1" s="1"/>
  <c r="DS125" i="1"/>
  <c r="DR124" i="1"/>
  <c r="FR30" i="1"/>
  <c r="FR31" i="1" s="1"/>
  <c r="FR108" i="1"/>
  <c r="FR109" i="1" s="1"/>
  <c r="FR9" i="1"/>
  <c r="FR10" i="1" s="1"/>
  <c r="FR37" i="1"/>
  <c r="FR38" i="1" s="1"/>
  <c r="FR115" i="1"/>
  <c r="FR116" i="1" s="1"/>
  <c r="FR16" i="1"/>
  <c r="FR17" i="1" s="1"/>
  <c r="FR44" i="1"/>
  <c r="FR45" i="1" s="1"/>
  <c r="FR23" i="1"/>
  <c r="FR24" i="1" s="1"/>
  <c r="FR94" i="1"/>
  <c r="FR95" i="1" s="1"/>
  <c r="DR118" i="1"/>
  <c r="DT78" i="1"/>
  <c r="DS15" i="1"/>
  <c r="DS29" i="1"/>
  <c r="DU78" i="1"/>
  <c r="DS22" i="1"/>
  <c r="DS36" i="1"/>
  <c r="DS43" i="1"/>
  <c r="DS93" i="1"/>
  <c r="DS107" i="1"/>
  <c r="DS114" i="1"/>
  <c r="DV126" i="1"/>
  <c r="DS8" i="1"/>
  <c r="DR116" i="1"/>
  <c r="DQ48" i="1"/>
  <c r="DQ113" i="1"/>
  <c r="DQ106" i="1"/>
  <c r="DQ85" i="1"/>
  <c r="DQ42" i="1"/>
  <c r="DQ35" i="1"/>
  <c r="DQ28" i="1"/>
  <c r="DQ21" i="1"/>
  <c r="DQ14" i="1"/>
  <c r="DQ7" i="1"/>
  <c r="DQ49" i="1" l="1"/>
  <c r="DQ76" i="1"/>
  <c r="FU128" i="1"/>
  <c r="DT126" i="1"/>
  <c r="FT127" i="1"/>
  <c r="FT128" i="1" s="1"/>
  <c r="FS127" i="1"/>
  <c r="FS128" i="1" s="1"/>
  <c r="FR51" i="1"/>
  <c r="FR52" i="1" s="1"/>
  <c r="FQ16" i="1"/>
  <c r="FQ17" i="1" s="1"/>
  <c r="FQ23" i="1"/>
  <c r="FQ24" i="1" s="1"/>
  <c r="FQ9" i="1"/>
  <c r="FQ10" i="1" s="1"/>
  <c r="FQ30" i="1"/>
  <c r="FQ31" i="1" s="1"/>
  <c r="FQ37" i="1"/>
  <c r="FQ38" i="1" s="1"/>
  <c r="FQ44" i="1"/>
  <c r="FQ45" i="1" s="1"/>
  <c r="FQ87" i="1"/>
  <c r="FQ88" i="1" s="1"/>
  <c r="FR120" i="1"/>
  <c r="FR121" i="1" s="1"/>
  <c r="DR77" i="1"/>
  <c r="FQ101" i="1"/>
  <c r="FQ102" i="1" s="1"/>
  <c r="FQ108" i="1"/>
  <c r="FQ109" i="1" s="1"/>
  <c r="FQ115" i="1"/>
  <c r="FQ116" i="1" s="1"/>
  <c r="FQ94" i="1"/>
  <c r="FQ95" i="1" s="1"/>
  <c r="DR8" i="1"/>
  <c r="DR22" i="1"/>
  <c r="DR93" i="1"/>
  <c r="DR100" i="1"/>
  <c r="DR43" i="1"/>
  <c r="DQ118" i="1"/>
  <c r="DR114" i="1"/>
  <c r="DR29" i="1"/>
  <c r="DS119" i="1"/>
  <c r="DU126" i="1"/>
  <c r="DR131" i="1"/>
  <c r="DS50" i="1"/>
  <c r="DR86" i="1"/>
  <c r="DR107" i="1"/>
  <c r="DR36" i="1"/>
  <c r="DR15" i="1"/>
  <c r="DQ116" i="1"/>
  <c r="DP48" i="1"/>
  <c r="DP76" i="1" l="1"/>
  <c r="DP49" i="1"/>
  <c r="FT132" i="1"/>
  <c r="FS132" i="1"/>
  <c r="DR125" i="1"/>
  <c r="FR127" i="1" s="1"/>
  <c r="FQ51" i="1"/>
  <c r="FQ52" i="1" s="1"/>
  <c r="FR79" i="1"/>
  <c r="FR80" i="1" s="1"/>
  <c r="DQ124" i="1"/>
  <c r="FQ120" i="1"/>
  <c r="FQ121" i="1" s="1"/>
  <c r="DR50" i="1"/>
  <c r="DP123" i="1"/>
  <c r="DP124" i="1"/>
  <c r="DR119" i="1"/>
  <c r="DQ77" i="1"/>
  <c r="DS78" i="1"/>
  <c r="DQ131" i="1"/>
  <c r="DP113" i="1"/>
  <c r="DP106" i="1"/>
  <c r="DP85" i="1"/>
  <c r="DP42" i="1"/>
  <c r="DP35" i="1"/>
  <c r="DP28" i="1"/>
  <c r="DP21" i="1"/>
  <c r="DP14" i="1"/>
  <c r="DP7" i="1"/>
  <c r="FQ79" i="1" l="1"/>
  <c r="FQ80" i="1" s="1"/>
  <c r="FR132" i="1"/>
  <c r="FR128" i="1"/>
  <c r="DQ125" i="1"/>
  <c r="FP115" i="1"/>
  <c r="FP116" i="1" s="1"/>
  <c r="FP30" i="1"/>
  <c r="FP31" i="1" s="1"/>
  <c r="FP87" i="1"/>
  <c r="FP88" i="1" s="1"/>
  <c r="FP51" i="1"/>
  <c r="FP52" i="1" s="1"/>
  <c r="FP9" i="1"/>
  <c r="FP10" i="1" s="1"/>
  <c r="FP37" i="1"/>
  <c r="FP38" i="1" s="1"/>
  <c r="FP101" i="1"/>
  <c r="FP102" i="1" s="1"/>
  <c r="FP16" i="1"/>
  <c r="FP17" i="1" s="1"/>
  <c r="FP44" i="1"/>
  <c r="FP45" i="1" s="1"/>
  <c r="FP108" i="1"/>
  <c r="FP109" i="1" s="1"/>
  <c r="FP23" i="1"/>
  <c r="FP24" i="1" s="1"/>
  <c r="FP94" i="1"/>
  <c r="FP95" i="1" s="1"/>
  <c r="DP77" i="1"/>
  <c r="DQ78" i="1" s="1"/>
  <c r="DQ100" i="1"/>
  <c r="DP118" i="1"/>
  <c r="DQ36" i="1"/>
  <c r="DQ43" i="1"/>
  <c r="DQ93" i="1"/>
  <c r="DQ86" i="1"/>
  <c r="DQ15" i="1"/>
  <c r="DQ107" i="1"/>
  <c r="DR78" i="1"/>
  <c r="DQ29" i="1"/>
  <c r="DS126" i="1"/>
  <c r="DQ50" i="1"/>
  <c r="DQ22" i="1"/>
  <c r="DQ114" i="1"/>
  <c r="DQ8" i="1"/>
  <c r="DP131" i="1"/>
  <c r="DP116" i="1"/>
  <c r="FQ127" i="1" l="1"/>
  <c r="FQ132" i="1" s="1"/>
  <c r="FP120" i="1"/>
  <c r="FP121" i="1" s="1"/>
  <c r="FP79" i="1"/>
  <c r="FP80" i="1" s="1"/>
  <c r="DP125" i="1"/>
  <c r="FP127" i="1" s="1"/>
  <c r="DQ119" i="1"/>
  <c r="DR126" i="1"/>
  <c r="FQ128" i="1" l="1"/>
  <c r="DQ126" i="1"/>
  <c r="DO48" i="1"/>
  <c r="DO113" i="1"/>
  <c r="DO106" i="1"/>
  <c r="FO101" i="1"/>
  <c r="FO102" i="1" s="1"/>
  <c r="DO85" i="1"/>
  <c r="DO42" i="1"/>
  <c r="FO44" i="1" s="1"/>
  <c r="FO45" i="1" s="1"/>
  <c r="DO35" i="1"/>
  <c r="DO28" i="1"/>
  <c r="DO21" i="1"/>
  <c r="DO14" i="1"/>
  <c r="DO7" i="1"/>
  <c r="DO49" i="1" l="1"/>
  <c r="DO76" i="1"/>
  <c r="FP132" i="1"/>
  <c r="FP128" i="1"/>
  <c r="FO115" i="1"/>
  <c r="FO116" i="1" s="1"/>
  <c r="FO30" i="1"/>
  <c r="FO31" i="1" s="1"/>
  <c r="FO87" i="1"/>
  <c r="FO88" i="1" s="1"/>
  <c r="FO9" i="1"/>
  <c r="FO10" i="1" s="1"/>
  <c r="FO37" i="1"/>
  <c r="FO38" i="1" s="1"/>
  <c r="FO16" i="1"/>
  <c r="FO17" i="1" s="1"/>
  <c r="FO108" i="1"/>
  <c r="FO109" i="1" s="1"/>
  <c r="FO23" i="1"/>
  <c r="FO24" i="1" s="1"/>
  <c r="FO94" i="1"/>
  <c r="FO95" i="1" s="1"/>
  <c r="DO118" i="1"/>
  <c r="DP100" i="1"/>
  <c r="DP93" i="1"/>
  <c r="DP15" i="1"/>
  <c r="DP29" i="1"/>
  <c r="DP86" i="1"/>
  <c r="DP107" i="1"/>
  <c r="DP22" i="1"/>
  <c r="DP114" i="1"/>
  <c r="DP36" i="1"/>
  <c r="DP43" i="1"/>
  <c r="DP8" i="1"/>
  <c r="DO116" i="1"/>
  <c r="FO120" i="1" l="1"/>
  <c r="FO121" i="1" s="1"/>
  <c r="DO124" i="1"/>
  <c r="FO51" i="1"/>
  <c r="FO52" i="1" s="1"/>
  <c r="DO77" i="1"/>
  <c r="FO79" i="1" s="1"/>
  <c r="FO80" i="1" s="1"/>
  <c r="DP50" i="1"/>
  <c r="DP119" i="1"/>
  <c r="DO131" i="1"/>
  <c r="DO125" i="1" l="1"/>
  <c r="FO127" i="1" s="1"/>
  <c r="DP78" i="1"/>
  <c r="DN48" i="1"/>
  <c r="DN49" i="1" l="1"/>
  <c r="FN51" i="1" s="1"/>
  <c r="FN52" i="1" s="1"/>
  <c r="DN76" i="1"/>
  <c r="DP126" i="1"/>
  <c r="DN113" i="1"/>
  <c r="DN106" i="1"/>
  <c r="FN108" i="1" s="1"/>
  <c r="FN109" i="1" s="1"/>
  <c r="DO100" i="1"/>
  <c r="DN85" i="1"/>
  <c r="FN87" i="1" s="1"/>
  <c r="FN88" i="1" s="1"/>
  <c r="FN94" i="1"/>
  <c r="FN95" i="1" s="1"/>
  <c r="DN42" i="1"/>
  <c r="DN35" i="1"/>
  <c r="FN37" i="1" s="1"/>
  <c r="FN38" i="1" s="1"/>
  <c r="DN28" i="1"/>
  <c r="FN30" i="1" s="1"/>
  <c r="FN31" i="1" s="1"/>
  <c r="DN21" i="1"/>
  <c r="FN23" i="1" s="1"/>
  <c r="FN24" i="1" s="1"/>
  <c r="DN14" i="1"/>
  <c r="FN16" i="1" s="1"/>
  <c r="FN17" i="1" s="1"/>
  <c r="DN7" i="1"/>
  <c r="FN9" i="1" s="1"/>
  <c r="FN10" i="1" s="1"/>
  <c r="DM48" i="1"/>
  <c r="DM49" i="1" l="1"/>
  <c r="DN50" i="1" s="1"/>
  <c r="DM76" i="1"/>
  <c r="FO132" i="1"/>
  <c r="FO128" i="1"/>
  <c r="FN44" i="1"/>
  <c r="FN45" i="1" s="1"/>
  <c r="DN77" i="1"/>
  <c r="FN79" i="1" s="1"/>
  <c r="FN80" i="1" s="1"/>
  <c r="FN115" i="1"/>
  <c r="FN116" i="1" s="1"/>
  <c r="DN118" i="1"/>
  <c r="DN124" i="1"/>
  <c r="FN101" i="1"/>
  <c r="FN102" i="1" s="1"/>
  <c r="DO50" i="1"/>
  <c r="DO43" i="1"/>
  <c r="DO93" i="1"/>
  <c r="DO86" i="1"/>
  <c r="DO15" i="1"/>
  <c r="DO36" i="1"/>
  <c r="DO22" i="1"/>
  <c r="DO107" i="1"/>
  <c r="DO29" i="1"/>
  <c r="DO114" i="1"/>
  <c r="DO8" i="1"/>
  <c r="DN131" i="1"/>
  <c r="DN116" i="1"/>
  <c r="DM113" i="1"/>
  <c r="DM106" i="1"/>
  <c r="DN107" i="1" s="1"/>
  <c r="DM85" i="1"/>
  <c r="DN86" i="1" s="1"/>
  <c r="DM42" i="1"/>
  <c r="DM35" i="1"/>
  <c r="DM28" i="1"/>
  <c r="DN29" i="1" s="1"/>
  <c r="DM21" i="1"/>
  <c r="DN22" i="1" s="1"/>
  <c r="DM14" i="1"/>
  <c r="DN15" i="1" s="1"/>
  <c r="DM7" i="1"/>
  <c r="FM9" i="1" s="1"/>
  <c r="FM10" i="1" s="1"/>
  <c r="DL48" i="1"/>
  <c r="DL76" i="1" l="1"/>
  <c r="DL124" i="1" s="1"/>
  <c r="DL49" i="1"/>
  <c r="DN43" i="1"/>
  <c r="DM77" i="1"/>
  <c r="DN78" i="1" s="1"/>
  <c r="DM118" i="1"/>
  <c r="FN120" i="1"/>
  <c r="FN121" i="1" s="1"/>
  <c r="DN114" i="1"/>
  <c r="DN125" i="1"/>
  <c r="FN127" i="1" s="1"/>
  <c r="DO119" i="1"/>
  <c r="DN93" i="1"/>
  <c r="FM115" i="1"/>
  <c r="FM116" i="1" s="1"/>
  <c r="DO78" i="1"/>
  <c r="DN36" i="1"/>
  <c r="DM124" i="1"/>
  <c r="FM16" i="1"/>
  <c r="FM17" i="1" s="1"/>
  <c r="FM23" i="1"/>
  <c r="FM24" i="1" s="1"/>
  <c r="FM30" i="1"/>
  <c r="FM31" i="1" s="1"/>
  <c r="FM37" i="1"/>
  <c r="FM38" i="1" s="1"/>
  <c r="DN8" i="1"/>
  <c r="FM87" i="1"/>
  <c r="FM88" i="1" s="1"/>
  <c r="FM44" i="1"/>
  <c r="FM45" i="1" s="1"/>
  <c r="FM101" i="1"/>
  <c r="FM102" i="1" s="1"/>
  <c r="FM51" i="1"/>
  <c r="FM52" i="1" s="1"/>
  <c r="FM108" i="1"/>
  <c r="FM109" i="1" s="1"/>
  <c r="FM94" i="1"/>
  <c r="FM95" i="1" s="1"/>
  <c r="DM131" i="1"/>
  <c r="DN100" i="1"/>
  <c r="DM116" i="1"/>
  <c r="DL113" i="1"/>
  <c r="DL106" i="1"/>
  <c r="DM107" i="1" s="1"/>
  <c r="DL85" i="1"/>
  <c r="DM86" i="1" s="1"/>
  <c r="DM93" i="1"/>
  <c r="DL42" i="1"/>
  <c r="DL35" i="1"/>
  <c r="DL28" i="1"/>
  <c r="DL21" i="1"/>
  <c r="DL14" i="1"/>
  <c r="DL7" i="1"/>
  <c r="FL9" i="1" s="1"/>
  <c r="FL10" i="1" s="1"/>
  <c r="D7" i="2"/>
  <c r="B10" i="2" s="1"/>
  <c r="DK4" i="1"/>
  <c r="DL4" i="1" s="1"/>
  <c r="DM4" i="1" s="1"/>
  <c r="DN4" i="1" s="1"/>
  <c r="DK7" i="1"/>
  <c r="DK14" i="1"/>
  <c r="DK21" i="1"/>
  <c r="DK28" i="1"/>
  <c r="DK35" i="1"/>
  <c r="DK42" i="1"/>
  <c r="DK85" i="1"/>
  <c r="FK101" i="1"/>
  <c r="FK102" i="1" s="1"/>
  <c r="DK106" i="1"/>
  <c r="DK113" i="1"/>
  <c r="DJ48" i="1"/>
  <c r="DJ113" i="1"/>
  <c r="DJ106" i="1"/>
  <c r="FJ101" i="1"/>
  <c r="FJ102" i="1" s="1"/>
  <c r="DJ85" i="1"/>
  <c r="DJ42" i="1"/>
  <c r="DJ35" i="1"/>
  <c r="DJ28" i="1"/>
  <c r="DJ21" i="1"/>
  <c r="DJ14" i="1"/>
  <c r="DJ7" i="1"/>
  <c r="DJ49" i="1" l="1"/>
  <c r="DJ77" i="1" s="1"/>
  <c r="DJ76" i="1"/>
  <c r="DJ124" i="1" s="1"/>
  <c r="DJ118" i="1"/>
  <c r="DK118" i="1"/>
  <c r="DL77" i="1"/>
  <c r="DK77" i="1"/>
  <c r="DL118" i="1"/>
  <c r="DM119" i="1" s="1"/>
  <c r="FN132" i="1"/>
  <c r="FN128" i="1"/>
  <c r="DK36" i="1"/>
  <c r="DM125" i="1"/>
  <c r="DN126" i="1" s="1"/>
  <c r="DL50" i="1"/>
  <c r="DK15" i="1"/>
  <c r="DK22" i="1"/>
  <c r="DL29" i="1"/>
  <c r="DL36" i="1"/>
  <c r="FK108" i="1"/>
  <c r="FK109" i="1" s="1"/>
  <c r="DK107" i="1"/>
  <c r="DL114" i="1"/>
  <c r="FL115" i="1"/>
  <c r="FL116" i="1" s="1"/>
  <c r="FJ94" i="1"/>
  <c r="FJ95" i="1" s="1"/>
  <c r="FK87" i="1"/>
  <c r="FK88" i="1" s="1"/>
  <c r="DK86" i="1"/>
  <c r="DL43" i="1"/>
  <c r="DO126" i="1"/>
  <c r="DM36" i="1"/>
  <c r="DM29" i="1"/>
  <c r="DM50" i="1"/>
  <c r="FJ108" i="1"/>
  <c r="FJ109" i="1" s="1"/>
  <c r="FK44" i="1"/>
  <c r="FK45" i="1" s="1"/>
  <c r="DK43" i="1"/>
  <c r="DM114" i="1"/>
  <c r="DL86" i="1"/>
  <c r="DN119" i="1"/>
  <c r="FJ44" i="1"/>
  <c r="FJ45" i="1" s="1"/>
  <c r="FJ87" i="1"/>
  <c r="FJ88" i="1" s="1"/>
  <c r="DL93" i="1"/>
  <c r="FK51" i="1"/>
  <c r="FK52" i="1" s="1"/>
  <c r="FK9" i="1"/>
  <c r="FK10" i="1" s="1"/>
  <c r="FJ9" i="1"/>
  <c r="FJ10" i="1" s="1"/>
  <c r="FK94" i="1"/>
  <c r="FK95" i="1" s="1"/>
  <c r="DK93" i="1"/>
  <c r="FJ115" i="1"/>
  <c r="FJ116" i="1" s="1"/>
  <c r="DL15" i="1"/>
  <c r="FK115" i="1"/>
  <c r="FK116" i="1" s="1"/>
  <c r="DK114" i="1"/>
  <c r="DK29" i="1"/>
  <c r="DL22" i="1"/>
  <c r="DL107" i="1"/>
  <c r="DM22" i="1"/>
  <c r="DM15" i="1"/>
  <c r="DM43" i="1"/>
  <c r="FK16" i="1"/>
  <c r="FK17" i="1" s="1"/>
  <c r="FL16" i="1"/>
  <c r="FL17" i="1" s="1"/>
  <c r="FJ16" i="1"/>
  <c r="FJ17" i="1" s="1"/>
  <c r="FL23" i="1"/>
  <c r="FL24" i="1" s="1"/>
  <c r="FK23" i="1"/>
  <c r="FK24" i="1" s="1"/>
  <c r="FJ23" i="1"/>
  <c r="FJ24" i="1" s="1"/>
  <c r="FJ30" i="1"/>
  <c r="FJ31" i="1" s="1"/>
  <c r="FK30" i="1"/>
  <c r="FK31" i="1" s="1"/>
  <c r="FL30" i="1"/>
  <c r="FL31" i="1" s="1"/>
  <c r="FJ37" i="1"/>
  <c r="FJ38" i="1" s="1"/>
  <c r="FK37" i="1"/>
  <c r="FK38" i="1" s="1"/>
  <c r="FL37" i="1"/>
  <c r="FL38" i="1" s="1"/>
  <c r="DK8" i="1"/>
  <c r="DL8" i="1"/>
  <c r="DM8" i="1"/>
  <c r="FM120" i="1"/>
  <c r="FM121" i="1" s="1"/>
  <c r="FM79" i="1"/>
  <c r="FM80" i="1" s="1"/>
  <c r="FL94" i="1"/>
  <c r="FL95" i="1" s="1"/>
  <c r="FL51" i="1"/>
  <c r="FL52" i="1" s="1"/>
  <c r="FL87" i="1"/>
  <c r="FL88" i="1" s="1"/>
  <c r="FL101" i="1"/>
  <c r="FL102" i="1" s="1"/>
  <c r="FL44" i="1"/>
  <c r="FL45" i="1" s="1"/>
  <c r="FL108" i="1"/>
  <c r="FL109" i="1" s="1"/>
  <c r="DK131" i="1"/>
  <c r="DL131" i="1"/>
  <c r="DM100" i="1"/>
  <c r="DL100" i="1"/>
  <c r="DL116" i="1"/>
  <c r="DK100" i="1"/>
  <c r="DK116" i="1"/>
  <c r="DJ116" i="1"/>
  <c r="DI48" i="1"/>
  <c r="DI49" i="1" l="1"/>
  <c r="DI76" i="1"/>
  <c r="DI124" i="1" s="1"/>
  <c r="DK125" i="1"/>
  <c r="DL125" i="1"/>
  <c r="DM126" i="1" s="1"/>
  <c r="DL78" i="1"/>
  <c r="FJ120" i="1"/>
  <c r="FJ121" i="1" s="1"/>
  <c r="FK120" i="1"/>
  <c r="FK121" i="1" s="1"/>
  <c r="DK119" i="1"/>
  <c r="DM78" i="1"/>
  <c r="DL119" i="1"/>
  <c r="FK79" i="1"/>
  <c r="FK80" i="1" s="1"/>
  <c r="DK50" i="1"/>
  <c r="FM127" i="1"/>
  <c r="FL120" i="1"/>
  <c r="FL121" i="1" s="1"/>
  <c r="FL79" i="1"/>
  <c r="FL80" i="1" s="1"/>
  <c r="DJ131" i="1"/>
  <c r="FJ51" i="1"/>
  <c r="FJ52" i="1" s="1"/>
  <c r="DK78" i="1"/>
  <c r="DI113" i="1"/>
  <c r="DI106" i="1"/>
  <c r="DI85" i="1"/>
  <c r="DI42" i="1"/>
  <c r="DI35" i="1"/>
  <c r="DJ50" i="1"/>
  <c r="DI28" i="1"/>
  <c r="DI21" i="1"/>
  <c r="DI14" i="1"/>
  <c r="DI7" i="1"/>
  <c r="FI9" i="1" s="1"/>
  <c r="FI10" i="1" s="1"/>
  <c r="DH48" i="1"/>
  <c r="DH113" i="1"/>
  <c r="DH106" i="1"/>
  <c r="DH85" i="1"/>
  <c r="DH42" i="1"/>
  <c r="DH35" i="1"/>
  <c r="DH28" i="1"/>
  <c r="DH21" i="1"/>
  <c r="DH14" i="1"/>
  <c r="DH7" i="1"/>
  <c r="FH9" i="1" s="1"/>
  <c r="FH10" i="1" s="1"/>
  <c r="DG48" i="1"/>
  <c r="DG113" i="1"/>
  <c r="DG106" i="1"/>
  <c r="FG108" i="1" s="1"/>
  <c r="FG109" i="1" s="1"/>
  <c r="FG101" i="1"/>
  <c r="FG102" i="1" s="1"/>
  <c r="DG85" i="1"/>
  <c r="FG87" i="1" s="1"/>
  <c r="FG88" i="1" s="1"/>
  <c r="DG42" i="1"/>
  <c r="DG35" i="1"/>
  <c r="DG28" i="1"/>
  <c r="DG21" i="1"/>
  <c r="DG14" i="1"/>
  <c r="DG7" i="1"/>
  <c r="FG9" i="1" s="1"/>
  <c r="FG10" i="1" s="1"/>
  <c r="DG49" i="1" l="1"/>
  <c r="FG51" i="1" s="1"/>
  <c r="FG52" i="1" s="1"/>
  <c r="DG76" i="1"/>
  <c r="DG124" i="1" s="1"/>
  <c r="DH76" i="1"/>
  <c r="DH124" i="1" s="1"/>
  <c r="DH49" i="1"/>
  <c r="DG118" i="1"/>
  <c r="FG120" i="1" s="1"/>
  <c r="FG121" i="1" s="1"/>
  <c r="DH118" i="1"/>
  <c r="DI77" i="1"/>
  <c r="DI118" i="1"/>
  <c r="FG94" i="1"/>
  <c r="FG95" i="1" s="1"/>
  <c r="DH93" i="1"/>
  <c r="FH115" i="1"/>
  <c r="FH116" i="1" s="1"/>
  <c r="DJ125" i="1"/>
  <c r="DI86" i="1"/>
  <c r="DJ86" i="1"/>
  <c r="DI15" i="1"/>
  <c r="DJ15" i="1"/>
  <c r="DI107" i="1"/>
  <c r="DJ107" i="1"/>
  <c r="DI29" i="1"/>
  <c r="DJ29" i="1"/>
  <c r="FI115" i="1"/>
  <c r="FI116" i="1" s="1"/>
  <c r="DI114" i="1"/>
  <c r="DJ114" i="1"/>
  <c r="FK127" i="1"/>
  <c r="FK128" i="1" s="1"/>
  <c r="DI93" i="1"/>
  <c r="DJ93" i="1"/>
  <c r="DI36" i="1"/>
  <c r="DJ36" i="1"/>
  <c r="DL126" i="1"/>
  <c r="FG115" i="1"/>
  <c r="FG116" i="1" s="1"/>
  <c r="DI22" i="1"/>
  <c r="DJ22" i="1"/>
  <c r="DI43" i="1"/>
  <c r="DJ43" i="1"/>
  <c r="FJ79" i="1"/>
  <c r="FJ80" i="1" s="1"/>
  <c r="FH16" i="1"/>
  <c r="FH17" i="1" s="1"/>
  <c r="FG16" i="1"/>
  <c r="FG17" i="1" s="1"/>
  <c r="FI16" i="1"/>
  <c r="FI17" i="1" s="1"/>
  <c r="FH23" i="1"/>
  <c r="FH24" i="1" s="1"/>
  <c r="FG23" i="1"/>
  <c r="FG24" i="1" s="1"/>
  <c r="FI23" i="1"/>
  <c r="FI24" i="1" s="1"/>
  <c r="FG30" i="1"/>
  <c r="FG31" i="1" s="1"/>
  <c r="FI30" i="1"/>
  <c r="FI31" i="1" s="1"/>
  <c r="FH30" i="1"/>
  <c r="FH31" i="1" s="1"/>
  <c r="FG37" i="1"/>
  <c r="FG38" i="1" s="1"/>
  <c r="FI37" i="1"/>
  <c r="FI38" i="1" s="1"/>
  <c r="FH37" i="1"/>
  <c r="FH38" i="1" s="1"/>
  <c r="DI8" i="1"/>
  <c r="DJ8" i="1"/>
  <c r="FM132" i="1"/>
  <c r="FM128" i="1"/>
  <c r="FL127" i="1"/>
  <c r="FI101" i="1"/>
  <c r="FI102" i="1" s="1"/>
  <c r="FI44" i="1"/>
  <c r="FI45" i="1" s="1"/>
  <c r="FI108" i="1"/>
  <c r="FI109" i="1" s="1"/>
  <c r="FI94" i="1"/>
  <c r="FI95" i="1" s="1"/>
  <c r="FI87" i="1"/>
  <c r="FI88" i="1" s="1"/>
  <c r="FI51" i="1"/>
  <c r="FI52" i="1" s="1"/>
  <c r="FG44" i="1"/>
  <c r="FG45" i="1" s="1"/>
  <c r="FH94" i="1"/>
  <c r="FH95" i="1" s="1"/>
  <c r="FH87" i="1"/>
  <c r="FH88" i="1" s="1"/>
  <c r="FH101" i="1"/>
  <c r="FH102" i="1" s="1"/>
  <c r="FH44" i="1"/>
  <c r="FH45" i="1" s="1"/>
  <c r="DI131" i="1"/>
  <c r="FH108" i="1"/>
  <c r="FH109" i="1" s="1"/>
  <c r="DJ100" i="1"/>
  <c r="DI116" i="1"/>
  <c r="DG116" i="1"/>
  <c r="DI100" i="1"/>
  <c r="DH114" i="1"/>
  <c r="DH15" i="1"/>
  <c r="DH22" i="1"/>
  <c r="DH29" i="1"/>
  <c r="DH100" i="1"/>
  <c r="DH36" i="1"/>
  <c r="DH107" i="1"/>
  <c r="DH8" i="1"/>
  <c r="DH116" i="1"/>
  <c r="DH86" i="1"/>
  <c r="DH131" i="1"/>
  <c r="DH43" i="1"/>
  <c r="DG45" i="1"/>
  <c r="DF48" i="1"/>
  <c r="DF113" i="1"/>
  <c r="DF106" i="1"/>
  <c r="FF108" i="1" s="1"/>
  <c r="FF109" i="1" s="1"/>
  <c r="FF101" i="1"/>
  <c r="FF102" i="1" s="1"/>
  <c r="DF85" i="1"/>
  <c r="FF87" i="1" s="1"/>
  <c r="FF88" i="1" s="1"/>
  <c r="DF42" i="1"/>
  <c r="DF35" i="1"/>
  <c r="DF28" i="1"/>
  <c r="DF21" i="1"/>
  <c r="DF14" i="1"/>
  <c r="DF7" i="1"/>
  <c r="FF9" i="1" s="1"/>
  <c r="FF10" i="1" s="1"/>
  <c r="DE48" i="1"/>
  <c r="DF49" i="1" l="1"/>
  <c r="FF51" i="1" s="1"/>
  <c r="FF52" i="1" s="1"/>
  <c r="DF76" i="1"/>
  <c r="DF124" i="1" s="1"/>
  <c r="DE49" i="1"/>
  <c r="DE76" i="1"/>
  <c r="DE124" i="1" s="1"/>
  <c r="DF118" i="1"/>
  <c r="FF120" i="1" s="1"/>
  <c r="FF121" i="1" s="1"/>
  <c r="DG77" i="1"/>
  <c r="FG79" i="1" s="1"/>
  <c r="FG80" i="1" s="1"/>
  <c r="DH77" i="1"/>
  <c r="FH79" i="1" s="1"/>
  <c r="FH80" i="1" s="1"/>
  <c r="FF94" i="1"/>
  <c r="FF95" i="1" s="1"/>
  <c r="DG93" i="1"/>
  <c r="DI125" i="1"/>
  <c r="FK132" i="1"/>
  <c r="FJ127" i="1"/>
  <c r="FJ128" i="1" s="1"/>
  <c r="DI50" i="1"/>
  <c r="DK126" i="1"/>
  <c r="FF115" i="1"/>
  <c r="FF116" i="1" s="1"/>
  <c r="DI119" i="1"/>
  <c r="DJ119" i="1"/>
  <c r="DJ78" i="1"/>
  <c r="FF16" i="1"/>
  <c r="FF17" i="1" s="1"/>
  <c r="FF23" i="1"/>
  <c r="FF24" i="1" s="1"/>
  <c r="FF30" i="1"/>
  <c r="FF31" i="1" s="1"/>
  <c r="FF37" i="1"/>
  <c r="FF38" i="1" s="1"/>
  <c r="FL132" i="1"/>
  <c r="FL128" i="1"/>
  <c r="FI79" i="1"/>
  <c r="FI80" i="1" s="1"/>
  <c r="FI120" i="1"/>
  <c r="FI121" i="1" s="1"/>
  <c r="FF44" i="1"/>
  <c r="FF45" i="1" s="1"/>
  <c r="FH120" i="1"/>
  <c r="FH121" i="1" s="1"/>
  <c r="FH51" i="1"/>
  <c r="FH52" i="1" s="1"/>
  <c r="DG36" i="1"/>
  <c r="DG43" i="1"/>
  <c r="DG114" i="1"/>
  <c r="DG15" i="1"/>
  <c r="DG29" i="1"/>
  <c r="DG100" i="1"/>
  <c r="DG107" i="1"/>
  <c r="DG8" i="1"/>
  <c r="DG22" i="1"/>
  <c r="DG86" i="1"/>
  <c r="DH50" i="1"/>
  <c r="DH119" i="1"/>
  <c r="DF116" i="1"/>
  <c r="DF45" i="1"/>
  <c r="DE113" i="1"/>
  <c r="DE106" i="1"/>
  <c r="DE85" i="1"/>
  <c r="DE42" i="1"/>
  <c r="DE35" i="1"/>
  <c r="DE28" i="1"/>
  <c r="DE21" i="1"/>
  <c r="DE14" i="1"/>
  <c r="DE7" i="1"/>
  <c r="FE9" i="1" s="1"/>
  <c r="FE10" i="1" s="1"/>
  <c r="DF77" i="1" l="1"/>
  <c r="FF79" i="1" s="1"/>
  <c r="FF80" i="1" s="1"/>
  <c r="DE118" i="1"/>
  <c r="DF93" i="1"/>
  <c r="DH125" i="1"/>
  <c r="DI126" i="1" s="1"/>
  <c r="FE115" i="1"/>
  <c r="FE116" i="1" s="1"/>
  <c r="DG125" i="1"/>
  <c r="FG127" i="1" s="1"/>
  <c r="FJ132" i="1"/>
  <c r="DI78" i="1"/>
  <c r="DJ126" i="1"/>
  <c r="FE16" i="1"/>
  <c r="FE17" i="1" s="1"/>
  <c r="FE23" i="1"/>
  <c r="FE24" i="1" s="1"/>
  <c r="FE30" i="1"/>
  <c r="FE31" i="1" s="1"/>
  <c r="FE37" i="1"/>
  <c r="FE38" i="1" s="1"/>
  <c r="FI127" i="1"/>
  <c r="FI132" i="1" s="1"/>
  <c r="FE44" i="1"/>
  <c r="FE45" i="1" s="1"/>
  <c r="FE94" i="1"/>
  <c r="FE95" i="1" s="1"/>
  <c r="FE108" i="1"/>
  <c r="FE109" i="1" s="1"/>
  <c r="FE101" i="1"/>
  <c r="FE102" i="1" s="1"/>
  <c r="FE87" i="1"/>
  <c r="FE88" i="1" s="1"/>
  <c r="DG50" i="1"/>
  <c r="DG119" i="1"/>
  <c r="DF100" i="1"/>
  <c r="DF15" i="1"/>
  <c r="DF22" i="1"/>
  <c r="DF36" i="1"/>
  <c r="DF107" i="1"/>
  <c r="DF114" i="1"/>
  <c r="DF8" i="1"/>
  <c r="DF29" i="1"/>
  <c r="DF86" i="1"/>
  <c r="DH78" i="1"/>
  <c r="DE45" i="1"/>
  <c r="DF43" i="1"/>
  <c r="DE116" i="1"/>
  <c r="DE77" i="1"/>
  <c r="DD48" i="1"/>
  <c r="DD113" i="1"/>
  <c r="DD106" i="1"/>
  <c r="DD85" i="1"/>
  <c r="DD42" i="1"/>
  <c r="DD35" i="1"/>
  <c r="DD28" i="1"/>
  <c r="DD21" i="1"/>
  <c r="DD14" i="1"/>
  <c r="DD7" i="1"/>
  <c r="FD9" i="1" s="1"/>
  <c r="FD10" i="1" s="1"/>
  <c r="DC48" i="1"/>
  <c r="DD76" i="1" l="1"/>
  <c r="DD49" i="1"/>
  <c r="DC49" i="1"/>
  <c r="DC76" i="1"/>
  <c r="DC124" i="1" s="1"/>
  <c r="DD124" i="1"/>
  <c r="DD118" i="1"/>
  <c r="DE93" i="1"/>
  <c r="DE125" i="1"/>
  <c r="FD115" i="1"/>
  <c r="FD116" i="1" s="1"/>
  <c r="DF125" i="1"/>
  <c r="FF127" i="1" s="1"/>
  <c r="FD16" i="1"/>
  <c r="FD17" i="1" s="1"/>
  <c r="FD23" i="1"/>
  <c r="FD24" i="1" s="1"/>
  <c r="FD30" i="1"/>
  <c r="FD31" i="1" s="1"/>
  <c r="FD37" i="1"/>
  <c r="FD38" i="1" s="1"/>
  <c r="FI128" i="1"/>
  <c r="FH127" i="1"/>
  <c r="FH132" i="1" s="1"/>
  <c r="FG132" i="1"/>
  <c r="FG128" i="1"/>
  <c r="FE51" i="1"/>
  <c r="FE52" i="1" s="1"/>
  <c r="FE120" i="1"/>
  <c r="FE121" i="1" s="1"/>
  <c r="FD94" i="1"/>
  <c r="FD95" i="1" s="1"/>
  <c r="FD87" i="1"/>
  <c r="FD88" i="1" s="1"/>
  <c r="FD44" i="1"/>
  <c r="FD45" i="1" s="1"/>
  <c r="FD101" i="1"/>
  <c r="FD102" i="1" s="1"/>
  <c r="FD108" i="1"/>
  <c r="FD109" i="1" s="1"/>
  <c r="DG78" i="1"/>
  <c r="DF119" i="1"/>
  <c r="DF50" i="1"/>
  <c r="DE107" i="1"/>
  <c r="DE43" i="1"/>
  <c r="DE114" i="1"/>
  <c r="DE8" i="1"/>
  <c r="DE36" i="1"/>
  <c r="DE15" i="1"/>
  <c r="DE22" i="1"/>
  <c r="DE86" i="1"/>
  <c r="DE29" i="1"/>
  <c r="DE100" i="1"/>
  <c r="DH126" i="1"/>
  <c r="DD45" i="1"/>
  <c r="DD116" i="1"/>
  <c r="DD77" i="1"/>
  <c r="DC113" i="1"/>
  <c r="DC106" i="1"/>
  <c r="DC85" i="1"/>
  <c r="DD93" i="1"/>
  <c r="DC42" i="1"/>
  <c r="DC35" i="1"/>
  <c r="DC28" i="1"/>
  <c r="DC21" i="1"/>
  <c r="DC14" i="1"/>
  <c r="DC7" i="1"/>
  <c r="FC9" i="1" s="1"/>
  <c r="FC10" i="1" s="1"/>
  <c r="DB48" i="1"/>
  <c r="DB49" i="1" l="1"/>
  <c r="DB76" i="1"/>
  <c r="DB124" i="1" s="1"/>
  <c r="DC118" i="1"/>
  <c r="FC115" i="1"/>
  <c r="FC116" i="1" s="1"/>
  <c r="DD125" i="1"/>
  <c r="FC16" i="1"/>
  <c r="FC17" i="1" s="1"/>
  <c r="FC23" i="1"/>
  <c r="FC24" i="1" s="1"/>
  <c r="FC30" i="1"/>
  <c r="FC31" i="1" s="1"/>
  <c r="FC37" i="1"/>
  <c r="FC38" i="1" s="1"/>
  <c r="FH128" i="1"/>
  <c r="FE79" i="1"/>
  <c r="FE80" i="1" s="1"/>
  <c r="FF132" i="1"/>
  <c r="FF128" i="1"/>
  <c r="FD51" i="1"/>
  <c r="FD52" i="1" s="1"/>
  <c r="FD120" i="1"/>
  <c r="FD121" i="1" s="1"/>
  <c r="FC44" i="1"/>
  <c r="FC45" i="1" s="1"/>
  <c r="FC101" i="1"/>
  <c r="FC102" i="1" s="1"/>
  <c r="FC87" i="1"/>
  <c r="FC88" i="1" s="1"/>
  <c r="FC94" i="1"/>
  <c r="FC95" i="1" s="1"/>
  <c r="FC108" i="1"/>
  <c r="FC109" i="1" s="1"/>
  <c r="DG126" i="1"/>
  <c r="DE119" i="1"/>
  <c r="DE50" i="1"/>
  <c r="DD29" i="1"/>
  <c r="DD100" i="1"/>
  <c r="DD22" i="1"/>
  <c r="DD43" i="1"/>
  <c r="DD114" i="1"/>
  <c r="DD86" i="1"/>
  <c r="DD8" i="1"/>
  <c r="DD15" i="1"/>
  <c r="DD36" i="1"/>
  <c r="DD107" i="1"/>
  <c r="DF78" i="1"/>
  <c r="DC116" i="1"/>
  <c r="DC45" i="1"/>
  <c r="DC77" i="1"/>
  <c r="DB113" i="1"/>
  <c r="DB106" i="1"/>
  <c r="DB85" i="1"/>
  <c r="DB42" i="1"/>
  <c r="DB35" i="1"/>
  <c r="DB28" i="1"/>
  <c r="DB21" i="1"/>
  <c r="DB14" i="1"/>
  <c r="DB7" i="1"/>
  <c r="DA48" i="1"/>
  <c r="DA113" i="1"/>
  <c r="DA106" i="1"/>
  <c r="DA85" i="1"/>
  <c r="DA42" i="1"/>
  <c r="DA35" i="1"/>
  <c r="DA28" i="1"/>
  <c r="DA21" i="1"/>
  <c r="DA14" i="1"/>
  <c r="DA7" i="1"/>
  <c r="FA9" i="1" s="1"/>
  <c r="FA10" i="1" s="1"/>
  <c r="DA49" i="1" l="1"/>
  <c r="DA77" i="1" s="1"/>
  <c r="DA76" i="1"/>
  <c r="DA118" i="1"/>
  <c r="DB77" i="1"/>
  <c r="DB118" i="1"/>
  <c r="DB93" i="1"/>
  <c r="DC93" i="1"/>
  <c r="FB115" i="1"/>
  <c r="FB116" i="1" s="1"/>
  <c r="FA115" i="1"/>
  <c r="FA116" i="1" s="1"/>
  <c r="DC125" i="1"/>
  <c r="FB9" i="1"/>
  <c r="FB10" i="1" s="1"/>
  <c r="FB16" i="1"/>
  <c r="FB17" i="1" s="1"/>
  <c r="FA16" i="1"/>
  <c r="FA17" i="1" s="1"/>
  <c r="FB23" i="1"/>
  <c r="FB24" i="1" s="1"/>
  <c r="FA23" i="1"/>
  <c r="FA24" i="1" s="1"/>
  <c r="FA30" i="1"/>
  <c r="FA31" i="1" s="1"/>
  <c r="FB30" i="1"/>
  <c r="FB31" i="1" s="1"/>
  <c r="FA37" i="1"/>
  <c r="FA38" i="1" s="1"/>
  <c r="FB37" i="1"/>
  <c r="FB38" i="1" s="1"/>
  <c r="DA124" i="1"/>
  <c r="FE127" i="1"/>
  <c r="FE132" i="1" s="1"/>
  <c r="FD79" i="1"/>
  <c r="FD80" i="1" s="1"/>
  <c r="FC51" i="1"/>
  <c r="FC52" i="1" s="1"/>
  <c r="FC120" i="1"/>
  <c r="FC121" i="1" s="1"/>
  <c r="FB94" i="1"/>
  <c r="FB95" i="1" s="1"/>
  <c r="FB87" i="1"/>
  <c r="FB88" i="1" s="1"/>
  <c r="FB44" i="1"/>
  <c r="FB45" i="1" s="1"/>
  <c r="FB108" i="1"/>
  <c r="FB109" i="1" s="1"/>
  <c r="FB51" i="1"/>
  <c r="FB52" i="1" s="1"/>
  <c r="FB101" i="1"/>
  <c r="FB102" i="1" s="1"/>
  <c r="FA101" i="1"/>
  <c r="FA102" i="1" s="1"/>
  <c r="FA87" i="1"/>
  <c r="FA88" i="1" s="1"/>
  <c r="FA94" i="1"/>
  <c r="FA95" i="1" s="1"/>
  <c r="FA44" i="1"/>
  <c r="FA45" i="1" s="1"/>
  <c r="FA108" i="1"/>
  <c r="FA109" i="1" s="1"/>
  <c r="DF126" i="1"/>
  <c r="DD119" i="1"/>
  <c r="DD50" i="1"/>
  <c r="DC22" i="1"/>
  <c r="DC29" i="1"/>
  <c r="DC43" i="1"/>
  <c r="DC114" i="1"/>
  <c r="DC36" i="1"/>
  <c r="DC107" i="1"/>
  <c r="DC86" i="1"/>
  <c r="DC15" i="1"/>
  <c r="DC100" i="1"/>
  <c r="DC8" i="1"/>
  <c r="DE78" i="1"/>
  <c r="DC50" i="1"/>
  <c r="DB36" i="1"/>
  <c r="DB29" i="1"/>
  <c r="DB100" i="1"/>
  <c r="DB107" i="1"/>
  <c r="DB114" i="1"/>
  <c r="DB86" i="1"/>
  <c r="DB45" i="1"/>
  <c r="DB116" i="1"/>
  <c r="DB8" i="1"/>
  <c r="DB15" i="1"/>
  <c r="DB22" i="1"/>
  <c r="DB43" i="1"/>
  <c r="DA116" i="1"/>
  <c r="DA45" i="1"/>
  <c r="CZ106" i="1"/>
  <c r="CZ85" i="1"/>
  <c r="CZ42" i="1"/>
  <c r="CZ35" i="1"/>
  <c r="CZ28" i="1"/>
  <c r="CZ21" i="1"/>
  <c r="CZ14" i="1"/>
  <c r="CZ7" i="1"/>
  <c r="EZ9" i="1" s="1"/>
  <c r="EZ10" i="1" s="1"/>
  <c r="CZ113" i="1"/>
  <c r="CY113" i="1"/>
  <c r="CY106" i="1"/>
  <c r="CY85" i="1"/>
  <c r="CY42" i="1"/>
  <c r="CY35" i="1"/>
  <c r="CY28" i="1"/>
  <c r="CY21" i="1"/>
  <c r="CY14" i="1"/>
  <c r="CY7" i="1"/>
  <c r="EY9" i="1" s="1"/>
  <c r="EY10" i="1" s="1"/>
  <c r="CX113" i="1"/>
  <c r="CX106" i="1"/>
  <c r="CX85" i="1"/>
  <c r="EX87" i="1" s="1"/>
  <c r="EX88" i="1" s="1"/>
  <c r="CX42" i="1"/>
  <c r="CX35" i="1"/>
  <c r="CX28" i="1"/>
  <c r="CX21" i="1"/>
  <c r="CX14" i="1"/>
  <c r="CX7" i="1"/>
  <c r="EX9" i="1" s="1"/>
  <c r="EX10" i="1" s="1"/>
  <c r="CY77" i="1" l="1"/>
  <c r="CX77" i="1"/>
  <c r="CY118" i="1"/>
  <c r="CX118" i="1"/>
  <c r="CZ77" i="1"/>
  <c r="CZ118" i="1"/>
  <c r="CZ93" i="1"/>
  <c r="CY93" i="1"/>
  <c r="DA93" i="1"/>
  <c r="DA125" i="1"/>
  <c r="EY115" i="1"/>
  <c r="EY116" i="1" s="1"/>
  <c r="EZ115" i="1"/>
  <c r="EZ116" i="1" s="1"/>
  <c r="EX115" i="1"/>
  <c r="EX116" i="1" s="1"/>
  <c r="DB125" i="1"/>
  <c r="EY16" i="1"/>
  <c r="EY17" i="1" s="1"/>
  <c r="EX16" i="1"/>
  <c r="EX17" i="1" s="1"/>
  <c r="EZ16" i="1"/>
  <c r="EZ17" i="1" s="1"/>
  <c r="EX23" i="1"/>
  <c r="EX24" i="1" s="1"/>
  <c r="EZ23" i="1"/>
  <c r="EZ24" i="1" s="1"/>
  <c r="EY23" i="1"/>
  <c r="EY24" i="1" s="1"/>
  <c r="EX30" i="1"/>
  <c r="EX31" i="1" s="1"/>
  <c r="EZ30" i="1"/>
  <c r="EZ31" i="1" s="1"/>
  <c r="EY30" i="1"/>
  <c r="EY31" i="1" s="1"/>
  <c r="EZ37" i="1"/>
  <c r="EZ38" i="1" s="1"/>
  <c r="EY37" i="1"/>
  <c r="EY38" i="1" s="1"/>
  <c r="EX37" i="1"/>
  <c r="EX38" i="1" s="1"/>
  <c r="FE128" i="1"/>
  <c r="FD127" i="1"/>
  <c r="FD132" i="1" s="1"/>
  <c r="FC79" i="1"/>
  <c r="FC80" i="1" s="1"/>
  <c r="FB79" i="1"/>
  <c r="FB80" i="1" s="1"/>
  <c r="FB120" i="1"/>
  <c r="FB121" i="1" s="1"/>
  <c r="FA51" i="1"/>
  <c r="FA52" i="1" s="1"/>
  <c r="FA120" i="1"/>
  <c r="FA121" i="1" s="1"/>
  <c r="EZ94" i="1"/>
  <c r="EZ95" i="1" s="1"/>
  <c r="EZ44" i="1"/>
  <c r="EZ45" i="1" s="1"/>
  <c r="EZ87" i="1"/>
  <c r="EZ88" i="1" s="1"/>
  <c r="EZ101" i="1"/>
  <c r="EZ102" i="1" s="1"/>
  <c r="EZ51" i="1"/>
  <c r="EZ52" i="1" s="1"/>
  <c r="EZ108" i="1"/>
  <c r="EZ109" i="1" s="1"/>
  <c r="EY108" i="1"/>
  <c r="EY109" i="1" s="1"/>
  <c r="EY44" i="1"/>
  <c r="EY45" i="1" s="1"/>
  <c r="EY51" i="1"/>
  <c r="EY52" i="1" s="1"/>
  <c r="EY94" i="1"/>
  <c r="EY95" i="1" s="1"/>
  <c r="EY87" i="1"/>
  <c r="EY88" i="1" s="1"/>
  <c r="EY101" i="1"/>
  <c r="EY102" i="1" s="1"/>
  <c r="EX108" i="1"/>
  <c r="EX109" i="1" s="1"/>
  <c r="EX101" i="1"/>
  <c r="EX102" i="1" s="1"/>
  <c r="EX94" i="1"/>
  <c r="EX95" i="1" s="1"/>
  <c r="EX51" i="1"/>
  <c r="EX52" i="1" s="1"/>
  <c r="EX44" i="1"/>
  <c r="EX45" i="1" s="1"/>
  <c r="DE126" i="1"/>
  <c r="DC119" i="1"/>
  <c r="DA15" i="1"/>
  <c r="DA36" i="1"/>
  <c r="DA100" i="1"/>
  <c r="DA114" i="1"/>
  <c r="DA22" i="1"/>
  <c r="DA43" i="1"/>
  <c r="DA107" i="1"/>
  <c r="DA29" i="1"/>
  <c r="DA8" i="1"/>
  <c r="DA86" i="1"/>
  <c r="DD78" i="1"/>
  <c r="DC78" i="1"/>
  <c r="DA50" i="1"/>
  <c r="DB50" i="1"/>
  <c r="DB119" i="1"/>
  <c r="CZ8" i="1"/>
  <c r="CZ45" i="1"/>
  <c r="CZ15" i="1"/>
  <c r="CZ22" i="1"/>
  <c r="CZ50" i="1"/>
  <c r="CY114" i="1"/>
  <c r="CZ43" i="1"/>
  <c r="CZ107" i="1"/>
  <c r="CZ29" i="1"/>
  <c r="CZ36" i="1"/>
  <c r="CZ114" i="1"/>
  <c r="CZ86" i="1"/>
  <c r="CZ116" i="1"/>
  <c r="CY100" i="1"/>
  <c r="CY50" i="1"/>
  <c r="CY107" i="1"/>
  <c r="CY86" i="1"/>
  <c r="CY45" i="1"/>
  <c r="CZ100" i="1"/>
  <c r="CY116" i="1"/>
  <c r="CY22" i="1"/>
  <c r="CY36" i="1"/>
  <c r="CY8" i="1"/>
  <c r="CY15" i="1"/>
  <c r="CY29" i="1"/>
  <c r="CY43" i="1"/>
  <c r="CX45" i="1"/>
  <c r="CX116" i="1"/>
  <c r="CX125" i="1" l="1"/>
  <c r="CZ125" i="1"/>
  <c r="CY125" i="1"/>
  <c r="FD128" i="1"/>
  <c r="FC127" i="1"/>
  <c r="FC132" i="1" s="1"/>
  <c r="FB127" i="1"/>
  <c r="FB132" i="1" s="1"/>
  <c r="FA79" i="1"/>
  <c r="FA80" i="1" s="1"/>
  <c r="EZ120" i="1"/>
  <c r="EZ121" i="1" s="1"/>
  <c r="EZ79" i="1"/>
  <c r="EZ80" i="1" s="1"/>
  <c r="EY120" i="1"/>
  <c r="EY121" i="1" s="1"/>
  <c r="EY79" i="1"/>
  <c r="EY80" i="1" s="1"/>
  <c r="EX79" i="1"/>
  <c r="EX80" i="1" s="1"/>
  <c r="EX120" i="1"/>
  <c r="EX121" i="1" s="1"/>
  <c r="DB78" i="1"/>
  <c r="DD126" i="1"/>
  <c r="DC126" i="1"/>
  <c r="DA119" i="1"/>
  <c r="CZ78" i="1"/>
  <c r="CZ119" i="1"/>
  <c r="DA78" i="1"/>
  <c r="CY119" i="1"/>
  <c r="CY78" i="1"/>
  <c r="FC128" i="1" l="1"/>
  <c r="FB128" i="1"/>
  <c r="FA127" i="1"/>
  <c r="FA128" i="1" s="1"/>
  <c r="EZ127" i="1"/>
  <c r="EZ132" i="1" s="1"/>
  <c r="EY127" i="1"/>
  <c r="EY132" i="1" s="1"/>
  <c r="EX127" i="1"/>
  <c r="EX132" i="1" s="1"/>
  <c r="DB126" i="1"/>
  <c r="DA126" i="1"/>
  <c r="CZ126" i="1"/>
  <c r="CY126" i="1"/>
  <c r="CW113" i="1"/>
  <c r="CW106" i="1"/>
  <c r="CW85" i="1"/>
  <c r="EW87" i="1" s="1"/>
  <c r="EW88" i="1" s="1"/>
  <c r="CW42" i="1"/>
  <c r="CW35" i="1"/>
  <c r="CW28" i="1"/>
  <c r="CW21" i="1"/>
  <c r="CW14" i="1"/>
  <c r="CW7" i="1"/>
  <c r="EW9" i="1" s="1"/>
  <c r="EW10" i="1" s="1"/>
  <c r="CV85" i="1"/>
  <c r="CV113" i="1"/>
  <c r="CV106" i="1"/>
  <c r="CV42" i="1"/>
  <c r="CV35" i="1"/>
  <c r="CV28" i="1"/>
  <c r="CV21" i="1"/>
  <c r="CV14" i="1"/>
  <c r="CV7" i="1"/>
  <c r="EV9" i="1" s="1"/>
  <c r="EV10" i="1" s="1"/>
  <c r="CU113" i="1"/>
  <c r="CU106" i="1"/>
  <c r="CU42" i="1"/>
  <c r="CU35" i="1"/>
  <c r="CU28" i="1"/>
  <c r="CU21" i="1"/>
  <c r="CU14" i="1"/>
  <c r="CU7" i="1"/>
  <c r="EU9" i="1" s="1"/>
  <c r="EU10" i="1" s="1"/>
  <c r="CT113" i="1"/>
  <c r="CT106" i="1"/>
  <c r="CT42" i="1"/>
  <c r="CT35" i="1"/>
  <c r="CT28" i="1"/>
  <c r="CT21" i="1"/>
  <c r="CT14" i="1"/>
  <c r="CT7" i="1"/>
  <c r="CS113" i="1"/>
  <c r="CS106" i="1"/>
  <c r="CS42" i="1"/>
  <c r="CS35" i="1"/>
  <c r="CS28" i="1"/>
  <c r="CS21" i="1"/>
  <c r="CS14" i="1"/>
  <c r="CS7" i="1"/>
  <c r="ES9" i="1" s="1"/>
  <c r="ES10" i="1" s="1"/>
  <c r="CR113" i="1"/>
  <c r="CR106" i="1"/>
  <c r="CR42" i="1"/>
  <c r="CR35" i="1"/>
  <c r="CR28" i="1"/>
  <c r="CR21" i="1"/>
  <c r="CR14" i="1"/>
  <c r="CR7" i="1"/>
  <c r="ER9" i="1" s="1"/>
  <c r="ER10" i="1" s="1"/>
  <c r="CQ113" i="1"/>
  <c r="CQ106" i="1"/>
  <c r="CQ42" i="1"/>
  <c r="CQ35" i="1"/>
  <c r="CQ28" i="1"/>
  <c r="CQ21" i="1"/>
  <c r="CQ14" i="1"/>
  <c r="CQ7" i="1"/>
  <c r="EQ9" i="1" s="1"/>
  <c r="EQ10" i="1" s="1"/>
  <c r="CP113" i="1"/>
  <c r="CP106" i="1"/>
  <c r="CP42" i="1"/>
  <c r="CP35" i="1"/>
  <c r="CP28" i="1"/>
  <c r="CP21" i="1"/>
  <c r="CP14" i="1"/>
  <c r="CP7" i="1"/>
  <c r="EP9" i="1" s="1"/>
  <c r="EP10" i="1" s="1"/>
  <c r="CO48" i="1"/>
  <c r="CO20" i="1"/>
  <c r="CO113" i="1"/>
  <c r="CO106" i="1"/>
  <c r="CO42" i="1"/>
  <c r="CO35" i="1"/>
  <c r="CO28" i="1"/>
  <c r="CO14" i="1"/>
  <c r="CO7" i="1"/>
  <c r="EO9" i="1" s="1"/>
  <c r="EO10" i="1" s="1"/>
  <c r="HA85" i="1" l="1"/>
  <c r="CO49" i="1"/>
  <c r="CO76" i="1"/>
  <c r="CO124" i="1" s="1"/>
  <c r="CR118" i="1"/>
  <c r="CV118" i="1"/>
  <c r="CR93" i="1"/>
  <c r="CU93" i="1"/>
  <c r="CR77" i="1"/>
  <c r="CV77" i="1"/>
  <c r="CW77" i="1"/>
  <c r="CQ77" i="1"/>
  <c r="CQ118" i="1"/>
  <c r="CU77" i="1"/>
  <c r="CU118" i="1"/>
  <c r="CW118" i="1"/>
  <c r="CP77" i="1"/>
  <c r="CP118" i="1"/>
  <c r="CT77" i="1"/>
  <c r="CT118" i="1"/>
  <c r="CS77" i="1"/>
  <c r="CS118" i="1"/>
  <c r="CS93" i="1"/>
  <c r="CV93" i="1"/>
  <c r="CQ93" i="1"/>
  <c r="CW93" i="1"/>
  <c r="CX93" i="1"/>
  <c r="CT93" i="1"/>
  <c r="EO115" i="1"/>
  <c r="EO116" i="1" s="1"/>
  <c r="EV115" i="1"/>
  <c r="EV116" i="1" s="1"/>
  <c r="EQ115" i="1"/>
  <c r="EQ116" i="1" s="1"/>
  <c r="ET115" i="1"/>
  <c r="ET116" i="1" s="1"/>
  <c r="ER115" i="1"/>
  <c r="ER116" i="1" s="1"/>
  <c r="ES115" i="1"/>
  <c r="ES116" i="1" s="1"/>
  <c r="EU115" i="1"/>
  <c r="EU116" i="1" s="1"/>
  <c r="EW115" i="1"/>
  <c r="EW116" i="1" s="1"/>
  <c r="EP115" i="1"/>
  <c r="EP116" i="1" s="1"/>
  <c r="ET9" i="1"/>
  <c r="ET10" i="1" s="1"/>
  <c r="ER16" i="1"/>
  <c r="ER17" i="1" s="1"/>
  <c r="EO16" i="1"/>
  <c r="EO17" i="1" s="1"/>
  <c r="EW16" i="1"/>
  <c r="EW17" i="1" s="1"/>
  <c r="ET16" i="1"/>
  <c r="ET17" i="1" s="1"/>
  <c r="EU16" i="1"/>
  <c r="EU17" i="1" s="1"/>
  <c r="EP16" i="1"/>
  <c r="EP17" i="1" s="1"/>
  <c r="ES16" i="1"/>
  <c r="ES17" i="1" s="1"/>
  <c r="EV16" i="1"/>
  <c r="EV17" i="1" s="1"/>
  <c r="EQ16" i="1"/>
  <c r="EQ17" i="1" s="1"/>
  <c r="ET23" i="1"/>
  <c r="ET24" i="1" s="1"/>
  <c r="EU23" i="1"/>
  <c r="EU24" i="1" s="1"/>
  <c r="EW23" i="1"/>
  <c r="EW24" i="1" s="1"/>
  <c r="EP23" i="1"/>
  <c r="EP24" i="1" s="1"/>
  <c r="ES23" i="1"/>
  <c r="ES24" i="1" s="1"/>
  <c r="EQ23" i="1"/>
  <c r="EQ24" i="1" s="1"/>
  <c r="ER23" i="1"/>
  <c r="ER24" i="1" s="1"/>
  <c r="EV23" i="1"/>
  <c r="EV24" i="1" s="1"/>
  <c r="EV30" i="1"/>
  <c r="EV31" i="1" s="1"/>
  <c r="ET30" i="1"/>
  <c r="ET31" i="1" s="1"/>
  <c r="EO30" i="1"/>
  <c r="EO31" i="1" s="1"/>
  <c r="EU30" i="1"/>
  <c r="EU31" i="1" s="1"/>
  <c r="EW30" i="1"/>
  <c r="EW31" i="1" s="1"/>
  <c r="EP30" i="1"/>
  <c r="EP31" i="1" s="1"/>
  <c r="EQ30" i="1"/>
  <c r="EQ31" i="1" s="1"/>
  <c r="ER30" i="1"/>
  <c r="ER31" i="1" s="1"/>
  <c r="ES30" i="1"/>
  <c r="ES31" i="1" s="1"/>
  <c r="EP37" i="1"/>
  <c r="EP38" i="1" s="1"/>
  <c r="ET37" i="1"/>
  <c r="ET38" i="1" s="1"/>
  <c r="EV37" i="1"/>
  <c r="EV38" i="1" s="1"/>
  <c r="EQ37" i="1"/>
  <c r="EQ38" i="1" s="1"/>
  <c r="ER37" i="1"/>
  <c r="ER38" i="1" s="1"/>
  <c r="ES37" i="1"/>
  <c r="ES38" i="1" s="1"/>
  <c r="EO37" i="1"/>
  <c r="EO38" i="1" s="1"/>
  <c r="EU37" i="1"/>
  <c r="EU38" i="1" s="1"/>
  <c r="EW37" i="1"/>
  <c r="EW38" i="1" s="1"/>
  <c r="FA132" i="1"/>
  <c r="EZ128" i="1"/>
  <c r="EY128" i="1"/>
  <c r="EX128" i="1"/>
  <c r="EV87" i="1"/>
  <c r="EV88" i="1" s="1"/>
  <c r="EW94" i="1"/>
  <c r="EW95" i="1" s="1"/>
  <c r="EW101" i="1"/>
  <c r="EW102" i="1" s="1"/>
  <c r="EW51" i="1"/>
  <c r="EW52" i="1" s="1"/>
  <c r="EW108" i="1"/>
  <c r="EW109" i="1" s="1"/>
  <c r="EW44" i="1"/>
  <c r="EW45" i="1" s="1"/>
  <c r="EV44" i="1"/>
  <c r="EV45" i="1" s="1"/>
  <c r="EV101" i="1"/>
  <c r="EV102" i="1" s="1"/>
  <c r="EV94" i="1"/>
  <c r="EV95" i="1" s="1"/>
  <c r="EV108" i="1"/>
  <c r="EV109" i="1" s="1"/>
  <c r="EV51" i="1"/>
  <c r="EV52" i="1" s="1"/>
  <c r="EU44" i="1"/>
  <c r="EU45" i="1" s="1"/>
  <c r="EU94" i="1"/>
  <c r="EU95" i="1" s="1"/>
  <c r="EU108" i="1"/>
  <c r="EU109" i="1" s="1"/>
  <c r="EU51" i="1"/>
  <c r="EU52" i="1" s="1"/>
  <c r="EU101" i="1"/>
  <c r="EU102" i="1" s="1"/>
  <c r="ET51" i="1"/>
  <c r="ET52" i="1" s="1"/>
  <c r="ET94" i="1"/>
  <c r="ET95" i="1" s="1"/>
  <c r="ET108" i="1"/>
  <c r="ET109" i="1" s="1"/>
  <c r="ET44" i="1"/>
  <c r="ET45" i="1" s="1"/>
  <c r="ET101" i="1"/>
  <c r="ET102" i="1" s="1"/>
  <c r="ES51" i="1"/>
  <c r="ES52" i="1" s="1"/>
  <c r="ES44" i="1"/>
  <c r="ES45" i="1" s="1"/>
  <c r="ES101" i="1"/>
  <c r="ES102" i="1" s="1"/>
  <c r="ES94" i="1"/>
  <c r="ES95" i="1" s="1"/>
  <c r="ES108" i="1"/>
  <c r="ES109" i="1" s="1"/>
  <c r="ER51" i="1"/>
  <c r="ER52" i="1" s="1"/>
  <c r="ER44" i="1"/>
  <c r="ER45" i="1" s="1"/>
  <c r="ER94" i="1"/>
  <c r="ER95" i="1" s="1"/>
  <c r="ER101" i="1"/>
  <c r="ER102" i="1" s="1"/>
  <c r="ER108" i="1"/>
  <c r="ER109" i="1" s="1"/>
  <c r="EQ94" i="1"/>
  <c r="EQ95" i="1" s="1"/>
  <c r="EQ108" i="1"/>
  <c r="EQ109" i="1" s="1"/>
  <c r="EQ51" i="1"/>
  <c r="EQ52" i="1" s="1"/>
  <c r="EQ44" i="1"/>
  <c r="EQ45" i="1" s="1"/>
  <c r="EQ101" i="1"/>
  <c r="EQ102" i="1" s="1"/>
  <c r="EP44" i="1"/>
  <c r="EP45" i="1" s="1"/>
  <c r="EP94" i="1"/>
  <c r="EP95" i="1" s="1"/>
  <c r="EP108" i="1"/>
  <c r="EP109" i="1" s="1"/>
  <c r="EP51" i="1"/>
  <c r="EP52" i="1" s="1"/>
  <c r="EP101" i="1"/>
  <c r="EP102" i="1" s="1"/>
  <c r="EO108" i="1"/>
  <c r="EO109" i="1" s="1"/>
  <c r="EO44" i="1"/>
  <c r="EO45" i="1" s="1"/>
  <c r="EO101" i="1"/>
  <c r="EO102" i="1" s="1"/>
  <c r="CX50" i="1"/>
  <c r="CX86" i="1"/>
  <c r="CX36" i="1"/>
  <c r="CX100" i="1"/>
  <c r="CX107" i="1"/>
  <c r="CX114" i="1"/>
  <c r="CX8" i="1"/>
  <c r="CX15" i="1"/>
  <c r="CX22" i="1"/>
  <c r="CX29" i="1"/>
  <c r="CV43" i="1"/>
  <c r="CV36" i="1"/>
  <c r="CQ114" i="1"/>
  <c r="CW86" i="1"/>
  <c r="CW45" i="1"/>
  <c r="CX43" i="1"/>
  <c r="CW29" i="1"/>
  <c r="CW36" i="1"/>
  <c r="CW15" i="1"/>
  <c r="CV45" i="1"/>
  <c r="CW100" i="1"/>
  <c r="CW107" i="1"/>
  <c r="CW8" i="1"/>
  <c r="CW50" i="1"/>
  <c r="CW114" i="1"/>
  <c r="CW22" i="1"/>
  <c r="CW43" i="1"/>
  <c r="CW116" i="1"/>
  <c r="CS43" i="1"/>
  <c r="CV50" i="1"/>
  <c r="CV114" i="1"/>
  <c r="CV100" i="1"/>
  <c r="CV8" i="1"/>
  <c r="CV22" i="1"/>
  <c r="CV116" i="1"/>
  <c r="CV15" i="1"/>
  <c r="CV29" i="1"/>
  <c r="CV107" i="1"/>
  <c r="CU8" i="1"/>
  <c r="CU15" i="1"/>
  <c r="CU107" i="1"/>
  <c r="CU43" i="1"/>
  <c r="CU114" i="1"/>
  <c r="CU22" i="1"/>
  <c r="CU29" i="1"/>
  <c r="CU50" i="1"/>
  <c r="CU36" i="1"/>
  <c r="CU116" i="1"/>
  <c r="CU100" i="1"/>
  <c r="CU45" i="1"/>
  <c r="CT8" i="1"/>
  <c r="CT36" i="1"/>
  <c r="CT22" i="1"/>
  <c r="CT107" i="1"/>
  <c r="CT43" i="1"/>
  <c r="CT100" i="1"/>
  <c r="CT114" i="1"/>
  <c r="CT15" i="1"/>
  <c r="CT116" i="1"/>
  <c r="CT45" i="1"/>
  <c r="CT50" i="1"/>
  <c r="CT29" i="1"/>
  <c r="CS45" i="1"/>
  <c r="CS100" i="1"/>
  <c r="CS36" i="1"/>
  <c r="CS114" i="1"/>
  <c r="CQ45" i="1"/>
  <c r="CS15" i="1"/>
  <c r="CS29" i="1"/>
  <c r="CS116" i="1"/>
  <c r="CS107" i="1"/>
  <c r="CS8" i="1"/>
  <c r="CS22" i="1"/>
  <c r="CS50" i="1"/>
  <c r="CQ116" i="1"/>
  <c r="CQ107" i="1"/>
  <c r="CR36" i="1"/>
  <c r="CR43" i="1"/>
  <c r="CR45" i="1"/>
  <c r="CQ100" i="1"/>
  <c r="CR50" i="1"/>
  <c r="CR114" i="1"/>
  <c r="CR100" i="1"/>
  <c r="CR116" i="1"/>
  <c r="CR107" i="1"/>
  <c r="CQ8" i="1"/>
  <c r="CQ15" i="1"/>
  <c r="CQ36" i="1"/>
  <c r="CR8" i="1"/>
  <c r="CR15" i="1"/>
  <c r="CR22" i="1"/>
  <c r="CR29" i="1"/>
  <c r="CQ22" i="1"/>
  <c r="CQ29" i="1"/>
  <c r="CQ43" i="1"/>
  <c r="CQ50" i="1"/>
  <c r="CP29" i="1"/>
  <c r="CP36" i="1"/>
  <c r="CP107" i="1"/>
  <c r="CP15" i="1"/>
  <c r="CO45" i="1"/>
  <c r="CP43" i="1"/>
  <c r="CP8" i="1"/>
  <c r="CP100" i="1"/>
  <c r="CP114" i="1"/>
  <c r="CP45" i="1"/>
  <c r="CP116" i="1"/>
  <c r="CP93" i="1"/>
  <c r="CO21" i="1"/>
  <c r="CO116" i="1"/>
  <c r="CO77" i="1" l="1"/>
  <c r="CO118" i="1"/>
  <c r="EO120" i="1" s="1"/>
  <c r="EO121" i="1" s="1"/>
  <c r="CW125" i="1"/>
  <c r="CT125" i="1"/>
  <c r="CQ125" i="1"/>
  <c r="CS125" i="1"/>
  <c r="CV125" i="1"/>
  <c r="CU125" i="1"/>
  <c r="CP125" i="1"/>
  <c r="CR125" i="1"/>
  <c r="EO23" i="1"/>
  <c r="EO24" i="1" s="1"/>
  <c r="EW120" i="1"/>
  <c r="EW121" i="1" s="1"/>
  <c r="EW79" i="1"/>
  <c r="EW80" i="1" s="1"/>
  <c r="EV120" i="1"/>
  <c r="EV121" i="1" s="1"/>
  <c r="EV79" i="1"/>
  <c r="EV80" i="1" s="1"/>
  <c r="EU79" i="1"/>
  <c r="EU80" i="1" s="1"/>
  <c r="EU120" i="1"/>
  <c r="EU121" i="1" s="1"/>
  <c r="ET79" i="1"/>
  <c r="ET80" i="1" s="1"/>
  <c r="ET120" i="1"/>
  <c r="ET121" i="1" s="1"/>
  <c r="ES79" i="1"/>
  <c r="ES80" i="1" s="1"/>
  <c r="ES120" i="1"/>
  <c r="ES121" i="1" s="1"/>
  <c r="ER79" i="1"/>
  <c r="ER80" i="1" s="1"/>
  <c r="ER120" i="1"/>
  <c r="ER121" i="1" s="1"/>
  <c r="EQ120" i="1"/>
  <c r="EQ121" i="1" s="1"/>
  <c r="EQ79" i="1"/>
  <c r="EQ80" i="1" s="1"/>
  <c r="EP79" i="1"/>
  <c r="EP80" i="1" s="1"/>
  <c r="EP120" i="1"/>
  <c r="EP121" i="1" s="1"/>
  <c r="EO51" i="1"/>
  <c r="EO52" i="1" s="1"/>
  <c r="EO94" i="1"/>
  <c r="EO95" i="1" s="1"/>
  <c r="CP50" i="1"/>
  <c r="CP22" i="1"/>
  <c r="CX119" i="1"/>
  <c r="CW119" i="1"/>
  <c r="CX78" i="1"/>
  <c r="CW78" i="1"/>
  <c r="CV119" i="1"/>
  <c r="CV78" i="1"/>
  <c r="CT119" i="1"/>
  <c r="CU78" i="1"/>
  <c r="CU119" i="1"/>
  <c r="CT78" i="1"/>
  <c r="CS78" i="1"/>
  <c r="CS119" i="1"/>
  <c r="CQ119" i="1"/>
  <c r="CR119" i="1"/>
  <c r="CR78" i="1"/>
  <c r="CQ78" i="1"/>
  <c r="CN113" i="1"/>
  <c r="CN106" i="1"/>
  <c r="CO93" i="1"/>
  <c r="CN42" i="1"/>
  <c r="CN35" i="1"/>
  <c r="CN28" i="1"/>
  <c r="CN21" i="1"/>
  <c r="CN14" i="1"/>
  <c r="CN7" i="1"/>
  <c r="EN9" i="1" s="1"/>
  <c r="EN10" i="1" s="1"/>
  <c r="CM113" i="1"/>
  <c r="CM106" i="1"/>
  <c r="CM42" i="1"/>
  <c r="CM35" i="1"/>
  <c r="CM21" i="1"/>
  <c r="CM14" i="1"/>
  <c r="CM7" i="1"/>
  <c r="EM9" i="1" s="1"/>
  <c r="EM10" i="1" s="1"/>
  <c r="CL113" i="1"/>
  <c r="CL106" i="1"/>
  <c r="CL42" i="1"/>
  <c r="CL35" i="1"/>
  <c r="CL28" i="1"/>
  <c r="CL21" i="1"/>
  <c r="CL14" i="1"/>
  <c r="CL7" i="1"/>
  <c r="CK113" i="1"/>
  <c r="CK106" i="1"/>
  <c r="CK42" i="1"/>
  <c r="CK35" i="1"/>
  <c r="CK28" i="1"/>
  <c r="CK21" i="1"/>
  <c r="CK14" i="1"/>
  <c r="CK7" i="1"/>
  <c r="EK9" i="1" s="1"/>
  <c r="EK10" i="1" s="1"/>
  <c r="CJ113" i="1"/>
  <c r="CJ106" i="1"/>
  <c r="CJ42" i="1"/>
  <c r="CJ35" i="1"/>
  <c r="CJ28" i="1"/>
  <c r="CJ21" i="1"/>
  <c r="CJ14" i="1"/>
  <c r="CJ7" i="1"/>
  <c r="EJ9" i="1" s="1"/>
  <c r="EJ10" i="1" s="1"/>
  <c r="CP119" i="1" l="1"/>
  <c r="CL93" i="1"/>
  <c r="CO125" i="1"/>
  <c r="CM118" i="1"/>
  <c r="CJ77" i="1"/>
  <c r="CL77" i="1"/>
  <c r="CK118" i="1"/>
  <c r="CN77" i="1"/>
  <c r="CN118" i="1"/>
  <c r="CK77" i="1"/>
  <c r="CJ118" i="1"/>
  <c r="CL118" i="1"/>
  <c r="CM93" i="1"/>
  <c r="CN93" i="1"/>
  <c r="EJ115" i="1"/>
  <c r="EJ116" i="1" s="1"/>
  <c r="EN115" i="1"/>
  <c r="EN116" i="1" s="1"/>
  <c r="EM115" i="1"/>
  <c r="EM116" i="1" s="1"/>
  <c r="EK115" i="1"/>
  <c r="EK116" i="1" s="1"/>
  <c r="EL115" i="1"/>
  <c r="EL116" i="1" s="1"/>
  <c r="EL9" i="1"/>
  <c r="EL10" i="1" s="1"/>
  <c r="EJ16" i="1"/>
  <c r="EJ17" i="1" s="1"/>
  <c r="EN16" i="1"/>
  <c r="EN17" i="1" s="1"/>
  <c r="EM16" i="1"/>
  <c r="EM17" i="1" s="1"/>
  <c r="EK16" i="1"/>
  <c r="EK17" i="1" s="1"/>
  <c r="EL16" i="1"/>
  <c r="EL17" i="1" s="1"/>
  <c r="EJ23" i="1"/>
  <c r="EJ24" i="1" s="1"/>
  <c r="EM23" i="1"/>
  <c r="EM24" i="1" s="1"/>
  <c r="EN23" i="1"/>
  <c r="EN24" i="1" s="1"/>
  <c r="EK23" i="1"/>
  <c r="EK24" i="1" s="1"/>
  <c r="EL23" i="1"/>
  <c r="EL24" i="1" s="1"/>
  <c r="EK30" i="1"/>
  <c r="EK31" i="1" s="1"/>
  <c r="EN30" i="1"/>
  <c r="EN31" i="1" s="1"/>
  <c r="EL30" i="1"/>
  <c r="EL31" i="1" s="1"/>
  <c r="EJ30" i="1"/>
  <c r="EJ31" i="1" s="1"/>
  <c r="EJ37" i="1"/>
  <c r="EJ38" i="1" s="1"/>
  <c r="CJ38" i="1"/>
  <c r="EK37" i="1"/>
  <c r="EK38" i="1" s="1"/>
  <c r="CK38" i="1"/>
  <c r="EN37" i="1"/>
  <c r="EN38" i="1" s="1"/>
  <c r="EM37" i="1"/>
  <c r="EM38" i="1" s="1"/>
  <c r="EL37" i="1"/>
  <c r="EL38" i="1" s="1"/>
  <c r="EW127" i="1"/>
  <c r="EW128" i="1" s="1"/>
  <c r="EV127" i="1"/>
  <c r="EV132" i="1" s="1"/>
  <c r="EU127" i="1"/>
  <c r="EU132" i="1" s="1"/>
  <c r="ET127" i="1"/>
  <c r="ET132" i="1" s="1"/>
  <c r="ES127" i="1"/>
  <c r="ES132" i="1" s="1"/>
  <c r="ER127" i="1"/>
  <c r="ER132" i="1" s="1"/>
  <c r="EQ127" i="1"/>
  <c r="EQ132" i="1" s="1"/>
  <c r="EP127" i="1"/>
  <c r="EP128" i="1" s="1"/>
  <c r="EO79" i="1"/>
  <c r="EO80" i="1" s="1"/>
  <c r="EN94" i="1"/>
  <c r="EN95" i="1" s="1"/>
  <c r="EN108" i="1"/>
  <c r="EN109" i="1" s="1"/>
  <c r="EN44" i="1"/>
  <c r="EN45" i="1" s="1"/>
  <c r="EN51" i="1"/>
  <c r="EN52" i="1" s="1"/>
  <c r="EN101" i="1"/>
  <c r="EN102" i="1" s="1"/>
  <c r="EM101" i="1"/>
  <c r="EM102" i="1" s="1"/>
  <c r="EM51" i="1"/>
  <c r="EM52" i="1" s="1"/>
  <c r="EM108" i="1"/>
  <c r="EM109" i="1" s="1"/>
  <c r="EL94" i="1"/>
  <c r="EL95" i="1" s="1"/>
  <c r="EM44" i="1"/>
  <c r="EM45" i="1" s="1"/>
  <c r="EM94" i="1"/>
  <c r="EM95" i="1" s="1"/>
  <c r="EL101" i="1"/>
  <c r="EL102" i="1" s="1"/>
  <c r="EL108" i="1"/>
  <c r="EL109" i="1" s="1"/>
  <c r="EL51" i="1"/>
  <c r="EL52" i="1" s="1"/>
  <c r="EL44" i="1"/>
  <c r="EL45" i="1" s="1"/>
  <c r="EK51" i="1"/>
  <c r="EK52" i="1" s="1"/>
  <c r="EK101" i="1"/>
  <c r="EK102" i="1" s="1"/>
  <c r="EK44" i="1"/>
  <c r="EK45" i="1" s="1"/>
  <c r="EK108" i="1"/>
  <c r="EK109" i="1" s="1"/>
  <c r="EJ51" i="1"/>
  <c r="EJ52" i="1" s="1"/>
  <c r="EJ101" i="1"/>
  <c r="EJ102" i="1" s="1"/>
  <c r="EJ44" i="1"/>
  <c r="EJ45" i="1" s="1"/>
  <c r="EJ108" i="1"/>
  <c r="EJ109" i="1" s="1"/>
  <c r="CO29" i="1"/>
  <c r="CO15" i="1"/>
  <c r="CO36" i="1"/>
  <c r="CO107" i="1"/>
  <c r="CX126" i="1"/>
  <c r="CU126" i="1"/>
  <c r="CW126" i="1"/>
  <c r="CV126" i="1"/>
  <c r="CT126" i="1"/>
  <c r="CS126" i="1"/>
  <c r="CR126" i="1"/>
  <c r="CP78" i="1"/>
  <c r="CQ126" i="1"/>
  <c r="CN15" i="1"/>
  <c r="CM45" i="1"/>
  <c r="CO43" i="1"/>
  <c r="CM15" i="1"/>
  <c r="CN36" i="1"/>
  <c r="CN107" i="1"/>
  <c r="CN50" i="1"/>
  <c r="CO50" i="1"/>
  <c r="CN45" i="1"/>
  <c r="CO100" i="1"/>
  <c r="CN8" i="1"/>
  <c r="CO8" i="1"/>
  <c r="CO114" i="1"/>
  <c r="CN22" i="1"/>
  <c r="CO22" i="1"/>
  <c r="CN100" i="1"/>
  <c r="CN114" i="1"/>
  <c r="CN43" i="1"/>
  <c r="CN116" i="1"/>
  <c r="CM28" i="1"/>
  <c r="CM77" i="1" s="1"/>
  <c r="CM43" i="1"/>
  <c r="CM107" i="1"/>
  <c r="CM8" i="1"/>
  <c r="CM22" i="1"/>
  <c r="CM36" i="1"/>
  <c r="CM100" i="1"/>
  <c r="CM114" i="1"/>
  <c r="CM50" i="1"/>
  <c r="CM116" i="1"/>
  <c r="CK45" i="1"/>
  <c r="CL8" i="1"/>
  <c r="CL114" i="1"/>
  <c r="CL107" i="1"/>
  <c r="CL36" i="1"/>
  <c r="CL100" i="1"/>
  <c r="CL43" i="1"/>
  <c r="CL116" i="1"/>
  <c r="CL45" i="1"/>
  <c r="CJ45" i="1"/>
  <c r="CL50" i="1"/>
  <c r="CL15" i="1"/>
  <c r="CL29" i="1"/>
  <c r="CL22" i="1"/>
  <c r="CK43" i="1"/>
  <c r="CK8" i="1"/>
  <c r="CK22" i="1"/>
  <c r="CK100" i="1"/>
  <c r="CK114" i="1"/>
  <c r="CK116" i="1"/>
  <c r="CK107" i="1"/>
  <c r="CK36" i="1"/>
  <c r="CK15" i="1"/>
  <c r="CK29" i="1"/>
  <c r="CK50" i="1"/>
  <c r="CJ116" i="1"/>
  <c r="CI113" i="1"/>
  <c r="CI106" i="1"/>
  <c r="CI42" i="1"/>
  <c r="CI35" i="1"/>
  <c r="CI28" i="1"/>
  <c r="CI21" i="1"/>
  <c r="CI14" i="1"/>
  <c r="CI7" i="1"/>
  <c r="EI9" i="1" s="1"/>
  <c r="EI10" i="1" s="1"/>
  <c r="CH106" i="1"/>
  <c r="CH42" i="1"/>
  <c r="CH113" i="1"/>
  <c r="CH35" i="1"/>
  <c r="CH28" i="1"/>
  <c r="CH21" i="1"/>
  <c r="CH14" i="1"/>
  <c r="CH7" i="1"/>
  <c r="EH9" i="1" s="1"/>
  <c r="EH10" i="1" s="1"/>
  <c r="CG113" i="1"/>
  <c r="CG106" i="1"/>
  <c r="CG42" i="1"/>
  <c r="CG35" i="1"/>
  <c r="CG28" i="1"/>
  <c r="CG21" i="1"/>
  <c r="CG14" i="1"/>
  <c r="CG7" i="1"/>
  <c r="EG9" i="1" s="1"/>
  <c r="EG10" i="1" s="1"/>
  <c r="CF113" i="1"/>
  <c r="CF106" i="1"/>
  <c r="CF42" i="1"/>
  <c r="CF35" i="1"/>
  <c r="CF28" i="1"/>
  <c r="CF21" i="1"/>
  <c r="CF14" i="1"/>
  <c r="CF7" i="1"/>
  <c r="EF9" i="1" s="1"/>
  <c r="EF10" i="1" s="1"/>
  <c r="CE42" i="1"/>
  <c r="CE113" i="1"/>
  <c r="CE106" i="1"/>
  <c r="CE35" i="1"/>
  <c r="CE28" i="1"/>
  <c r="CE21" i="1"/>
  <c r="CE14" i="1"/>
  <c r="CE7" i="1"/>
  <c r="EE9" i="1" s="1"/>
  <c r="EE10" i="1" s="1"/>
  <c r="CD113" i="1"/>
  <c r="CI118" i="1" l="1"/>
  <c r="CE77" i="1"/>
  <c r="CG77" i="1"/>
  <c r="CH77" i="1"/>
  <c r="CI77" i="1"/>
  <c r="CF118" i="1"/>
  <c r="CE118" i="1"/>
  <c r="CF77" i="1"/>
  <c r="CG118" i="1"/>
  <c r="CH118" i="1"/>
  <c r="CK125" i="1"/>
  <c r="CN125" i="1"/>
  <c r="EG115" i="1"/>
  <c r="EG116" i="1" s="1"/>
  <c r="EH115" i="1"/>
  <c r="EH116" i="1" s="1"/>
  <c r="EF115" i="1"/>
  <c r="EF116" i="1" s="1"/>
  <c r="ED115" i="1"/>
  <c r="ED116" i="1" s="1"/>
  <c r="EI115" i="1"/>
  <c r="EI116" i="1" s="1"/>
  <c r="EE115" i="1"/>
  <c r="EE116" i="1" s="1"/>
  <c r="CL125" i="1"/>
  <c r="CJ125" i="1"/>
  <c r="EG16" i="1"/>
  <c r="EG17" i="1" s="1"/>
  <c r="EH16" i="1"/>
  <c r="EH17" i="1" s="1"/>
  <c r="EE16" i="1"/>
  <c r="EE17" i="1" s="1"/>
  <c r="EI16" i="1"/>
  <c r="EI17" i="1" s="1"/>
  <c r="EF16" i="1"/>
  <c r="EF17" i="1" s="1"/>
  <c r="EH23" i="1"/>
  <c r="EH24" i="1" s="1"/>
  <c r="EI23" i="1"/>
  <c r="EI24" i="1" s="1"/>
  <c r="EE23" i="1"/>
  <c r="EE24" i="1" s="1"/>
  <c r="EF23" i="1"/>
  <c r="EF24" i="1" s="1"/>
  <c r="EG23" i="1"/>
  <c r="EG24" i="1" s="1"/>
  <c r="EH30" i="1"/>
  <c r="EH31" i="1" s="1"/>
  <c r="CM125" i="1"/>
  <c r="EM30" i="1"/>
  <c r="EM31" i="1" s="1"/>
  <c r="EI30" i="1"/>
  <c r="EI31" i="1" s="1"/>
  <c r="EF30" i="1"/>
  <c r="EF31" i="1" s="1"/>
  <c r="EE30" i="1"/>
  <c r="EE31" i="1" s="1"/>
  <c r="EG30" i="1"/>
  <c r="EG31" i="1" s="1"/>
  <c r="CH38" i="1"/>
  <c r="EH37" i="1"/>
  <c r="EH38" i="1" s="1"/>
  <c r="CE38" i="1"/>
  <c r="EE37" i="1"/>
  <c r="EE38" i="1" s="1"/>
  <c r="EG37" i="1"/>
  <c r="EG38" i="1" s="1"/>
  <c r="CG38" i="1"/>
  <c r="EI37" i="1"/>
  <c r="EI38" i="1" s="1"/>
  <c r="CI38" i="1"/>
  <c r="EF37" i="1"/>
  <c r="EF38" i="1" s="1"/>
  <c r="CF38" i="1"/>
  <c r="EV128" i="1"/>
  <c r="EW132" i="1"/>
  <c r="ES128" i="1"/>
  <c r="ET128" i="1"/>
  <c r="EU128" i="1"/>
  <c r="EQ128" i="1"/>
  <c r="ER128" i="1"/>
  <c r="EP132" i="1"/>
  <c r="EO127" i="1"/>
  <c r="EO132" i="1" s="1"/>
  <c r="EN120" i="1"/>
  <c r="EN121" i="1" s="1"/>
  <c r="EN79" i="1"/>
  <c r="EN80" i="1" s="1"/>
  <c r="EM120" i="1"/>
  <c r="EM121" i="1" s="1"/>
  <c r="EL120" i="1"/>
  <c r="EL121" i="1" s="1"/>
  <c r="EL79" i="1"/>
  <c r="EL80" i="1" s="1"/>
  <c r="EK79" i="1"/>
  <c r="EK80" i="1" s="1"/>
  <c r="EK120" i="1"/>
  <c r="EK121" i="1" s="1"/>
  <c r="EJ79" i="1"/>
  <c r="EJ80" i="1" s="1"/>
  <c r="EJ120" i="1"/>
  <c r="EJ121" i="1" s="1"/>
  <c r="EI51" i="1"/>
  <c r="EI52" i="1" s="1"/>
  <c r="EI101" i="1"/>
  <c r="EI102" i="1" s="1"/>
  <c r="EI44" i="1"/>
  <c r="EI45" i="1" s="1"/>
  <c r="EI108" i="1"/>
  <c r="EI109" i="1" s="1"/>
  <c r="EH44" i="1"/>
  <c r="EH45" i="1" s="1"/>
  <c r="EH108" i="1"/>
  <c r="EH109" i="1" s="1"/>
  <c r="EH51" i="1"/>
  <c r="EH52" i="1" s="1"/>
  <c r="EH101" i="1"/>
  <c r="EH102" i="1" s="1"/>
  <c r="EG51" i="1"/>
  <c r="EG52" i="1" s="1"/>
  <c r="EG101" i="1"/>
  <c r="EG102" i="1" s="1"/>
  <c r="EG44" i="1"/>
  <c r="EG45" i="1" s="1"/>
  <c r="EG108" i="1"/>
  <c r="EG109" i="1" s="1"/>
  <c r="EF51" i="1"/>
  <c r="EF52" i="1" s="1"/>
  <c r="EF101" i="1"/>
  <c r="EF102" i="1" s="1"/>
  <c r="EF44" i="1"/>
  <c r="EF45" i="1" s="1"/>
  <c r="EF108" i="1"/>
  <c r="EF109" i="1" s="1"/>
  <c r="EE44" i="1"/>
  <c r="EE45" i="1" s="1"/>
  <c r="EE101" i="1"/>
  <c r="EE102" i="1" s="1"/>
  <c r="EE108" i="1"/>
  <c r="EE109" i="1" s="1"/>
  <c r="EE51" i="1"/>
  <c r="EE52" i="1" s="1"/>
  <c r="CP126" i="1"/>
  <c r="CO119" i="1"/>
  <c r="CM29" i="1"/>
  <c r="CJ22" i="1"/>
  <c r="CJ29" i="1"/>
  <c r="CJ100" i="1"/>
  <c r="CJ36" i="1"/>
  <c r="CJ107" i="1"/>
  <c r="CJ50" i="1"/>
  <c r="CJ8" i="1"/>
  <c r="CO78" i="1"/>
  <c r="CF43" i="1"/>
  <c r="CN119" i="1"/>
  <c r="CM119" i="1"/>
  <c r="CN29" i="1"/>
  <c r="CK78" i="1"/>
  <c r="CL119" i="1"/>
  <c r="CL78" i="1"/>
  <c r="CI116" i="1"/>
  <c r="CI45" i="1"/>
  <c r="CJ43" i="1"/>
  <c r="CH15" i="1"/>
  <c r="CH45" i="1"/>
  <c r="CK119" i="1"/>
  <c r="CJ15" i="1"/>
  <c r="CJ114" i="1"/>
  <c r="CI43" i="1"/>
  <c r="CH43" i="1"/>
  <c r="CI36" i="1"/>
  <c r="CH36" i="1"/>
  <c r="CH100" i="1"/>
  <c r="CH107" i="1"/>
  <c r="CI15" i="1"/>
  <c r="CI29" i="1"/>
  <c r="CI107" i="1"/>
  <c r="CI8" i="1"/>
  <c r="CI22" i="1"/>
  <c r="CI100" i="1"/>
  <c r="CI114" i="1"/>
  <c r="CI50" i="1"/>
  <c r="CH29" i="1"/>
  <c r="CF107" i="1"/>
  <c r="CH8" i="1"/>
  <c r="CH22" i="1"/>
  <c r="CH50" i="1"/>
  <c r="CH114" i="1"/>
  <c r="CH116" i="1"/>
  <c r="CF116" i="1"/>
  <c r="CG45" i="1"/>
  <c r="CG8" i="1"/>
  <c r="CG22" i="1"/>
  <c r="CG36" i="1"/>
  <c r="CG107" i="1"/>
  <c r="CG114" i="1"/>
  <c r="CG15" i="1"/>
  <c r="CG29" i="1"/>
  <c r="CG43" i="1"/>
  <c r="CG100" i="1"/>
  <c r="CG116" i="1"/>
  <c r="CG50" i="1"/>
  <c r="CD116" i="1"/>
  <c r="CF22" i="1"/>
  <c r="CF50" i="1"/>
  <c r="CF45" i="1"/>
  <c r="CF114" i="1"/>
  <c r="CF100" i="1"/>
  <c r="CF15" i="1"/>
  <c r="CF29" i="1"/>
  <c r="CF36" i="1"/>
  <c r="CF8" i="1"/>
  <c r="CE45" i="1"/>
  <c r="CE114" i="1"/>
  <c r="CE116" i="1"/>
  <c r="CD48" i="1"/>
  <c r="CD21" i="1"/>
  <c r="CD106" i="1"/>
  <c r="CD35" i="1"/>
  <c r="CD42" i="1"/>
  <c r="CD28" i="1"/>
  <c r="CD14" i="1"/>
  <c r="CD7" i="1"/>
  <c r="CC113" i="1"/>
  <c r="CC106" i="1"/>
  <c r="CC42" i="1"/>
  <c r="CC35" i="1"/>
  <c r="CC28" i="1"/>
  <c r="CC21" i="1"/>
  <c r="CC14" i="1"/>
  <c r="CC7" i="1"/>
  <c r="EC9" i="1" s="1"/>
  <c r="EC10" i="1" s="1"/>
  <c r="CB113" i="1"/>
  <c r="CB106" i="1"/>
  <c r="CB42" i="1"/>
  <c r="CB35" i="1"/>
  <c r="CB28" i="1"/>
  <c r="CB21" i="1"/>
  <c r="CB14" i="1"/>
  <c r="CB7" i="1"/>
  <c r="EB9" i="1" s="1"/>
  <c r="EB10" i="1" s="1"/>
  <c r="BT113" i="1"/>
  <c r="BU113" i="1"/>
  <c r="BV113" i="1"/>
  <c r="BW113" i="1"/>
  <c r="BX113" i="1"/>
  <c r="BY113" i="1"/>
  <c r="BZ113" i="1"/>
  <c r="CA113" i="1"/>
  <c r="HA113" i="1" l="1"/>
  <c r="CD49" i="1"/>
  <c r="HA49" i="1" s="1"/>
  <c r="CD76" i="1"/>
  <c r="CD124" i="1" s="1"/>
  <c r="CD118" i="1"/>
  <c r="CB118" i="1"/>
  <c r="CB77" i="1"/>
  <c r="CC77" i="1"/>
  <c r="CC118" i="1"/>
  <c r="EB115" i="1"/>
  <c r="EB116" i="1" s="1"/>
  <c r="DX115" i="1"/>
  <c r="DX116" i="1" s="1"/>
  <c r="CF125" i="1"/>
  <c r="CE125" i="1"/>
  <c r="DW115" i="1"/>
  <c r="DW116" i="1" s="1"/>
  <c r="CH125" i="1"/>
  <c r="CI125" i="1"/>
  <c r="DV115" i="1"/>
  <c r="DV116" i="1" s="1"/>
  <c r="DU115" i="1"/>
  <c r="DU116" i="1" s="1"/>
  <c r="DT115" i="1"/>
  <c r="DT116" i="1" s="1"/>
  <c r="CG125" i="1"/>
  <c r="EC115" i="1"/>
  <c r="EC116" i="1" s="1"/>
  <c r="EA115" i="1"/>
  <c r="EA116" i="1" s="1"/>
  <c r="ED9" i="1"/>
  <c r="ED10" i="1" s="1"/>
  <c r="DZ115" i="1"/>
  <c r="DZ116" i="1" s="1"/>
  <c r="DY115" i="1"/>
  <c r="DY116" i="1" s="1"/>
  <c r="EB16" i="1"/>
  <c r="EB17" i="1" s="1"/>
  <c r="EC16" i="1"/>
  <c r="EC17" i="1" s="1"/>
  <c r="ED16" i="1"/>
  <c r="ED17" i="1" s="1"/>
  <c r="ED23" i="1"/>
  <c r="ED24" i="1" s="1"/>
  <c r="EC23" i="1"/>
  <c r="EC24" i="1" s="1"/>
  <c r="EB23" i="1"/>
  <c r="EB24" i="1" s="1"/>
  <c r="EB30" i="1"/>
  <c r="EB31" i="1" s="1"/>
  <c r="EC30" i="1"/>
  <c r="EC31" i="1" s="1"/>
  <c r="ED30" i="1"/>
  <c r="ED31" i="1" s="1"/>
  <c r="EB37" i="1"/>
  <c r="EB38" i="1" s="1"/>
  <c r="CB38" i="1"/>
  <c r="ED37" i="1"/>
  <c r="ED38" i="1" s="1"/>
  <c r="CD38" i="1"/>
  <c r="CC38" i="1"/>
  <c r="EC37" i="1"/>
  <c r="EC38" i="1" s="1"/>
  <c r="EO128" i="1"/>
  <c r="EN127" i="1"/>
  <c r="EN128" i="1" s="1"/>
  <c r="EM79" i="1"/>
  <c r="EM80" i="1" s="1"/>
  <c r="EL127" i="1"/>
  <c r="EL132" i="1" s="1"/>
  <c r="EK127" i="1"/>
  <c r="EK132" i="1" s="1"/>
  <c r="EJ127" i="1"/>
  <c r="EJ132" i="1" s="1"/>
  <c r="EI79" i="1"/>
  <c r="EI80" i="1" s="1"/>
  <c r="EI120" i="1"/>
  <c r="EI121" i="1" s="1"/>
  <c r="EH120" i="1"/>
  <c r="EH121" i="1" s="1"/>
  <c r="EH79" i="1"/>
  <c r="EH80" i="1" s="1"/>
  <c r="EG120" i="1"/>
  <c r="EG121" i="1" s="1"/>
  <c r="EG79" i="1"/>
  <c r="EG80" i="1" s="1"/>
  <c r="EF79" i="1"/>
  <c r="EF80" i="1" s="1"/>
  <c r="EF120" i="1"/>
  <c r="EF121" i="1" s="1"/>
  <c r="EE79" i="1"/>
  <c r="EE80" i="1" s="1"/>
  <c r="EE120" i="1"/>
  <c r="EE121" i="1" s="1"/>
  <c r="ED108" i="1"/>
  <c r="ED109" i="1" s="1"/>
  <c r="ED44" i="1"/>
  <c r="ED45" i="1" s="1"/>
  <c r="ED101" i="1"/>
  <c r="ED102" i="1" s="1"/>
  <c r="EC51" i="1"/>
  <c r="EC52" i="1" s="1"/>
  <c r="EC108" i="1"/>
  <c r="EC109" i="1" s="1"/>
  <c r="EC44" i="1"/>
  <c r="EC45" i="1" s="1"/>
  <c r="EC101" i="1"/>
  <c r="EC102" i="1" s="1"/>
  <c r="EB51" i="1"/>
  <c r="EB52" i="1" s="1"/>
  <c r="EB101" i="1"/>
  <c r="EB102" i="1" s="1"/>
  <c r="EB44" i="1"/>
  <c r="EB45" i="1" s="1"/>
  <c r="EB108" i="1"/>
  <c r="EB109" i="1" s="1"/>
  <c r="DS116" i="1"/>
  <c r="CO126" i="1"/>
  <c r="CL126" i="1"/>
  <c r="CE8" i="1"/>
  <c r="CE15" i="1"/>
  <c r="CE22" i="1"/>
  <c r="CE29" i="1"/>
  <c r="CE107" i="1"/>
  <c r="CE100" i="1"/>
  <c r="CD114" i="1"/>
  <c r="CK126" i="1"/>
  <c r="CE43" i="1"/>
  <c r="CJ119" i="1"/>
  <c r="CN78" i="1"/>
  <c r="CM78" i="1"/>
  <c r="CI78" i="1"/>
  <c r="CG78" i="1"/>
  <c r="CH78" i="1"/>
  <c r="CF78" i="1"/>
  <c r="CJ78" i="1"/>
  <c r="CH119" i="1"/>
  <c r="CG119" i="1"/>
  <c r="CI119" i="1"/>
  <c r="CC50" i="1"/>
  <c r="CE36" i="1"/>
  <c r="CF119" i="1"/>
  <c r="CD100" i="1"/>
  <c r="CD77" i="1"/>
  <c r="CB114" i="1"/>
  <c r="CD36" i="1"/>
  <c r="CD22" i="1"/>
  <c r="CD45" i="1"/>
  <c r="CD107" i="1"/>
  <c r="CD29" i="1"/>
  <c r="CD43" i="1"/>
  <c r="CC22" i="1"/>
  <c r="CD8" i="1"/>
  <c r="CD15" i="1"/>
  <c r="CC43" i="1"/>
  <c r="CC107" i="1"/>
  <c r="CC36" i="1"/>
  <c r="CC8" i="1"/>
  <c r="CC116" i="1"/>
  <c r="CC15" i="1"/>
  <c r="CC29" i="1"/>
  <c r="CC45" i="1"/>
  <c r="CC100" i="1"/>
  <c r="CC114" i="1"/>
  <c r="CB116" i="1"/>
  <c r="CB45" i="1"/>
  <c r="CA106" i="1"/>
  <c r="CA42" i="1"/>
  <c r="CA35" i="1"/>
  <c r="CA28" i="1"/>
  <c r="CA21" i="1"/>
  <c r="CA14" i="1"/>
  <c r="CA7" i="1"/>
  <c r="EA9" i="1" s="1"/>
  <c r="EA10" i="1" s="1"/>
  <c r="CA118" i="1" l="1"/>
  <c r="CA77" i="1"/>
  <c r="CD125" i="1"/>
  <c r="CC125" i="1"/>
  <c r="CB125" i="1"/>
  <c r="EA16" i="1"/>
  <c r="EA17" i="1" s="1"/>
  <c r="EA23" i="1"/>
  <c r="EA24" i="1" s="1"/>
  <c r="EA30" i="1"/>
  <c r="EA31" i="1" s="1"/>
  <c r="EA37" i="1"/>
  <c r="EA38" i="1" s="1"/>
  <c r="CA38" i="1"/>
  <c r="EN132" i="1"/>
  <c r="EM127" i="1"/>
  <c r="EK128" i="1"/>
  <c r="EL128" i="1"/>
  <c r="EJ128" i="1"/>
  <c r="EI127" i="1"/>
  <c r="EI128" i="1" s="1"/>
  <c r="EH127" i="1"/>
  <c r="EH132" i="1" s="1"/>
  <c r="EG127" i="1"/>
  <c r="EG132" i="1" s="1"/>
  <c r="EF127" i="1"/>
  <c r="EF132" i="1" s="1"/>
  <c r="EE127" i="1"/>
  <c r="ED120" i="1"/>
  <c r="ED121" i="1" s="1"/>
  <c r="ED51" i="1"/>
  <c r="ED52" i="1" s="1"/>
  <c r="EC79" i="1"/>
  <c r="EC80" i="1" s="1"/>
  <c r="EC120" i="1"/>
  <c r="EC121" i="1" s="1"/>
  <c r="EB120" i="1"/>
  <c r="EB121" i="1" s="1"/>
  <c r="EB79" i="1"/>
  <c r="EB80" i="1" s="1"/>
  <c r="EA51" i="1"/>
  <c r="EA52" i="1" s="1"/>
  <c r="EA44" i="1"/>
  <c r="EA45" i="1" s="1"/>
  <c r="EA101" i="1"/>
  <c r="EA102" i="1" s="1"/>
  <c r="EA108" i="1"/>
  <c r="EA109" i="1" s="1"/>
  <c r="CM126" i="1"/>
  <c r="CN126" i="1"/>
  <c r="CJ126" i="1"/>
  <c r="CB15" i="1"/>
  <c r="CB22" i="1"/>
  <c r="CB29" i="1"/>
  <c r="CB107" i="1"/>
  <c r="CB36" i="1"/>
  <c r="CB50" i="1"/>
  <c r="CB8" i="1"/>
  <c r="CH126" i="1"/>
  <c r="CF126" i="1"/>
  <c r="CG126" i="1"/>
  <c r="CB43" i="1"/>
  <c r="CE119" i="1"/>
  <c r="CI126" i="1"/>
  <c r="CC78" i="1"/>
  <c r="CD50" i="1"/>
  <c r="CE50" i="1"/>
  <c r="CD119" i="1"/>
  <c r="CC119" i="1"/>
  <c r="CB100" i="1"/>
  <c r="CA116" i="1"/>
  <c r="CA45" i="1"/>
  <c r="CA125" i="1" l="1"/>
  <c r="EM132" i="1"/>
  <c r="EM128" i="1"/>
  <c r="EI132" i="1"/>
  <c r="EH128" i="1"/>
  <c r="EF128" i="1"/>
  <c r="EG128" i="1"/>
  <c r="EE132" i="1"/>
  <c r="EE128" i="1"/>
  <c r="CD126" i="1"/>
  <c r="ED79" i="1"/>
  <c r="ED80" i="1" s="1"/>
  <c r="EC127" i="1"/>
  <c r="EC128" i="1" s="1"/>
  <c r="EB127" i="1"/>
  <c r="EB128" i="1" s="1"/>
  <c r="EA120" i="1"/>
  <c r="EA121" i="1" s="1"/>
  <c r="EA79" i="1"/>
  <c r="EA80" i="1" s="1"/>
  <c r="CC126" i="1"/>
  <c r="CB119" i="1"/>
  <c r="CD78" i="1"/>
  <c r="CE78" i="1"/>
  <c r="CB78" i="1"/>
  <c r="CA114" i="1"/>
  <c r="BZ106" i="1"/>
  <c r="DZ101" i="1"/>
  <c r="DZ102" i="1" s="1"/>
  <c r="BZ42" i="1"/>
  <c r="BZ35" i="1"/>
  <c r="DZ51" i="1"/>
  <c r="DZ52" i="1" s="1"/>
  <c r="BZ28" i="1"/>
  <c r="BZ21" i="1"/>
  <c r="BZ14" i="1"/>
  <c r="BZ7" i="1"/>
  <c r="DZ9" i="1" s="1"/>
  <c r="DZ10" i="1" s="1"/>
  <c r="BY106" i="1"/>
  <c r="DY101" i="1"/>
  <c r="DY102" i="1" s="1"/>
  <c r="BY42" i="1"/>
  <c r="BY35" i="1"/>
  <c r="DY51" i="1"/>
  <c r="DY52" i="1" s="1"/>
  <c r="BY28" i="1"/>
  <c r="BY21" i="1"/>
  <c r="BY14" i="1"/>
  <c r="BY7" i="1"/>
  <c r="DY9" i="1" s="1"/>
  <c r="DY10" i="1" s="1"/>
  <c r="BX106" i="1"/>
  <c r="BX42" i="1"/>
  <c r="BX35" i="1"/>
  <c r="DX37" i="1" s="1"/>
  <c r="DX38" i="1" s="1"/>
  <c r="BX28" i="1"/>
  <c r="BX21" i="1"/>
  <c r="BX14" i="1"/>
  <c r="BX7" i="1"/>
  <c r="DX9" i="1" s="1"/>
  <c r="DX10" i="1" s="1"/>
  <c r="BW106" i="1"/>
  <c r="DW101" i="1"/>
  <c r="BW42" i="1"/>
  <c r="BW35" i="1"/>
  <c r="DW37" i="1" s="1"/>
  <c r="DW38" i="1" s="1"/>
  <c r="DW51" i="1"/>
  <c r="BW28" i="1"/>
  <c r="BW21" i="1"/>
  <c r="BW14" i="1"/>
  <c r="BW7" i="1"/>
  <c r="DW9" i="1" s="1"/>
  <c r="DW10" i="1" s="1"/>
  <c r="BV14" i="1"/>
  <c r="BV106" i="1"/>
  <c r="DV101" i="1"/>
  <c r="BV42" i="1"/>
  <c r="BV35" i="1"/>
  <c r="DV37" i="1" s="1"/>
  <c r="DV38" i="1" s="1"/>
  <c r="DV51" i="1"/>
  <c r="BV28" i="1"/>
  <c r="BV21" i="1"/>
  <c r="BV7" i="1"/>
  <c r="BW118" i="1" l="1"/>
  <c r="DW120" i="1" s="1"/>
  <c r="BV77" i="1"/>
  <c r="DV79" i="1" s="1"/>
  <c r="DV80" i="1" s="1"/>
  <c r="BZ118" i="1"/>
  <c r="BY77" i="1"/>
  <c r="DY79" i="1" s="1"/>
  <c r="DY80" i="1" s="1"/>
  <c r="BX118" i="1"/>
  <c r="BV118" i="1"/>
  <c r="DV120" i="1" s="1"/>
  <c r="BW77" i="1"/>
  <c r="DW79" i="1" s="1"/>
  <c r="DW80" i="1" s="1"/>
  <c r="BY118" i="1"/>
  <c r="DY120" i="1" s="1"/>
  <c r="DY121" i="1" s="1"/>
  <c r="BZ77" i="1"/>
  <c r="DZ79" i="1" s="1"/>
  <c r="DZ80" i="1" s="1"/>
  <c r="BX77" i="1"/>
  <c r="DY108" i="1"/>
  <c r="DY109" i="1" s="1"/>
  <c r="DW108" i="1"/>
  <c r="DW109" i="1" s="1"/>
  <c r="DZ108" i="1"/>
  <c r="DZ109" i="1" s="1"/>
  <c r="DV108" i="1"/>
  <c r="DV109" i="1" s="1"/>
  <c r="DV9" i="1"/>
  <c r="DV10" i="1" s="1"/>
  <c r="DY16" i="1"/>
  <c r="DY17" i="1" s="1"/>
  <c r="DX16" i="1"/>
  <c r="DX17" i="1" s="1"/>
  <c r="DW16" i="1"/>
  <c r="DW17" i="1" s="1"/>
  <c r="DV16" i="1"/>
  <c r="DV17" i="1" s="1"/>
  <c r="DZ16" i="1"/>
  <c r="DZ17" i="1" s="1"/>
  <c r="DZ23" i="1"/>
  <c r="DZ24" i="1" s="1"/>
  <c r="DW23" i="1"/>
  <c r="DW24" i="1" s="1"/>
  <c r="DX23" i="1"/>
  <c r="DX24" i="1" s="1"/>
  <c r="DY23" i="1"/>
  <c r="DY24" i="1" s="1"/>
  <c r="DV23" i="1"/>
  <c r="DV24" i="1" s="1"/>
  <c r="DV30" i="1"/>
  <c r="DV31" i="1" s="1"/>
  <c r="DY30" i="1"/>
  <c r="DY31" i="1" s="1"/>
  <c r="DW30" i="1"/>
  <c r="DW31" i="1" s="1"/>
  <c r="DX30" i="1"/>
  <c r="DX31" i="1" s="1"/>
  <c r="DZ30" i="1"/>
  <c r="DZ31" i="1" s="1"/>
  <c r="DY37" i="1"/>
  <c r="DY38" i="1" s="1"/>
  <c r="BY38" i="1"/>
  <c r="BZ38" i="1"/>
  <c r="DZ37" i="1"/>
  <c r="DZ38" i="1" s="1"/>
  <c r="DV44" i="1"/>
  <c r="DW44" i="1"/>
  <c r="DW45" i="1" s="1"/>
  <c r="DY44" i="1"/>
  <c r="DY45" i="1" s="1"/>
  <c r="DZ44" i="1"/>
  <c r="DZ45" i="1" s="1"/>
  <c r="EB132" i="1"/>
  <c r="CE126" i="1"/>
  <c r="EC132" i="1"/>
  <c r="ED127" i="1"/>
  <c r="ED128" i="1" s="1"/>
  <c r="EA127" i="1"/>
  <c r="EA132" i="1" s="1"/>
  <c r="DX108" i="1"/>
  <c r="DX109" i="1" s="1"/>
  <c r="DX51" i="1"/>
  <c r="DX52" i="1" s="1"/>
  <c r="DX101" i="1"/>
  <c r="DX102" i="1" s="1"/>
  <c r="DX44" i="1"/>
  <c r="DX45" i="1" s="1"/>
  <c r="DW52" i="1"/>
  <c r="DW102" i="1"/>
  <c r="DV52" i="1"/>
  <c r="DV102" i="1"/>
  <c r="CB126" i="1"/>
  <c r="CA29" i="1"/>
  <c r="CA100" i="1"/>
  <c r="CA8" i="1"/>
  <c r="CA50" i="1"/>
  <c r="CA15" i="1"/>
  <c r="CA22" i="1"/>
  <c r="CA107" i="1"/>
  <c r="BZ50" i="1"/>
  <c r="BZ15" i="1"/>
  <c r="BZ8" i="1"/>
  <c r="BZ36" i="1"/>
  <c r="CA36" i="1"/>
  <c r="BZ45" i="1"/>
  <c r="CA43" i="1"/>
  <c r="BZ22" i="1"/>
  <c r="BZ29" i="1"/>
  <c r="BY114" i="1"/>
  <c r="BZ100" i="1"/>
  <c r="BZ107" i="1"/>
  <c r="BZ114" i="1"/>
  <c r="BY116" i="1"/>
  <c r="BZ43" i="1"/>
  <c r="BZ116" i="1"/>
  <c r="BY45" i="1"/>
  <c r="BY100" i="1"/>
  <c r="BY29" i="1"/>
  <c r="BY107" i="1"/>
  <c r="BY22" i="1"/>
  <c r="BY43" i="1"/>
  <c r="BY36" i="1"/>
  <c r="BY8" i="1"/>
  <c r="BY15" i="1"/>
  <c r="BW50" i="1"/>
  <c r="BY50" i="1"/>
  <c r="BW22" i="1"/>
  <c r="BX8" i="1"/>
  <c r="BX36" i="1"/>
  <c r="BW8" i="1"/>
  <c r="BX22" i="1"/>
  <c r="BX43" i="1"/>
  <c r="BX100" i="1"/>
  <c r="BX29" i="1"/>
  <c r="BW43" i="1"/>
  <c r="BX50" i="1"/>
  <c r="BX107" i="1"/>
  <c r="BX114" i="1"/>
  <c r="BX15" i="1"/>
  <c r="BW29" i="1"/>
  <c r="BW107" i="1"/>
  <c r="BW100" i="1"/>
  <c r="BW36" i="1"/>
  <c r="BW114" i="1"/>
  <c r="BW15" i="1"/>
  <c r="BV114" i="1"/>
  <c r="BU106" i="1"/>
  <c r="DU101" i="1"/>
  <c r="DU102" i="1" s="1"/>
  <c r="BU42" i="1"/>
  <c r="BU35" i="1"/>
  <c r="DU37" i="1" s="1"/>
  <c r="DU38" i="1" s="1"/>
  <c r="DU51" i="1"/>
  <c r="DU52" i="1" s="1"/>
  <c r="BU28" i="1"/>
  <c r="BU21" i="1"/>
  <c r="BU14" i="1"/>
  <c r="BU7" i="1"/>
  <c r="DU9" i="1" s="1"/>
  <c r="DU10" i="1" s="1"/>
  <c r="BT106" i="1"/>
  <c r="BT42" i="1"/>
  <c r="BT35" i="1"/>
  <c r="DT37" i="1" s="1"/>
  <c r="DT38" i="1" s="1"/>
  <c r="BT28" i="1"/>
  <c r="BT21" i="1"/>
  <c r="BT14" i="1"/>
  <c r="BT7" i="1"/>
  <c r="DT9" i="1" s="1"/>
  <c r="DT10" i="1" s="1"/>
  <c r="BS106" i="1"/>
  <c r="DS101" i="1"/>
  <c r="BS42" i="1"/>
  <c r="BS35" i="1"/>
  <c r="DS37" i="1" s="1"/>
  <c r="DS38" i="1" s="1"/>
  <c r="DS51" i="1"/>
  <c r="BS28" i="1"/>
  <c r="BS21" i="1"/>
  <c r="BS14" i="1"/>
  <c r="BS7" i="1"/>
  <c r="DS9" i="1" s="1"/>
  <c r="DS10" i="1" s="1"/>
  <c r="BR106" i="1"/>
  <c r="DR101" i="1"/>
  <c r="BR42" i="1"/>
  <c r="BR35" i="1"/>
  <c r="DR37" i="1" s="1"/>
  <c r="DR38" i="1" s="1"/>
  <c r="DR51" i="1"/>
  <c r="BR28" i="1"/>
  <c r="BR21" i="1"/>
  <c r="BR14" i="1"/>
  <c r="BR7" i="1"/>
  <c r="DR9" i="1" s="1"/>
  <c r="DR10" i="1" s="1"/>
  <c r="BQ106" i="1"/>
  <c r="DQ101" i="1"/>
  <c r="BQ42" i="1"/>
  <c r="BQ35" i="1"/>
  <c r="DQ37" i="1" s="1"/>
  <c r="DQ38" i="1" s="1"/>
  <c r="DQ51" i="1"/>
  <c r="BQ28" i="1"/>
  <c r="BQ21" i="1"/>
  <c r="BQ14" i="1"/>
  <c r="BQ7" i="1"/>
  <c r="DQ9" i="1" s="1"/>
  <c r="DQ10" i="1" s="1"/>
  <c r="BP106" i="1"/>
  <c r="DP101" i="1"/>
  <c r="BP42" i="1"/>
  <c r="BP35" i="1"/>
  <c r="DP37" i="1" s="1"/>
  <c r="DP38" i="1" s="1"/>
  <c r="DP51" i="1"/>
  <c r="BP28" i="1"/>
  <c r="BP21" i="1"/>
  <c r="BP14" i="1"/>
  <c r="BP7" i="1"/>
  <c r="DP9" i="1" s="1"/>
  <c r="DP10" i="1" s="1"/>
  <c r="BO106" i="1"/>
  <c r="DO101" i="1"/>
  <c r="BO42" i="1"/>
  <c r="BO35" i="1"/>
  <c r="DO37" i="1" s="1"/>
  <c r="DO38" i="1" s="1"/>
  <c r="DO51" i="1"/>
  <c r="BO28" i="1"/>
  <c r="BO21" i="1"/>
  <c r="BO14" i="1"/>
  <c r="BO7" i="1"/>
  <c r="DO9" i="1" s="1"/>
  <c r="DO10" i="1" s="1"/>
  <c r="BN106" i="1"/>
  <c r="DN101" i="1"/>
  <c r="BN42" i="1"/>
  <c r="BN35" i="1"/>
  <c r="DN37" i="1" s="1"/>
  <c r="DN38" i="1" s="1"/>
  <c r="DN51" i="1"/>
  <c r="BN28" i="1"/>
  <c r="BN21" i="1"/>
  <c r="BN14" i="1"/>
  <c r="BN7" i="1"/>
  <c r="BM106" i="1"/>
  <c r="BM42" i="1"/>
  <c r="BM35" i="1"/>
  <c r="DM37" i="1" s="1"/>
  <c r="DM38" i="1" s="1"/>
  <c r="BM28" i="1"/>
  <c r="BM21" i="1"/>
  <c r="BM14" i="1"/>
  <c r="BM7" i="1"/>
  <c r="DM9" i="1" s="1"/>
  <c r="DM10" i="1" s="1"/>
  <c r="BP118" i="1" l="1"/>
  <c r="DP120" i="1" s="1"/>
  <c r="BT118" i="1"/>
  <c r="BR77" i="1"/>
  <c r="DR79" i="1" s="1"/>
  <c r="BO118" i="1"/>
  <c r="DO120" i="1" s="1"/>
  <c r="BS118" i="1"/>
  <c r="DS120" i="1" s="1"/>
  <c r="BM118" i="1"/>
  <c r="BO77" i="1"/>
  <c r="DO79" i="1" s="1"/>
  <c r="BS77" i="1"/>
  <c r="DS79" i="1" s="1"/>
  <c r="DS80" i="1" s="1"/>
  <c r="BU118" i="1"/>
  <c r="DU120" i="1" s="1"/>
  <c r="DU121" i="1" s="1"/>
  <c r="BN118" i="1"/>
  <c r="DN120" i="1" s="1"/>
  <c r="BP77" i="1"/>
  <c r="DP79" i="1" s="1"/>
  <c r="BR118" i="1"/>
  <c r="DR120" i="1" s="1"/>
  <c r="BT77" i="1"/>
  <c r="DT79" i="1" s="1"/>
  <c r="BN77" i="1"/>
  <c r="DN79" i="1" s="1"/>
  <c r="BQ118" i="1"/>
  <c r="BM77" i="1"/>
  <c r="DM79" i="1" s="1"/>
  <c r="DM80" i="1" s="1"/>
  <c r="BQ77" i="1"/>
  <c r="DQ79" i="1" s="1"/>
  <c r="BU77" i="1"/>
  <c r="DU79" i="1" s="1"/>
  <c r="DU80" i="1" s="1"/>
  <c r="BW125" i="1"/>
  <c r="DW127" i="1" s="1"/>
  <c r="DN108" i="1"/>
  <c r="DN109" i="1" s="1"/>
  <c r="BZ125" i="1"/>
  <c r="DZ127" i="1" s="1"/>
  <c r="DO108" i="1"/>
  <c r="DO109" i="1" s="1"/>
  <c r="DQ108" i="1"/>
  <c r="DQ109" i="1" s="1"/>
  <c r="DR108" i="1"/>
  <c r="DR109" i="1" s="1"/>
  <c r="DP108" i="1"/>
  <c r="DP109" i="1" s="1"/>
  <c r="DS108" i="1"/>
  <c r="DS109" i="1" s="1"/>
  <c r="BY125" i="1"/>
  <c r="DY127" i="1" s="1"/>
  <c r="DU108" i="1"/>
  <c r="DU109" i="1" s="1"/>
  <c r="DZ120" i="1"/>
  <c r="DZ121" i="1" s="1"/>
  <c r="BV125" i="1"/>
  <c r="DV127" i="1" s="1"/>
  <c r="BX125" i="1"/>
  <c r="DN9" i="1"/>
  <c r="DN10" i="1" s="1"/>
  <c r="DQ16" i="1"/>
  <c r="DQ17" i="1" s="1"/>
  <c r="DS16" i="1"/>
  <c r="DS17" i="1" s="1"/>
  <c r="DU16" i="1"/>
  <c r="DU17" i="1" s="1"/>
  <c r="DT16" i="1"/>
  <c r="DT17" i="1" s="1"/>
  <c r="DN16" i="1"/>
  <c r="DN17" i="1" s="1"/>
  <c r="DM16" i="1"/>
  <c r="DM17" i="1" s="1"/>
  <c r="DO16" i="1"/>
  <c r="DO17" i="1" s="1"/>
  <c r="DR16" i="1"/>
  <c r="DR17" i="1" s="1"/>
  <c r="DP16" i="1"/>
  <c r="DP17" i="1" s="1"/>
  <c r="DT23" i="1"/>
  <c r="DT24" i="1" s="1"/>
  <c r="DU23" i="1"/>
  <c r="DU24" i="1" s="1"/>
  <c r="DN23" i="1"/>
  <c r="DN24" i="1" s="1"/>
  <c r="DS23" i="1"/>
  <c r="DS24" i="1" s="1"/>
  <c r="DO23" i="1"/>
  <c r="DO24" i="1" s="1"/>
  <c r="DQ23" i="1"/>
  <c r="DQ24" i="1" s="1"/>
  <c r="DM23" i="1"/>
  <c r="DM24" i="1" s="1"/>
  <c r="DP23" i="1"/>
  <c r="DP24" i="1" s="1"/>
  <c r="DR23" i="1"/>
  <c r="DR24" i="1" s="1"/>
  <c r="DU30" i="1"/>
  <c r="DU31" i="1" s="1"/>
  <c r="DN30" i="1"/>
  <c r="DN31" i="1" s="1"/>
  <c r="DO30" i="1"/>
  <c r="DO31" i="1" s="1"/>
  <c r="DM30" i="1"/>
  <c r="DM31" i="1" s="1"/>
  <c r="DP30" i="1"/>
  <c r="DP31" i="1" s="1"/>
  <c r="DQ30" i="1"/>
  <c r="DQ31" i="1" s="1"/>
  <c r="DS30" i="1"/>
  <c r="DS31" i="1" s="1"/>
  <c r="DR30" i="1"/>
  <c r="DR31" i="1" s="1"/>
  <c r="DT30" i="1"/>
  <c r="DT31" i="1" s="1"/>
  <c r="DM44" i="1"/>
  <c r="DM45" i="1" s="1"/>
  <c r="DN44" i="1"/>
  <c r="DO44" i="1"/>
  <c r="DP44" i="1"/>
  <c r="DQ44" i="1"/>
  <c r="DQ45" i="1" s="1"/>
  <c r="DR44" i="1"/>
  <c r="DR45" i="1" s="1"/>
  <c r="DS44" i="1"/>
  <c r="DS45" i="1" s="1"/>
  <c r="DT44" i="1"/>
  <c r="DT45" i="1" s="1"/>
  <c r="DU44" i="1"/>
  <c r="DU45" i="1" s="1"/>
  <c r="ED132" i="1"/>
  <c r="EA128" i="1"/>
  <c r="DX120" i="1"/>
  <c r="DX121" i="1" s="1"/>
  <c r="DX79" i="1"/>
  <c r="DX80" i="1" s="1"/>
  <c r="DT108" i="1"/>
  <c r="DT109" i="1" s="1"/>
  <c r="DM108" i="1"/>
  <c r="DM109" i="1" s="1"/>
  <c r="DS52" i="1"/>
  <c r="DT51" i="1"/>
  <c r="DT52" i="1" s="1"/>
  <c r="DM101" i="1"/>
  <c r="DM102" i="1" s="1"/>
  <c r="DM51" i="1"/>
  <c r="DM52" i="1" s="1"/>
  <c r="DW121" i="1"/>
  <c r="DS102" i="1"/>
  <c r="DT101" i="1"/>
  <c r="DT102" i="1" s="1"/>
  <c r="DV121" i="1"/>
  <c r="DV45" i="1"/>
  <c r="BV50" i="1"/>
  <c r="BV29" i="1"/>
  <c r="BV100" i="1"/>
  <c r="DR102" i="1"/>
  <c r="DR52" i="1"/>
  <c r="DQ102" i="1"/>
  <c r="DQ52" i="1"/>
  <c r="DP52" i="1"/>
  <c r="DP102" i="1"/>
  <c r="DO52" i="1"/>
  <c r="DO102" i="1"/>
  <c r="DN52" i="1"/>
  <c r="DN102" i="1"/>
  <c r="BW78" i="1"/>
  <c r="BZ78" i="1"/>
  <c r="CA78" i="1"/>
  <c r="BX78" i="1"/>
  <c r="BY78" i="1"/>
  <c r="BX119" i="1"/>
  <c r="BW119" i="1"/>
  <c r="BZ119" i="1"/>
  <c r="CA119" i="1"/>
  <c r="BY119" i="1"/>
  <c r="BV107" i="1"/>
  <c r="BV43" i="1"/>
  <c r="BT114" i="1"/>
  <c r="BV36" i="1"/>
  <c r="BV22" i="1"/>
  <c r="BV15" i="1"/>
  <c r="BV8" i="1"/>
  <c r="BU22" i="1"/>
  <c r="BU8" i="1"/>
  <c r="BU36" i="1"/>
  <c r="BU43" i="1"/>
  <c r="BU29" i="1"/>
  <c r="BU100" i="1"/>
  <c r="BU50" i="1"/>
  <c r="BU15" i="1"/>
  <c r="BU107" i="1"/>
  <c r="BU114" i="1"/>
  <c r="BS107" i="1"/>
  <c r="BT15" i="1"/>
  <c r="BT36" i="1"/>
  <c r="BT22" i="1"/>
  <c r="BT43" i="1"/>
  <c r="BT29" i="1"/>
  <c r="BT100" i="1"/>
  <c r="BT8" i="1"/>
  <c r="BT50" i="1"/>
  <c r="BT107" i="1"/>
  <c r="BR36" i="1"/>
  <c r="BS8" i="1"/>
  <c r="BS50" i="1"/>
  <c r="BR29" i="1"/>
  <c r="BS36" i="1"/>
  <c r="BR100" i="1"/>
  <c r="BS22" i="1"/>
  <c r="BR50" i="1"/>
  <c r="BS43" i="1"/>
  <c r="BR43" i="1"/>
  <c r="BR15" i="1"/>
  <c r="BS15" i="1"/>
  <c r="BQ8" i="1"/>
  <c r="BQ50" i="1"/>
  <c r="BR22" i="1"/>
  <c r="BQ43" i="1"/>
  <c r="BR8" i="1"/>
  <c r="BR107" i="1"/>
  <c r="BS29" i="1"/>
  <c r="BS100" i="1"/>
  <c r="BP50" i="1"/>
  <c r="BP22" i="1"/>
  <c r="BQ36" i="1"/>
  <c r="BQ29" i="1"/>
  <c r="BQ100" i="1"/>
  <c r="BQ107" i="1"/>
  <c r="BQ22" i="1"/>
  <c r="BP8" i="1"/>
  <c r="BQ15" i="1"/>
  <c r="BO22" i="1"/>
  <c r="BP43" i="1"/>
  <c r="BP36" i="1"/>
  <c r="BO107" i="1"/>
  <c r="BP29" i="1"/>
  <c r="BP15" i="1"/>
  <c r="BP100" i="1"/>
  <c r="BP107" i="1"/>
  <c r="BO43" i="1"/>
  <c r="BO50" i="1"/>
  <c r="BN29" i="1"/>
  <c r="BO8" i="1"/>
  <c r="BO15" i="1"/>
  <c r="BO36" i="1"/>
  <c r="BO29" i="1"/>
  <c r="BO100" i="1"/>
  <c r="BN36" i="1"/>
  <c r="BN100" i="1"/>
  <c r="BN8" i="1"/>
  <c r="BN43" i="1"/>
  <c r="BN15" i="1"/>
  <c r="BN50" i="1"/>
  <c r="BN22" i="1"/>
  <c r="BN107" i="1"/>
  <c r="BL106" i="1"/>
  <c r="DL101" i="1"/>
  <c r="BL42" i="1"/>
  <c r="BL35" i="1"/>
  <c r="DL37" i="1" s="1"/>
  <c r="DL38" i="1" s="1"/>
  <c r="DL51" i="1"/>
  <c r="BL28" i="1"/>
  <c r="BL21" i="1"/>
  <c r="BL14" i="1"/>
  <c r="BL7" i="1"/>
  <c r="DL9" i="1" s="1"/>
  <c r="DL10" i="1" s="1"/>
  <c r="BK106" i="1"/>
  <c r="BK42" i="1"/>
  <c r="BK35" i="1"/>
  <c r="DK37" i="1" s="1"/>
  <c r="DK38" i="1" s="1"/>
  <c r="BK28" i="1"/>
  <c r="BK21" i="1"/>
  <c r="BK14" i="1"/>
  <c r="BK7" i="1"/>
  <c r="DK9" i="1" s="1"/>
  <c r="DK10" i="1" s="1"/>
  <c r="BJ106" i="1"/>
  <c r="DJ101" i="1"/>
  <c r="BJ42" i="1"/>
  <c r="BJ35" i="1"/>
  <c r="DJ37" i="1" s="1"/>
  <c r="DJ38" i="1" s="1"/>
  <c r="DJ51" i="1"/>
  <c r="BJ28" i="1"/>
  <c r="BJ21" i="1"/>
  <c r="BJ14" i="1"/>
  <c r="BJ7" i="1"/>
  <c r="DJ9" i="1" s="1"/>
  <c r="DJ10" i="1" s="1"/>
  <c r="BI106" i="1"/>
  <c r="BI42" i="1"/>
  <c r="BI35" i="1"/>
  <c r="DI37" i="1" s="1"/>
  <c r="DI38" i="1" s="1"/>
  <c r="BI28" i="1"/>
  <c r="BI21" i="1"/>
  <c r="BI14" i="1"/>
  <c r="BI7" i="1"/>
  <c r="DI9" i="1" s="1"/>
  <c r="DI10" i="1" s="1"/>
  <c r="BH42" i="1"/>
  <c r="HA42" i="1" s="1"/>
  <c r="BH106" i="1"/>
  <c r="DH101" i="1"/>
  <c r="BH35" i="1"/>
  <c r="DH37" i="1" s="1"/>
  <c r="DH38" i="1" s="1"/>
  <c r="DH51" i="1"/>
  <c r="BH28" i="1"/>
  <c r="BH21" i="1"/>
  <c r="BH14" i="1"/>
  <c r="BH7" i="1"/>
  <c r="DH9" i="1" s="1"/>
  <c r="DH10" i="1" s="1"/>
  <c r="BG106" i="1"/>
  <c r="DG101" i="1"/>
  <c r="DE101" i="1"/>
  <c r="BG35" i="1"/>
  <c r="DG51" i="1"/>
  <c r="BG28" i="1"/>
  <c r="BG21" i="1"/>
  <c r="BG14" i="1"/>
  <c r="BG7" i="1"/>
  <c r="DG9" i="1" s="1"/>
  <c r="DG10" i="1" s="1"/>
  <c r="BF106" i="1"/>
  <c r="DF101" i="1"/>
  <c r="BF35" i="1"/>
  <c r="DF51" i="1"/>
  <c r="BF28" i="1"/>
  <c r="BF21" i="1"/>
  <c r="BF14" i="1"/>
  <c r="BF7" i="1"/>
  <c r="BC106" i="1"/>
  <c r="BD106" i="1"/>
  <c r="BE106" i="1"/>
  <c r="BC35" i="1"/>
  <c r="BD35" i="1"/>
  <c r="BE35" i="1"/>
  <c r="DC51" i="1"/>
  <c r="DE51" i="1"/>
  <c r="BC28" i="1"/>
  <c r="DC30" i="1" s="1"/>
  <c r="DC31" i="1" s="1"/>
  <c r="BD28" i="1"/>
  <c r="BE28" i="1"/>
  <c r="BC21" i="1"/>
  <c r="DC23" i="1" s="1"/>
  <c r="DC24" i="1" s="1"/>
  <c r="BD21" i="1"/>
  <c r="BE21" i="1"/>
  <c r="BC14" i="1"/>
  <c r="DC16" i="1" s="1"/>
  <c r="DC17" i="1" s="1"/>
  <c r="BD14" i="1"/>
  <c r="BE14" i="1"/>
  <c r="BC7" i="1"/>
  <c r="DC9" i="1" s="1"/>
  <c r="DC10" i="1" s="1"/>
  <c r="BD7" i="1"/>
  <c r="DD9" i="1" s="1"/>
  <c r="DD10" i="1" s="1"/>
  <c r="BE7" i="1"/>
  <c r="DE9" i="1" s="1"/>
  <c r="DE10" i="1" s="1"/>
  <c r="BB106" i="1"/>
  <c r="BB35" i="1"/>
  <c r="BB28" i="1"/>
  <c r="DB30" i="1" s="1"/>
  <c r="DB31" i="1" s="1"/>
  <c r="BB21" i="1"/>
  <c r="DB23" i="1" s="1"/>
  <c r="DB24" i="1" s="1"/>
  <c r="BB14" i="1"/>
  <c r="DB16" i="1" s="1"/>
  <c r="DB17" i="1" s="1"/>
  <c r="BB7" i="1"/>
  <c r="DB9" i="1" s="1"/>
  <c r="DB10" i="1" s="1"/>
  <c r="BA106" i="1"/>
  <c r="BA35" i="1"/>
  <c r="BA28" i="1"/>
  <c r="DA30" i="1" s="1"/>
  <c r="DA31" i="1" s="1"/>
  <c r="BA21" i="1"/>
  <c r="DA23" i="1" s="1"/>
  <c r="DA24" i="1" s="1"/>
  <c r="BA14" i="1"/>
  <c r="DA16" i="1" s="1"/>
  <c r="DA17" i="1" s="1"/>
  <c r="BA7" i="1"/>
  <c r="DA9" i="1" s="1"/>
  <c r="DA10" i="1" s="1"/>
  <c r="AZ106" i="1"/>
  <c r="AZ35" i="1"/>
  <c r="AZ28" i="1"/>
  <c r="CZ30" i="1" s="1"/>
  <c r="CZ31" i="1" s="1"/>
  <c r="AZ21" i="1"/>
  <c r="CZ23" i="1" s="1"/>
  <c r="CZ24" i="1" s="1"/>
  <c r="AZ14" i="1"/>
  <c r="CZ16" i="1" s="1"/>
  <c r="CZ17" i="1" s="1"/>
  <c r="AZ7" i="1"/>
  <c r="CZ9" i="1" s="1"/>
  <c r="CZ10" i="1" s="1"/>
  <c r="AY106" i="1"/>
  <c r="AY35" i="1"/>
  <c r="AX35" i="1"/>
  <c r="AY28" i="1"/>
  <c r="CY30" i="1" s="1"/>
  <c r="CY31" i="1" s="1"/>
  <c r="AY21" i="1"/>
  <c r="CY23" i="1" s="1"/>
  <c r="CY24" i="1" s="1"/>
  <c r="AY14" i="1"/>
  <c r="CY16" i="1" s="1"/>
  <c r="CY17" i="1" s="1"/>
  <c r="AY7" i="1"/>
  <c r="CY9" i="1" s="1"/>
  <c r="CY10" i="1" s="1"/>
  <c r="AX106" i="1"/>
  <c r="AX28" i="1"/>
  <c r="CX30" i="1" s="1"/>
  <c r="CX31" i="1" s="1"/>
  <c r="AX21" i="1"/>
  <c r="CX23" i="1" s="1"/>
  <c r="CX24" i="1" s="1"/>
  <c r="AX14" i="1"/>
  <c r="CX16" i="1" s="1"/>
  <c r="CX17" i="1" s="1"/>
  <c r="AX7" i="1"/>
  <c r="CX9" i="1" s="1"/>
  <c r="CX10" i="1" s="1"/>
  <c r="AW106" i="1"/>
  <c r="AW35" i="1"/>
  <c r="AW28" i="1"/>
  <c r="CW30" i="1" s="1"/>
  <c r="CW31" i="1" s="1"/>
  <c r="AW21" i="1"/>
  <c r="CW23" i="1" s="1"/>
  <c r="CW24" i="1" s="1"/>
  <c r="AW14" i="1"/>
  <c r="CW16" i="1" s="1"/>
  <c r="CW17" i="1" s="1"/>
  <c r="AW7" i="1"/>
  <c r="CW9" i="1" s="1"/>
  <c r="CW10" i="1" s="1"/>
  <c r="AV106" i="1"/>
  <c r="AV35" i="1"/>
  <c r="AV28" i="1"/>
  <c r="CV30" i="1" s="1"/>
  <c r="CV31" i="1" s="1"/>
  <c r="AV21" i="1"/>
  <c r="CV23" i="1" s="1"/>
  <c r="CV24" i="1" s="1"/>
  <c r="AV14" i="1"/>
  <c r="CV16" i="1" s="1"/>
  <c r="CV17" i="1" s="1"/>
  <c r="AV7" i="1"/>
  <c r="CV9" i="1" s="1"/>
  <c r="CV10" i="1" s="1"/>
  <c r="AU106" i="1"/>
  <c r="AU35" i="1"/>
  <c r="AU28" i="1"/>
  <c r="CU30" i="1" s="1"/>
  <c r="CU31" i="1" s="1"/>
  <c r="AU21" i="1"/>
  <c r="CU23" i="1" s="1"/>
  <c r="CU24" i="1" s="1"/>
  <c r="AU14" i="1"/>
  <c r="CU16" i="1" s="1"/>
  <c r="CU17" i="1" s="1"/>
  <c r="AU7" i="1"/>
  <c r="CU9" i="1" s="1"/>
  <c r="CU10" i="1" s="1"/>
  <c r="AT106" i="1"/>
  <c r="AT35" i="1"/>
  <c r="AT28" i="1"/>
  <c r="CT30" i="1" s="1"/>
  <c r="CT31" i="1" s="1"/>
  <c r="AT21" i="1"/>
  <c r="CT23" i="1" s="1"/>
  <c r="CT24" i="1" s="1"/>
  <c r="AT14" i="1"/>
  <c r="CT16" i="1" s="1"/>
  <c r="CT17" i="1" s="1"/>
  <c r="AT7" i="1"/>
  <c r="CT9" i="1" s="1"/>
  <c r="CT10" i="1" s="1"/>
  <c r="AS106" i="1"/>
  <c r="AS35" i="1"/>
  <c r="CS51" i="1"/>
  <c r="AS28" i="1"/>
  <c r="CS30" i="1" s="1"/>
  <c r="CS31" i="1" s="1"/>
  <c r="AS21" i="1"/>
  <c r="CS23" i="1" s="1"/>
  <c r="CS24" i="1" s="1"/>
  <c r="AS14" i="1"/>
  <c r="CS16" i="1" s="1"/>
  <c r="CS17" i="1" s="1"/>
  <c r="AS7" i="1"/>
  <c r="CS9" i="1" s="1"/>
  <c r="CS10" i="1" s="1"/>
  <c r="AR106" i="1"/>
  <c r="AR35" i="1"/>
  <c r="AR28" i="1"/>
  <c r="CR30" i="1" s="1"/>
  <c r="CR31" i="1" s="1"/>
  <c r="AR21" i="1"/>
  <c r="CR23" i="1" s="1"/>
  <c r="CR24" i="1" s="1"/>
  <c r="AR14" i="1"/>
  <c r="CR16" i="1" s="1"/>
  <c r="CR17" i="1" s="1"/>
  <c r="AR7" i="1"/>
  <c r="CR9" i="1" s="1"/>
  <c r="CR10" i="1" s="1"/>
  <c r="AQ106" i="1"/>
  <c r="AQ35" i="1"/>
  <c r="AQ28" i="1"/>
  <c r="CQ30" i="1" s="1"/>
  <c r="CQ31" i="1" s="1"/>
  <c r="AQ21" i="1"/>
  <c r="CQ23" i="1" s="1"/>
  <c r="CQ24" i="1" s="1"/>
  <c r="AQ14" i="1"/>
  <c r="CQ16" i="1" s="1"/>
  <c r="CQ17" i="1" s="1"/>
  <c r="AQ7" i="1"/>
  <c r="CQ9" i="1" s="1"/>
  <c r="CQ10" i="1" s="1"/>
  <c r="AP106" i="1"/>
  <c r="AP35" i="1"/>
  <c r="AP28" i="1"/>
  <c r="CP30" i="1" s="1"/>
  <c r="CP31" i="1" s="1"/>
  <c r="AP21" i="1"/>
  <c r="CP23" i="1" s="1"/>
  <c r="CP24" i="1" s="1"/>
  <c r="AP14" i="1"/>
  <c r="CP16" i="1" s="1"/>
  <c r="CP17" i="1" s="1"/>
  <c r="AP7" i="1"/>
  <c r="CP9" i="1" s="1"/>
  <c r="CP10" i="1" s="1"/>
  <c r="AO7" i="1"/>
  <c r="CO9" i="1" s="1"/>
  <c r="CO10" i="1" s="1"/>
  <c r="AO14" i="1"/>
  <c r="CO16" i="1" s="1"/>
  <c r="CO17" i="1" s="1"/>
  <c r="AO21" i="1"/>
  <c r="CO23" i="1" s="1"/>
  <c r="CO24" i="1" s="1"/>
  <c r="AO28" i="1"/>
  <c r="CO30" i="1" s="1"/>
  <c r="CO31" i="1" s="1"/>
  <c r="AO35" i="1"/>
  <c r="AO106" i="1"/>
  <c r="AN106" i="1"/>
  <c r="AN35" i="1"/>
  <c r="AN28" i="1"/>
  <c r="CN30" i="1" s="1"/>
  <c r="CN31" i="1" s="1"/>
  <c r="AN21" i="1"/>
  <c r="CN23" i="1" s="1"/>
  <c r="CN24" i="1" s="1"/>
  <c r="AN14" i="1"/>
  <c r="CN16" i="1" s="1"/>
  <c r="CN17" i="1" s="1"/>
  <c r="AN7" i="1"/>
  <c r="CN9" i="1" s="1"/>
  <c r="CN10" i="1" s="1"/>
  <c r="BD118" i="1" l="1"/>
  <c r="BC118" i="1"/>
  <c r="BE118" i="1"/>
  <c r="DE120" i="1" s="1"/>
  <c r="AX118" i="1"/>
  <c r="BJ118" i="1"/>
  <c r="CO37" i="1"/>
  <c r="CO38" i="1" s="1"/>
  <c r="AO77" i="1"/>
  <c r="CO79" i="1" s="1"/>
  <c r="CO80" i="1" s="1"/>
  <c r="DF37" i="1"/>
  <c r="DF38" i="1" s="1"/>
  <c r="BF77" i="1"/>
  <c r="DF79" i="1" s="1"/>
  <c r="DG37" i="1"/>
  <c r="DG38" i="1" s="1"/>
  <c r="BG77" i="1"/>
  <c r="DG79" i="1" s="1"/>
  <c r="BL77" i="1"/>
  <c r="DL79" i="1" s="1"/>
  <c r="AN118" i="1"/>
  <c r="CN120" i="1" s="1"/>
  <c r="AT118" i="1"/>
  <c r="CT120" i="1" s="1"/>
  <c r="AU118" i="1"/>
  <c r="CU120" i="1" s="1"/>
  <c r="AV118" i="1"/>
  <c r="CV120" i="1" s="1"/>
  <c r="AZ118" i="1"/>
  <c r="BA118" i="1"/>
  <c r="BB118" i="1"/>
  <c r="DE37" i="1"/>
  <c r="DE38" i="1" s="1"/>
  <c r="BE77" i="1"/>
  <c r="DE79" i="1" s="1"/>
  <c r="BG118" i="1"/>
  <c r="DG120" i="1" s="1"/>
  <c r="BH118" i="1"/>
  <c r="DH120" i="1" s="1"/>
  <c r="BI77" i="1"/>
  <c r="DI79" i="1" s="1"/>
  <c r="BK118" i="1"/>
  <c r="CX37" i="1"/>
  <c r="CX38" i="1" s="1"/>
  <c r="AX77" i="1"/>
  <c r="CX79" i="1" s="1"/>
  <c r="CX80" i="1" s="1"/>
  <c r="DD37" i="1"/>
  <c r="DD38" i="1" s="1"/>
  <c r="BD77" i="1"/>
  <c r="DD79" i="1" s="1"/>
  <c r="DD80" i="1" s="1"/>
  <c r="BF118" i="1"/>
  <c r="DF120" i="1" s="1"/>
  <c r="BH77" i="1"/>
  <c r="DH79" i="1" s="1"/>
  <c r="BJ77" i="1"/>
  <c r="DJ79" i="1" s="1"/>
  <c r="BL118" i="1"/>
  <c r="DL120" i="1" s="1"/>
  <c r="CN37" i="1"/>
  <c r="CN38" i="1" s="1"/>
  <c r="AN77" i="1"/>
  <c r="CN79" i="1" s="1"/>
  <c r="AO118" i="1"/>
  <c r="CP37" i="1"/>
  <c r="CP38" i="1" s="1"/>
  <c r="AP77" i="1"/>
  <c r="CP79" i="1" s="1"/>
  <c r="CQ37" i="1"/>
  <c r="CQ38" i="1" s="1"/>
  <c r="AQ77" i="1"/>
  <c r="CQ79" i="1" s="1"/>
  <c r="CQ80" i="1" s="1"/>
  <c r="CR37" i="1"/>
  <c r="CR38" i="1" s="1"/>
  <c r="AR77" i="1"/>
  <c r="CR79" i="1" s="1"/>
  <c r="CS37" i="1"/>
  <c r="CS38" i="1" s="1"/>
  <c r="AS77" i="1"/>
  <c r="CS79" i="1" s="1"/>
  <c r="CT37" i="1"/>
  <c r="CT38" i="1" s="1"/>
  <c r="AT77" i="1"/>
  <c r="CT79" i="1" s="1"/>
  <c r="CU37" i="1"/>
  <c r="CU38" i="1" s="1"/>
  <c r="AU77" i="1"/>
  <c r="CU79" i="1" s="1"/>
  <c r="CV37" i="1"/>
  <c r="CV38" i="1" s="1"/>
  <c r="AV77" i="1"/>
  <c r="CV79" i="1" s="1"/>
  <c r="CW37" i="1"/>
  <c r="CW38" i="1" s="1"/>
  <c r="AW77" i="1"/>
  <c r="CW79" i="1" s="1"/>
  <c r="CW80" i="1" s="1"/>
  <c r="CY37" i="1"/>
  <c r="CY38" i="1" s="1"/>
  <c r="AY77" i="1"/>
  <c r="CZ37" i="1"/>
  <c r="CZ38" i="1" s="1"/>
  <c r="AZ77" i="1"/>
  <c r="CZ79" i="1" s="1"/>
  <c r="CZ80" i="1" s="1"/>
  <c r="DA37" i="1"/>
  <c r="DA38" i="1" s="1"/>
  <c r="BA77" i="1"/>
  <c r="DA79" i="1" s="1"/>
  <c r="DA80" i="1" s="1"/>
  <c r="DB37" i="1"/>
  <c r="DB38" i="1" s="1"/>
  <c r="BB77" i="1"/>
  <c r="DB79" i="1" s="1"/>
  <c r="DC37" i="1"/>
  <c r="DC38" i="1" s="1"/>
  <c r="BC77" i="1"/>
  <c r="DC79" i="1" s="1"/>
  <c r="BI118" i="1"/>
  <c r="BK77" i="1"/>
  <c r="DK79" i="1" s="1"/>
  <c r="DK80" i="1" s="1"/>
  <c r="AP118" i="1"/>
  <c r="CP120" i="1" s="1"/>
  <c r="AQ118" i="1"/>
  <c r="AR118" i="1"/>
  <c r="CR120" i="1" s="1"/>
  <c r="AS118" i="1"/>
  <c r="CS120" i="1" s="1"/>
  <c r="AW118" i="1"/>
  <c r="AY118" i="1"/>
  <c r="BT125" i="1"/>
  <c r="DT127" i="1" s="1"/>
  <c r="BQ125" i="1"/>
  <c r="DQ127" i="1" s="1"/>
  <c r="BM125" i="1"/>
  <c r="DM127" i="1" s="1"/>
  <c r="DG108" i="1"/>
  <c r="DG109" i="1" s="1"/>
  <c r="DH108" i="1"/>
  <c r="DH109" i="1" s="1"/>
  <c r="DE108" i="1"/>
  <c r="DE109" i="1" s="1"/>
  <c r="DJ108" i="1"/>
  <c r="DJ109" i="1" s="1"/>
  <c r="BS125" i="1"/>
  <c r="DS127" i="1" s="1"/>
  <c r="BO125" i="1"/>
  <c r="DO127" i="1" s="1"/>
  <c r="DD108" i="1"/>
  <c r="DD109" i="1" s="1"/>
  <c r="DQ120" i="1"/>
  <c r="DQ121" i="1" s="1"/>
  <c r="DF108" i="1"/>
  <c r="DF109" i="1" s="1"/>
  <c r="DL108" i="1"/>
  <c r="DL109" i="1" s="1"/>
  <c r="BP125" i="1"/>
  <c r="DP127" i="1" s="1"/>
  <c r="BU125" i="1"/>
  <c r="DU127" i="1" s="1"/>
  <c r="DU132" i="1" s="1"/>
  <c r="BN125" i="1"/>
  <c r="DN127" i="1" s="1"/>
  <c r="BR125" i="1"/>
  <c r="DR127" i="1" s="1"/>
  <c r="DF9" i="1"/>
  <c r="DF10" i="1" s="1"/>
  <c r="DL16" i="1"/>
  <c r="DL17" i="1" s="1"/>
  <c r="DF16" i="1"/>
  <c r="DF17" i="1" s="1"/>
  <c r="DG16" i="1"/>
  <c r="DG17" i="1" s="1"/>
  <c r="DH16" i="1"/>
  <c r="DH17" i="1" s="1"/>
  <c r="DI16" i="1"/>
  <c r="DI17" i="1" s="1"/>
  <c r="DE16" i="1"/>
  <c r="DE17" i="1" s="1"/>
  <c r="DJ16" i="1"/>
  <c r="DJ17" i="1" s="1"/>
  <c r="DD16" i="1"/>
  <c r="DD17" i="1" s="1"/>
  <c r="DK16" i="1"/>
  <c r="DK17" i="1" s="1"/>
  <c r="DK23" i="1"/>
  <c r="DK24" i="1" s="1"/>
  <c r="DJ23" i="1"/>
  <c r="DJ24" i="1" s="1"/>
  <c r="DE23" i="1"/>
  <c r="DE24" i="1" s="1"/>
  <c r="DL23" i="1"/>
  <c r="DL24" i="1" s="1"/>
  <c r="DD23" i="1"/>
  <c r="DD24" i="1" s="1"/>
  <c r="DF23" i="1"/>
  <c r="DF24" i="1" s="1"/>
  <c r="DG23" i="1"/>
  <c r="DG24" i="1" s="1"/>
  <c r="DH23" i="1"/>
  <c r="DH24" i="1" s="1"/>
  <c r="DI23" i="1"/>
  <c r="DI24" i="1" s="1"/>
  <c r="DH30" i="1"/>
  <c r="DH31" i="1" s="1"/>
  <c r="DI30" i="1"/>
  <c r="DI31" i="1" s="1"/>
  <c r="DJ30" i="1"/>
  <c r="DJ31" i="1" s="1"/>
  <c r="DK30" i="1"/>
  <c r="DK31" i="1" s="1"/>
  <c r="DL30" i="1"/>
  <c r="DL31" i="1" s="1"/>
  <c r="DF30" i="1"/>
  <c r="DF31" i="1" s="1"/>
  <c r="DG30" i="1"/>
  <c r="DG31" i="1" s="1"/>
  <c r="DE30" i="1"/>
  <c r="DE31" i="1" s="1"/>
  <c r="DD30" i="1"/>
  <c r="DD31" i="1" s="1"/>
  <c r="DI44" i="1"/>
  <c r="DI45" i="1" s="1"/>
  <c r="DJ44" i="1"/>
  <c r="DJ45" i="1" s="1"/>
  <c r="DL44" i="1"/>
  <c r="DZ132" i="1"/>
  <c r="DZ128" i="1"/>
  <c r="DX127" i="1"/>
  <c r="DX132" i="1" s="1"/>
  <c r="DY132" i="1"/>
  <c r="DY128" i="1"/>
  <c r="CS108" i="1"/>
  <c r="CS109" i="1" s="1"/>
  <c r="CZ108" i="1"/>
  <c r="CZ109" i="1" s="1"/>
  <c r="DS121" i="1"/>
  <c r="DT120" i="1"/>
  <c r="DT121" i="1" s="1"/>
  <c r="CO101" i="1"/>
  <c r="CO102" i="1" s="1"/>
  <c r="DH44" i="1"/>
  <c r="DI101" i="1"/>
  <c r="DI102" i="1" s="1"/>
  <c r="CN108" i="1"/>
  <c r="CN109" i="1" s="1"/>
  <c r="CT108" i="1"/>
  <c r="CT109" i="1" s="1"/>
  <c r="DA108" i="1"/>
  <c r="DA109" i="1" s="1"/>
  <c r="CO108" i="1"/>
  <c r="CO109" i="1" s="1"/>
  <c r="DI108" i="1"/>
  <c r="DI109" i="1" s="1"/>
  <c r="DK44" i="1"/>
  <c r="DK45" i="1" s="1"/>
  <c r="DM120" i="1"/>
  <c r="DM121" i="1" s="1"/>
  <c r="CQ108" i="1"/>
  <c r="CQ109" i="1" s="1"/>
  <c r="CU108" i="1"/>
  <c r="CU109" i="1" s="1"/>
  <c r="DB108" i="1"/>
  <c r="DB109" i="1" s="1"/>
  <c r="DK101" i="1"/>
  <c r="DK102" i="1" s="1"/>
  <c r="CY108" i="1"/>
  <c r="CY109" i="1" s="1"/>
  <c r="DK108" i="1"/>
  <c r="DK109" i="1" s="1"/>
  <c r="CP108" i="1"/>
  <c r="CP109" i="1" s="1"/>
  <c r="CW108" i="1"/>
  <c r="CW109" i="1" s="1"/>
  <c r="CO51" i="1"/>
  <c r="CO52" i="1" s="1"/>
  <c r="CY51" i="1"/>
  <c r="CY52" i="1" s="1"/>
  <c r="CN51" i="1"/>
  <c r="CN52" i="1" s="1"/>
  <c r="CP51" i="1"/>
  <c r="CP52" i="1" s="1"/>
  <c r="CQ51" i="1"/>
  <c r="CQ52" i="1" s="1"/>
  <c r="CR51" i="1"/>
  <c r="CR52" i="1" s="1"/>
  <c r="CT51" i="1"/>
  <c r="CT52" i="1" s="1"/>
  <c r="CU51" i="1"/>
  <c r="CU52" i="1" s="1"/>
  <c r="CV51" i="1"/>
  <c r="CV52" i="1" s="1"/>
  <c r="CW51" i="1"/>
  <c r="CW52" i="1" s="1"/>
  <c r="CX51" i="1"/>
  <c r="CX52" i="1" s="1"/>
  <c r="CZ51" i="1"/>
  <c r="CZ52" i="1" s="1"/>
  <c r="DA51" i="1"/>
  <c r="DA52" i="1" s="1"/>
  <c r="DB51" i="1"/>
  <c r="DB52" i="1" s="1"/>
  <c r="DC108" i="1"/>
  <c r="DC109" i="1" s="1"/>
  <c r="DD101" i="1"/>
  <c r="DD102" i="1" s="1"/>
  <c r="DK51" i="1"/>
  <c r="DK52" i="1" s="1"/>
  <c r="CX101" i="1"/>
  <c r="CX102" i="1" s="1"/>
  <c r="DD51" i="1"/>
  <c r="DD52" i="1" s="1"/>
  <c r="DC101" i="1"/>
  <c r="DC102" i="1" s="1"/>
  <c r="DI51" i="1"/>
  <c r="DI52" i="1" s="1"/>
  <c r="CR108" i="1"/>
  <c r="CR109" i="1" s="1"/>
  <c r="CV108" i="1"/>
  <c r="CV109" i="1" s="1"/>
  <c r="CN101" i="1"/>
  <c r="CN102" i="1" s="1"/>
  <c r="CP101" i="1"/>
  <c r="CP102" i="1" s="1"/>
  <c r="CQ101" i="1"/>
  <c r="CQ102" i="1" s="1"/>
  <c r="CR101" i="1"/>
  <c r="CR102" i="1" s="1"/>
  <c r="CS101" i="1"/>
  <c r="CS102" i="1" s="1"/>
  <c r="CT101" i="1"/>
  <c r="CT102" i="1" s="1"/>
  <c r="CU101" i="1"/>
  <c r="CU102" i="1" s="1"/>
  <c r="CV101" i="1"/>
  <c r="CV102" i="1" s="1"/>
  <c r="CW101" i="1"/>
  <c r="CW102" i="1" s="1"/>
  <c r="CX108" i="1"/>
  <c r="CX109" i="1" s="1"/>
  <c r="CY101" i="1"/>
  <c r="CY102" i="1" s="1"/>
  <c r="CZ101" i="1"/>
  <c r="CZ102" i="1" s="1"/>
  <c r="DA101" i="1"/>
  <c r="DA102" i="1" s="1"/>
  <c r="DB101" i="1"/>
  <c r="DB102" i="1" s="1"/>
  <c r="DW132" i="1"/>
  <c r="DW128" i="1"/>
  <c r="DV132" i="1"/>
  <c r="DV128" i="1"/>
  <c r="DT80" i="1"/>
  <c r="DR80" i="1"/>
  <c r="DQ80" i="1"/>
  <c r="DR121" i="1"/>
  <c r="DP80" i="1"/>
  <c r="DP45" i="1"/>
  <c r="DP121" i="1"/>
  <c r="DO80" i="1"/>
  <c r="DO121" i="1"/>
  <c r="DO45" i="1"/>
  <c r="DN121" i="1"/>
  <c r="DN80" i="1"/>
  <c r="DN45" i="1"/>
  <c r="DL102" i="1"/>
  <c r="DL52" i="1"/>
  <c r="DJ52" i="1"/>
  <c r="DJ102" i="1"/>
  <c r="DH102" i="1"/>
  <c r="DH52" i="1"/>
  <c r="DG102" i="1"/>
  <c r="DG52" i="1"/>
  <c r="DF102" i="1"/>
  <c r="DF52" i="1"/>
  <c r="DE102" i="1"/>
  <c r="DE52" i="1"/>
  <c r="DC52" i="1"/>
  <c r="BZ126" i="1"/>
  <c r="CA126" i="1"/>
  <c r="BY126" i="1"/>
  <c r="AX22" i="1"/>
  <c r="AV29" i="1"/>
  <c r="BG15" i="1"/>
  <c r="AT50" i="1"/>
  <c r="CS52" i="1"/>
  <c r="BX126" i="1"/>
  <c r="BW126" i="1"/>
  <c r="BU78" i="1"/>
  <c r="BP78" i="1"/>
  <c r="BN78" i="1"/>
  <c r="BS78" i="1"/>
  <c r="BO78" i="1"/>
  <c r="BQ78" i="1"/>
  <c r="BT78" i="1"/>
  <c r="BV78" i="1"/>
  <c r="BR78" i="1"/>
  <c r="AZ100" i="1"/>
  <c r="BP119" i="1"/>
  <c r="BN119" i="1"/>
  <c r="BT119" i="1"/>
  <c r="BR119" i="1"/>
  <c r="BO119" i="1"/>
  <c r="BU119" i="1"/>
  <c r="BV119" i="1"/>
  <c r="BQ119" i="1"/>
  <c r="BS119" i="1"/>
  <c r="AZ36" i="1"/>
  <c r="BB29" i="1"/>
  <c r="BM107" i="1"/>
  <c r="BM100" i="1"/>
  <c r="BH43" i="1"/>
  <c r="BM43" i="1"/>
  <c r="BM50" i="1"/>
  <c r="BM29" i="1"/>
  <c r="BM22" i="1"/>
  <c r="AT107" i="1"/>
  <c r="BA50" i="1"/>
  <c r="AR36" i="1"/>
  <c r="AQ107" i="1"/>
  <c r="AU29" i="1"/>
  <c r="AV107" i="1"/>
  <c r="AR107" i="1"/>
  <c r="BI29" i="1"/>
  <c r="BJ22" i="1"/>
  <c r="BJ43" i="1"/>
  <c r="BL107" i="1"/>
  <c r="AR29" i="1"/>
  <c r="BL43" i="1"/>
  <c r="BL8" i="1"/>
  <c r="BL50" i="1"/>
  <c r="BM8" i="1"/>
  <c r="BL15" i="1"/>
  <c r="BL36" i="1"/>
  <c r="BM36" i="1"/>
  <c r="BM15" i="1"/>
  <c r="BK22" i="1"/>
  <c r="BL100" i="1"/>
  <c r="BL29" i="1"/>
  <c r="BL22" i="1"/>
  <c r="BJ8" i="1"/>
  <c r="BK15" i="1"/>
  <c r="BK36" i="1"/>
  <c r="BK43" i="1"/>
  <c r="BJ50" i="1"/>
  <c r="BK29" i="1"/>
  <c r="BK100" i="1"/>
  <c r="BI107" i="1"/>
  <c r="BK8" i="1"/>
  <c r="BK50" i="1"/>
  <c r="BK107" i="1"/>
  <c r="BJ15" i="1"/>
  <c r="BJ107" i="1"/>
  <c r="BJ36" i="1"/>
  <c r="BJ29" i="1"/>
  <c r="BJ100" i="1"/>
  <c r="BI22" i="1"/>
  <c r="BI36" i="1"/>
  <c r="BI8" i="1"/>
  <c r="AT8" i="1"/>
  <c r="BI100" i="1"/>
  <c r="BI15" i="1"/>
  <c r="BI50" i="1"/>
  <c r="BI43" i="1"/>
  <c r="BH50" i="1"/>
  <c r="BE29" i="1"/>
  <c r="BH8" i="1"/>
  <c r="BH15" i="1"/>
  <c r="BH36" i="1"/>
  <c r="BF22" i="1"/>
  <c r="BG36" i="1"/>
  <c r="BH22" i="1"/>
  <c r="BH100" i="1"/>
  <c r="BE8" i="1"/>
  <c r="BH29" i="1"/>
  <c r="BH107" i="1"/>
  <c r="BD15" i="1"/>
  <c r="BC29" i="1"/>
  <c r="BG50" i="1"/>
  <c r="BG29" i="1"/>
  <c r="BG107" i="1"/>
  <c r="BG22" i="1"/>
  <c r="BF8" i="1"/>
  <c r="BG8" i="1"/>
  <c r="BC107" i="1"/>
  <c r="BF50" i="1"/>
  <c r="BG100" i="1"/>
  <c r="BE100" i="1"/>
  <c r="BE36" i="1"/>
  <c r="BD107" i="1"/>
  <c r="BF100" i="1"/>
  <c r="BE22" i="1"/>
  <c r="BD29" i="1"/>
  <c r="BF29" i="1"/>
  <c r="BF107" i="1"/>
  <c r="BC36" i="1"/>
  <c r="BF36" i="1"/>
  <c r="BC22" i="1"/>
  <c r="BE50" i="1"/>
  <c r="BD36" i="1"/>
  <c r="BF15" i="1"/>
  <c r="BC8" i="1"/>
  <c r="BE107" i="1"/>
  <c r="BC50" i="1"/>
  <c r="BE15" i="1"/>
  <c r="BC15" i="1"/>
  <c r="BC100" i="1"/>
  <c r="BD8" i="1"/>
  <c r="BD22" i="1"/>
  <c r="BD50" i="1"/>
  <c r="BD100" i="1"/>
  <c r="BB36" i="1"/>
  <c r="BB15" i="1"/>
  <c r="BB107" i="1"/>
  <c r="BB8" i="1"/>
  <c r="BB100" i="1"/>
  <c r="BB50" i="1"/>
  <c r="BB22" i="1"/>
  <c r="AZ107" i="1"/>
  <c r="AZ29" i="1"/>
  <c r="BA29" i="1"/>
  <c r="BA8" i="1"/>
  <c r="BA15" i="1"/>
  <c r="AZ15" i="1"/>
  <c r="AZ50" i="1"/>
  <c r="BA22" i="1"/>
  <c r="BA36" i="1"/>
  <c r="BA100" i="1"/>
  <c r="BA107" i="1"/>
  <c r="AY22" i="1"/>
  <c r="AZ22" i="1"/>
  <c r="AY8" i="1"/>
  <c r="AZ8" i="1"/>
  <c r="AY36" i="1"/>
  <c r="AX107" i="1"/>
  <c r="AY29" i="1"/>
  <c r="AY100" i="1"/>
  <c r="AY107" i="1"/>
  <c r="AY15" i="1"/>
  <c r="AX8" i="1"/>
  <c r="AX50" i="1"/>
  <c r="AY50" i="1"/>
  <c r="AX29" i="1"/>
  <c r="AX15" i="1"/>
  <c r="AX36" i="1"/>
  <c r="AX100" i="1"/>
  <c r="AW8" i="1"/>
  <c r="AW50" i="1"/>
  <c r="AW100" i="1"/>
  <c r="AW29" i="1"/>
  <c r="AW107" i="1"/>
  <c r="AW36" i="1"/>
  <c r="AW15" i="1"/>
  <c r="AW22" i="1"/>
  <c r="AV8" i="1"/>
  <c r="AV50" i="1"/>
  <c r="AV100" i="1"/>
  <c r="AU22" i="1"/>
  <c r="AU36" i="1"/>
  <c r="AV22" i="1"/>
  <c r="AV15" i="1"/>
  <c r="AV36" i="1"/>
  <c r="AU15" i="1"/>
  <c r="AU8" i="1"/>
  <c r="AU100" i="1"/>
  <c r="AU50" i="1"/>
  <c r="AU107" i="1"/>
  <c r="AT100" i="1"/>
  <c r="AT29" i="1"/>
  <c r="AT22" i="1"/>
  <c r="AT36" i="1"/>
  <c r="AT15" i="1"/>
  <c r="AS8" i="1"/>
  <c r="AS50" i="1"/>
  <c r="AS36" i="1"/>
  <c r="AS22" i="1"/>
  <c r="AS100" i="1"/>
  <c r="AS29" i="1"/>
  <c r="AS107" i="1"/>
  <c r="AR22" i="1"/>
  <c r="AS15" i="1"/>
  <c r="AR15" i="1"/>
  <c r="AR8" i="1"/>
  <c r="AR100" i="1"/>
  <c r="AR50" i="1"/>
  <c r="AQ15" i="1"/>
  <c r="AQ36" i="1"/>
  <c r="AQ29" i="1"/>
  <c r="AQ22" i="1"/>
  <c r="AQ100" i="1"/>
  <c r="AQ50" i="1"/>
  <c r="AQ8" i="1"/>
  <c r="AO8" i="1"/>
  <c r="AP8" i="1"/>
  <c r="AP50" i="1"/>
  <c r="AO22" i="1"/>
  <c r="AP22" i="1"/>
  <c r="AO107" i="1"/>
  <c r="AP36" i="1"/>
  <c r="AP100" i="1"/>
  <c r="AP29" i="1"/>
  <c r="AP107" i="1"/>
  <c r="AP15" i="1"/>
  <c r="AO29" i="1"/>
  <c r="AO36" i="1"/>
  <c r="AO15" i="1"/>
  <c r="AO50" i="1"/>
  <c r="AO100" i="1"/>
  <c r="AM106" i="1"/>
  <c r="CM101" i="1"/>
  <c r="AM35" i="1"/>
  <c r="CM51" i="1"/>
  <c r="AM28" i="1"/>
  <c r="CM30" i="1" s="1"/>
  <c r="CM31" i="1" s="1"/>
  <c r="AM21" i="1"/>
  <c r="CM23" i="1" s="1"/>
  <c r="CM24" i="1" s="1"/>
  <c r="AM14" i="1"/>
  <c r="CM16" i="1" s="1"/>
  <c r="CM17" i="1" s="1"/>
  <c r="AM7" i="1"/>
  <c r="CM9" i="1" s="1"/>
  <c r="CM10" i="1" s="1"/>
  <c r="AL35" i="1"/>
  <c r="AL106" i="1"/>
  <c r="AL28" i="1"/>
  <c r="CL30" i="1" s="1"/>
  <c r="CL31" i="1" s="1"/>
  <c r="AL21" i="1"/>
  <c r="CL23" i="1" s="1"/>
  <c r="CL24" i="1" s="1"/>
  <c r="AL14" i="1"/>
  <c r="CL16" i="1" s="1"/>
  <c r="CL17" i="1" s="1"/>
  <c r="AL7" i="1"/>
  <c r="CL9" i="1" s="1"/>
  <c r="CL10" i="1" s="1"/>
  <c r="AK106" i="1"/>
  <c r="AK28" i="1"/>
  <c r="CK30" i="1" s="1"/>
  <c r="CK31" i="1" s="1"/>
  <c r="AK21" i="1"/>
  <c r="CK23" i="1" s="1"/>
  <c r="CK24" i="1" s="1"/>
  <c r="AK14" i="1"/>
  <c r="CK16" i="1" s="1"/>
  <c r="CK17" i="1" s="1"/>
  <c r="AK7" i="1"/>
  <c r="CK9" i="1" s="1"/>
  <c r="CK10" i="1" s="1"/>
  <c r="AJ106" i="1"/>
  <c r="AJ28" i="1"/>
  <c r="CJ30" i="1" s="1"/>
  <c r="CJ31" i="1" s="1"/>
  <c r="AJ21" i="1"/>
  <c r="CJ23" i="1" s="1"/>
  <c r="CJ24" i="1" s="1"/>
  <c r="AJ14" i="1"/>
  <c r="CJ16" i="1" s="1"/>
  <c r="CJ17" i="1" s="1"/>
  <c r="AJ7" i="1"/>
  <c r="CJ9" i="1" s="1"/>
  <c r="CJ10" i="1" s="1"/>
  <c r="AI106" i="1"/>
  <c r="AI28" i="1"/>
  <c r="CI30" i="1" s="1"/>
  <c r="CI31" i="1" s="1"/>
  <c r="AI21" i="1"/>
  <c r="CI23" i="1" s="1"/>
  <c r="CI24" i="1" s="1"/>
  <c r="AI14" i="1"/>
  <c r="CI16" i="1" s="1"/>
  <c r="CI17" i="1" s="1"/>
  <c r="AI7" i="1"/>
  <c r="CI9" i="1" s="1"/>
  <c r="CI10" i="1" s="1"/>
  <c r="AH106" i="1"/>
  <c r="AH28" i="1"/>
  <c r="CH30" i="1" s="1"/>
  <c r="CH31" i="1" s="1"/>
  <c r="AH21" i="1"/>
  <c r="CH23" i="1" s="1"/>
  <c r="CH24" i="1" s="1"/>
  <c r="AH14" i="1"/>
  <c r="CH16" i="1" s="1"/>
  <c r="CH17" i="1" s="1"/>
  <c r="AH7" i="1"/>
  <c r="CH9" i="1" s="1"/>
  <c r="CH10" i="1" s="1"/>
  <c r="AG106" i="1"/>
  <c r="AG28" i="1"/>
  <c r="CG30" i="1" s="1"/>
  <c r="CG31" i="1" s="1"/>
  <c r="AG21" i="1"/>
  <c r="CG23" i="1" s="1"/>
  <c r="CG24" i="1" s="1"/>
  <c r="AG14" i="1"/>
  <c r="CG16" i="1" s="1"/>
  <c r="CG17" i="1" s="1"/>
  <c r="AG7" i="1"/>
  <c r="CG9" i="1" s="1"/>
  <c r="CG10" i="1" s="1"/>
  <c r="AF106" i="1"/>
  <c r="AF28" i="1"/>
  <c r="CF30" i="1" s="1"/>
  <c r="CF31" i="1" s="1"/>
  <c r="AF21" i="1"/>
  <c r="CF23" i="1" s="1"/>
  <c r="CF24" i="1" s="1"/>
  <c r="AF14" i="1"/>
  <c r="CF16" i="1" s="1"/>
  <c r="CF17" i="1" s="1"/>
  <c r="AF7" i="1"/>
  <c r="CF9" i="1" s="1"/>
  <c r="CF10" i="1" s="1"/>
  <c r="AE106" i="1"/>
  <c r="AE28" i="1"/>
  <c r="CE30" i="1" s="1"/>
  <c r="CE31" i="1" s="1"/>
  <c r="AE21" i="1"/>
  <c r="CE23" i="1" s="1"/>
  <c r="CE24" i="1" s="1"/>
  <c r="AE14" i="1"/>
  <c r="CE16" i="1" s="1"/>
  <c r="CE17" i="1" s="1"/>
  <c r="AE7" i="1"/>
  <c r="CE9" i="1" s="1"/>
  <c r="CE10" i="1" s="1"/>
  <c r="AD106" i="1"/>
  <c r="AD28" i="1"/>
  <c r="CD30" i="1" s="1"/>
  <c r="CD31" i="1" s="1"/>
  <c r="AD21" i="1"/>
  <c r="CD23" i="1" s="1"/>
  <c r="CD24" i="1" s="1"/>
  <c r="AD14" i="1"/>
  <c r="CD16" i="1" s="1"/>
  <c r="CD17" i="1" s="1"/>
  <c r="AD7" i="1"/>
  <c r="CD9" i="1" s="1"/>
  <c r="CD10" i="1" s="1"/>
  <c r="AC106" i="1"/>
  <c r="AC28" i="1"/>
  <c r="CC30" i="1" s="1"/>
  <c r="CC31" i="1" s="1"/>
  <c r="AC21" i="1"/>
  <c r="CC23" i="1" s="1"/>
  <c r="CC24" i="1" s="1"/>
  <c r="AC14" i="1"/>
  <c r="CC16" i="1" s="1"/>
  <c r="CC17" i="1" s="1"/>
  <c r="AC7" i="1"/>
  <c r="CC9" i="1" s="1"/>
  <c r="CC10" i="1" s="1"/>
  <c r="AB106" i="1"/>
  <c r="AB28" i="1"/>
  <c r="CB30" i="1" s="1"/>
  <c r="CB31" i="1" s="1"/>
  <c r="AB21" i="1"/>
  <c r="CB23" i="1" s="1"/>
  <c r="CB24" i="1" s="1"/>
  <c r="AB14" i="1"/>
  <c r="CB16" i="1" s="1"/>
  <c r="CB17" i="1" s="1"/>
  <c r="AB7" i="1"/>
  <c r="CB9" i="1" s="1"/>
  <c r="CB10" i="1" s="1"/>
  <c r="AA106" i="1"/>
  <c r="AA28" i="1"/>
  <c r="CA30" i="1" s="1"/>
  <c r="CA31" i="1" s="1"/>
  <c r="AA21" i="1"/>
  <c r="CA23" i="1" s="1"/>
  <c r="CA24" i="1" s="1"/>
  <c r="AA14" i="1"/>
  <c r="CA16" i="1" s="1"/>
  <c r="CA17" i="1" s="1"/>
  <c r="AA7" i="1"/>
  <c r="CA9" i="1" s="1"/>
  <c r="CA10" i="1" s="1"/>
  <c r="Z106" i="1"/>
  <c r="BZ101" i="1"/>
  <c r="Z28" i="1"/>
  <c r="BZ30" i="1" s="1"/>
  <c r="BZ31" i="1" s="1"/>
  <c r="Z21" i="1"/>
  <c r="BZ23" i="1" s="1"/>
  <c r="BZ24" i="1" s="1"/>
  <c r="Z14" i="1"/>
  <c r="BZ16" i="1" s="1"/>
  <c r="BZ17" i="1" s="1"/>
  <c r="Z7" i="1"/>
  <c r="BZ9" i="1" s="1"/>
  <c r="BZ10" i="1" s="1"/>
  <c r="Y106" i="1"/>
  <c r="Y28" i="1"/>
  <c r="BY30" i="1" s="1"/>
  <c r="BY31" i="1" s="1"/>
  <c r="Y21" i="1"/>
  <c r="BY23" i="1" s="1"/>
  <c r="BY24" i="1" s="1"/>
  <c r="Y14" i="1"/>
  <c r="BY16" i="1" s="1"/>
  <c r="BY17" i="1" s="1"/>
  <c r="Y7" i="1"/>
  <c r="BY9" i="1" s="1"/>
  <c r="BY10" i="1" s="1"/>
  <c r="X106" i="1"/>
  <c r="X28" i="1"/>
  <c r="BX30" i="1" s="1"/>
  <c r="BX31" i="1" s="1"/>
  <c r="X21" i="1"/>
  <c r="BX23" i="1" s="1"/>
  <c r="BX24" i="1" s="1"/>
  <c r="X14" i="1"/>
  <c r="BX16" i="1" s="1"/>
  <c r="BX17" i="1" s="1"/>
  <c r="X7" i="1"/>
  <c r="BX9" i="1" s="1"/>
  <c r="BX10" i="1" s="1"/>
  <c r="W106" i="1"/>
  <c r="W28" i="1"/>
  <c r="BW30" i="1" s="1"/>
  <c r="BW31" i="1" s="1"/>
  <c r="W21" i="1"/>
  <c r="BW23" i="1" s="1"/>
  <c r="BW24" i="1" s="1"/>
  <c r="W14" i="1"/>
  <c r="BW16" i="1" s="1"/>
  <c r="BW17" i="1" s="1"/>
  <c r="W7" i="1"/>
  <c r="BW9" i="1" s="1"/>
  <c r="BW10" i="1" s="1"/>
  <c r="V106" i="1"/>
  <c r="V28" i="1"/>
  <c r="BV30" i="1" s="1"/>
  <c r="BV31" i="1" s="1"/>
  <c r="V21" i="1"/>
  <c r="BV23" i="1" s="1"/>
  <c r="BV24" i="1" s="1"/>
  <c r="V14" i="1"/>
  <c r="BV16" i="1" s="1"/>
  <c r="BV17" i="1" s="1"/>
  <c r="V7" i="1"/>
  <c r="BV9" i="1" s="1"/>
  <c r="BV10" i="1" s="1"/>
  <c r="U106" i="1"/>
  <c r="U28" i="1"/>
  <c r="BU30" i="1" s="1"/>
  <c r="BU31" i="1" s="1"/>
  <c r="U21" i="1"/>
  <c r="BU23" i="1" s="1"/>
  <c r="BU24" i="1" s="1"/>
  <c r="U14" i="1"/>
  <c r="BU16" i="1" s="1"/>
  <c r="BU17" i="1" s="1"/>
  <c r="U7" i="1"/>
  <c r="BU9" i="1" s="1"/>
  <c r="BU10" i="1" s="1"/>
  <c r="T106" i="1"/>
  <c r="T28" i="1"/>
  <c r="BT30" i="1" s="1"/>
  <c r="BT31" i="1" s="1"/>
  <c r="T21" i="1"/>
  <c r="BT23" i="1" s="1"/>
  <c r="BT24" i="1" s="1"/>
  <c r="T14" i="1"/>
  <c r="BT16" i="1" s="1"/>
  <c r="BT17" i="1" s="1"/>
  <c r="T7" i="1"/>
  <c r="BT9" i="1" s="1"/>
  <c r="BT10" i="1" s="1"/>
  <c r="S106" i="1"/>
  <c r="S28" i="1"/>
  <c r="BS30" i="1" s="1"/>
  <c r="BS31" i="1" s="1"/>
  <c r="S21" i="1"/>
  <c r="BS23" i="1" s="1"/>
  <c r="BS24" i="1" s="1"/>
  <c r="S14" i="1"/>
  <c r="BS16" i="1" s="1"/>
  <c r="BS17" i="1" s="1"/>
  <c r="S7" i="1"/>
  <c r="BS9" i="1" s="1"/>
  <c r="BS10" i="1" s="1"/>
  <c r="Q106" i="1"/>
  <c r="R106" i="1"/>
  <c r="R28" i="1"/>
  <c r="BR30" i="1" s="1"/>
  <c r="BR31" i="1" s="1"/>
  <c r="Q28" i="1"/>
  <c r="BQ30" i="1" s="1"/>
  <c r="BQ31" i="1" s="1"/>
  <c r="R21" i="1"/>
  <c r="BR23" i="1" s="1"/>
  <c r="BR24" i="1" s="1"/>
  <c r="Q21" i="1"/>
  <c r="BQ23" i="1" s="1"/>
  <c r="BQ24" i="1" s="1"/>
  <c r="R14" i="1"/>
  <c r="BR16" i="1" s="1"/>
  <c r="BR17" i="1" s="1"/>
  <c r="Q14" i="1"/>
  <c r="BQ16" i="1" s="1"/>
  <c r="BQ17" i="1" s="1"/>
  <c r="Q7" i="1"/>
  <c r="BQ9" i="1" s="1"/>
  <c r="BQ10" i="1" s="1"/>
  <c r="R7" i="1"/>
  <c r="BR9" i="1" s="1"/>
  <c r="BR10" i="1" s="1"/>
  <c r="P106" i="1"/>
  <c r="P21" i="1"/>
  <c r="BP23" i="1" s="1"/>
  <c r="BP24" i="1" s="1"/>
  <c r="P28" i="1"/>
  <c r="BP30" i="1" s="1"/>
  <c r="BP31" i="1" s="1"/>
  <c r="P14" i="1"/>
  <c r="BP16" i="1" s="1"/>
  <c r="BP17" i="1" s="1"/>
  <c r="P7" i="1"/>
  <c r="BP9" i="1" s="1"/>
  <c r="BP10" i="1" s="1"/>
  <c r="O106" i="1"/>
  <c r="O28" i="1"/>
  <c r="BO30" i="1" s="1"/>
  <c r="BO31" i="1" s="1"/>
  <c r="O21" i="1"/>
  <c r="BO23" i="1" s="1"/>
  <c r="BO24" i="1" s="1"/>
  <c r="O14" i="1"/>
  <c r="BO16" i="1" s="1"/>
  <c r="BO17" i="1" s="1"/>
  <c r="O7" i="1"/>
  <c r="BO9" i="1" s="1"/>
  <c r="BO10" i="1" s="1"/>
  <c r="E106" i="1"/>
  <c r="F106" i="1"/>
  <c r="G106" i="1"/>
  <c r="H106" i="1"/>
  <c r="I106" i="1"/>
  <c r="J106" i="1"/>
  <c r="K106" i="1"/>
  <c r="L106" i="1"/>
  <c r="M106" i="1"/>
  <c r="N106" i="1"/>
  <c r="D106" i="1"/>
  <c r="HA106" i="1" s="1"/>
  <c r="BF101" i="1"/>
  <c r="N28" i="1"/>
  <c r="BN30" i="1" s="1"/>
  <c r="BN31" i="1" s="1"/>
  <c r="E28" i="1"/>
  <c r="BE30" i="1" s="1"/>
  <c r="BE31" i="1" s="1"/>
  <c r="F28" i="1"/>
  <c r="BF30" i="1" s="1"/>
  <c r="BF31" i="1" s="1"/>
  <c r="G28" i="1"/>
  <c r="BG30" i="1" s="1"/>
  <c r="BG31" i="1" s="1"/>
  <c r="H28" i="1"/>
  <c r="BH30" i="1" s="1"/>
  <c r="BH31" i="1" s="1"/>
  <c r="I28" i="1"/>
  <c r="BI30" i="1" s="1"/>
  <c r="BI31" i="1" s="1"/>
  <c r="J28" i="1"/>
  <c r="BJ30" i="1" s="1"/>
  <c r="BJ31" i="1" s="1"/>
  <c r="K28" i="1"/>
  <c r="BK30" i="1" s="1"/>
  <c r="BK31" i="1" s="1"/>
  <c r="L28" i="1"/>
  <c r="BL30" i="1" s="1"/>
  <c r="BL31" i="1" s="1"/>
  <c r="M28" i="1"/>
  <c r="BM30" i="1" s="1"/>
  <c r="BM31" i="1" s="1"/>
  <c r="D28" i="1"/>
  <c r="E21" i="1"/>
  <c r="BE23" i="1" s="1"/>
  <c r="BE24" i="1" s="1"/>
  <c r="F21" i="1"/>
  <c r="BF23" i="1" s="1"/>
  <c r="BF24" i="1" s="1"/>
  <c r="G21" i="1"/>
  <c r="BG23" i="1" s="1"/>
  <c r="BG24" i="1" s="1"/>
  <c r="H21" i="1"/>
  <c r="BH23" i="1" s="1"/>
  <c r="BH24" i="1" s="1"/>
  <c r="I21" i="1"/>
  <c r="BI23" i="1" s="1"/>
  <c r="BI24" i="1" s="1"/>
  <c r="J21" i="1"/>
  <c r="BJ23" i="1" s="1"/>
  <c r="BJ24" i="1" s="1"/>
  <c r="K21" i="1"/>
  <c r="BK23" i="1" s="1"/>
  <c r="BK24" i="1" s="1"/>
  <c r="L21" i="1"/>
  <c r="BL23" i="1" s="1"/>
  <c r="BL24" i="1" s="1"/>
  <c r="M21" i="1"/>
  <c r="BM23" i="1" s="1"/>
  <c r="BM24" i="1" s="1"/>
  <c r="N21" i="1"/>
  <c r="BN23" i="1" s="1"/>
  <c r="BN24" i="1" s="1"/>
  <c r="D21" i="1"/>
  <c r="E14" i="1"/>
  <c r="BE16" i="1" s="1"/>
  <c r="BE17" i="1" s="1"/>
  <c r="F14" i="1"/>
  <c r="BF16" i="1" s="1"/>
  <c r="BF17" i="1" s="1"/>
  <c r="G14" i="1"/>
  <c r="BG16" i="1" s="1"/>
  <c r="BG17" i="1" s="1"/>
  <c r="H14" i="1"/>
  <c r="BH16" i="1" s="1"/>
  <c r="BH17" i="1" s="1"/>
  <c r="I14" i="1"/>
  <c r="BI16" i="1" s="1"/>
  <c r="BI17" i="1" s="1"/>
  <c r="J14" i="1"/>
  <c r="BJ16" i="1" s="1"/>
  <c r="BJ17" i="1" s="1"/>
  <c r="K14" i="1"/>
  <c r="BK16" i="1" s="1"/>
  <c r="BK17" i="1" s="1"/>
  <c r="L14" i="1"/>
  <c r="BL16" i="1" s="1"/>
  <c r="BL17" i="1" s="1"/>
  <c r="M14" i="1"/>
  <c r="BM16" i="1" s="1"/>
  <c r="BM17" i="1" s="1"/>
  <c r="N14" i="1"/>
  <c r="BN16" i="1" s="1"/>
  <c r="BN17" i="1" s="1"/>
  <c r="D14" i="1"/>
  <c r="E7" i="1"/>
  <c r="BE9" i="1" s="1"/>
  <c r="BE10" i="1" s="1"/>
  <c r="F7" i="1"/>
  <c r="BF9" i="1" s="1"/>
  <c r="BF10" i="1" s="1"/>
  <c r="G7" i="1"/>
  <c r="BG9" i="1" s="1"/>
  <c r="BG10" i="1" s="1"/>
  <c r="H7" i="1"/>
  <c r="BH9" i="1" s="1"/>
  <c r="BH10" i="1" s="1"/>
  <c r="I7" i="1"/>
  <c r="BI9" i="1" s="1"/>
  <c r="BI10" i="1" s="1"/>
  <c r="J7" i="1"/>
  <c r="BJ9" i="1" s="1"/>
  <c r="BJ10" i="1" s="1"/>
  <c r="K7" i="1"/>
  <c r="BK9" i="1" s="1"/>
  <c r="BK10" i="1" s="1"/>
  <c r="L7" i="1"/>
  <c r="BL9" i="1" s="1"/>
  <c r="BL10" i="1" s="1"/>
  <c r="M7" i="1"/>
  <c r="BM9" i="1" s="1"/>
  <c r="BM10" i="1" s="1"/>
  <c r="N7" i="1"/>
  <c r="BN9" i="1" s="1"/>
  <c r="BN10" i="1" s="1"/>
  <c r="D7" i="1"/>
  <c r="HA21" i="1" l="1"/>
  <c r="HA7" i="1"/>
  <c r="HA28" i="1"/>
  <c r="HA35" i="1"/>
  <c r="HA14" i="1"/>
  <c r="AY125" i="1"/>
  <c r="CY127" i="1" s="1"/>
  <c r="S118" i="1"/>
  <c r="BS120" i="1" s="1"/>
  <c r="AA118" i="1"/>
  <c r="CA120" i="1" s="1"/>
  <c r="R118" i="1"/>
  <c r="BR120" i="1" s="1"/>
  <c r="H118" i="1"/>
  <c r="O118" i="1"/>
  <c r="BO120" i="1" s="1"/>
  <c r="W118" i="1"/>
  <c r="BW120" i="1" s="1"/>
  <c r="L118" i="1"/>
  <c r="BL120" i="1" s="1"/>
  <c r="AC118" i="1"/>
  <c r="CC120" i="1" s="1"/>
  <c r="AM118" i="1"/>
  <c r="CM120" i="1" s="1"/>
  <c r="AL118" i="1"/>
  <c r="CL120" i="1" s="1"/>
  <c r="AE118" i="1"/>
  <c r="CE120" i="1" s="1"/>
  <c r="AG118" i="1"/>
  <c r="AI118" i="1"/>
  <c r="Z118" i="1"/>
  <c r="BZ120" i="1" s="1"/>
  <c r="AD118" i="1"/>
  <c r="CD120" i="1" s="1"/>
  <c r="AH118" i="1"/>
  <c r="CH120" i="1" s="1"/>
  <c r="S77" i="1"/>
  <c r="BS79" i="1" s="1"/>
  <c r="U118" i="1"/>
  <c r="BU120" i="1" s="1"/>
  <c r="Y118" i="1"/>
  <c r="BY120" i="1" s="1"/>
  <c r="AI77" i="1"/>
  <c r="CI79" i="1" s="1"/>
  <c r="AK118" i="1"/>
  <c r="CK120" i="1" s="1"/>
  <c r="F77" i="1"/>
  <c r="BF79" i="1" s="1"/>
  <c r="M77" i="1"/>
  <c r="BM79" i="1" s="1"/>
  <c r="I77" i="1"/>
  <c r="BI79" i="1" s="1"/>
  <c r="E77" i="1"/>
  <c r="D118" i="1"/>
  <c r="K118" i="1"/>
  <c r="BK120" i="1" s="1"/>
  <c r="G118" i="1"/>
  <c r="BG120" i="1" s="1"/>
  <c r="P118" i="1"/>
  <c r="BP120" i="1" s="1"/>
  <c r="T118" i="1"/>
  <c r="BT120" i="1" s="1"/>
  <c r="V77" i="1"/>
  <c r="BV79" i="1" s="1"/>
  <c r="X118" i="1"/>
  <c r="BX120" i="1" s="1"/>
  <c r="Z77" i="1"/>
  <c r="BZ79" i="1" s="1"/>
  <c r="AB118" i="1"/>
  <c r="CB120" i="1" s="1"/>
  <c r="AD77" i="1"/>
  <c r="CD79" i="1" s="1"/>
  <c r="AF118" i="1"/>
  <c r="CF120" i="1" s="1"/>
  <c r="AH77" i="1"/>
  <c r="CH79" i="1" s="1"/>
  <c r="AJ118" i="1"/>
  <c r="CJ120" i="1" s="1"/>
  <c r="N77" i="1"/>
  <c r="BN79" i="1" s="1"/>
  <c r="W77" i="1"/>
  <c r="BW79" i="1" s="1"/>
  <c r="AA77" i="1"/>
  <c r="CA79" i="1" s="1"/>
  <c r="AL77" i="1"/>
  <c r="CL79" i="1" s="1"/>
  <c r="L77" i="1"/>
  <c r="BL79" i="1" s="1"/>
  <c r="H77" i="1"/>
  <c r="BH79" i="1" s="1"/>
  <c r="N118" i="1"/>
  <c r="BN120" i="1" s="1"/>
  <c r="J118" i="1"/>
  <c r="BJ120" i="1" s="1"/>
  <c r="F118" i="1"/>
  <c r="BF120" i="1" s="1"/>
  <c r="Q77" i="1"/>
  <c r="BQ79" i="1" s="1"/>
  <c r="U77" i="1"/>
  <c r="BU79" i="1" s="1"/>
  <c r="Y77" i="1"/>
  <c r="BY79" i="1" s="1"/>
  <c r="AC77" i="1"/>
  <c r="CC79" i="1" s="1"/>
  <c r="AG77" i="1"/>
  <c r="CG79" i="1" s="1"/>
  <c r="AK77" i="1"/>
  <c r="CK79" i="1" s="1"/>
  <c r="CK80" i="1" s="1"/>
  <c r="CM37" i="1"/>
  <c r="CM38" i="1" s="1"/>
  <c r="AM77" i="1"/>
  <c r="CM79" i="1" s="1"/>
  <c r="J77" i="1"/>
  <c r="BJ79" i="1" s="1"/>
  <c r="O77" i="1"/>
  <c r="BO79" i="1" s="1"/>
  <c r="AE77" i="1"/>
  <c r="CE79" i="1" s="1"/>
  <c r="D77" i="1"/>
  <c r="K77" i="1"/>
  <c r="BK79" i="1" s="1"/>
  <c r="G77" i="1"/>
  <c r="BG79" i="1" s="1"/>
  <c r="M118" i="1"/>
  <c r="BM120" i="1" s="1"/>
  <c r="I118" i="1"/>
  <c r="BI120" i="1" s="1"/>
  <c r="E118" i="1"/>
  <c r="P77" i="1"/>
  <c r="BP79" i="1" s="1"/>
  <c r="R77" i="1"/>
  <c r="BR79" i="1" s="1"/>
  <c r="Q118" i="1"/>
  <c r="BQ120" i="1" s="1"/>
  <c r="T77" i="1"/>
  <c r="BT79" i="1" s="1"/>
  <c r="V118" i="1"/>
  <c r="BV120" i="1" s="1"/>
  <c r="X77" i="1"/>
  <c r="BX79" i="1" s="1"/>
  <c r="AB77" i="1"/>
  <c r="CB79" i="1" s="1"/>
  <c r="AF77" i="1"/>
  <c r="CF79" i="1" s="1"/>
  <c r="AJ77" i="1"/>
  <c r="CJ79" i="1" s="1"/>
  <c r="CJ80" i="1" s="1"/>
  <c r="CY79" i="1"/>
  <c r="CY80" i="1" s="1"/>
  <c r="BD16" i="1"/>
  <c r="BD17" i="1" s="1"/>
  <c r="CL37" i="1"/>
  <c r="CL38" i="1" s="1"/>
  <c r="BD30" i="1"/>
  <c r="BD31" i="1" s="1"/>
  <c r="BD23" i="1"/>
  <c r="BD24" i="1" s="1"/>
  <c r="BD9" i="1"/>
  <c r="BD10" i="1" s="1"/>
  <c r="AQ125" i="1"/>
  <c r="CQ127" i="1" s="1"/>
  <c r="AP125" i="1"/>
  <c r="CP127" i="1" s="1"/>
  <c r="AX125" i="1"/>
  <c r="CX127" i="1" s="1"/>
  <c r="BH108" i="1"/>
  <c r="BH109" i="1" s="1"/>
  <c r="BH120" i="1"/>
  <c r="BY108" i="1"/>
  <c r="BY109" i="1" s="1"/>
  <c r="BD125" i="1"/>
  <c r="BG108" i="1"/>
  <c r="BG109" i="1" s="1"/>
  <c r="BP108" i="1"/>
  <c r="BP109" i="1" s="1"/>
  <c r="BX108" i="1"/>
  <c r="BX109" i="1" s="1"/>
  <c r="BL125" i="1"/>
  <c r="DL127" i="1" s="1"/>
  <c r="BB125" i="1"/>
  <c r="BN108" i="1"/>
  <c r="BN109" i="1" s="1"/>
  <c r="BF108" i="1"/>
  <c r="BF109" i="1" s="1"/>
  <c r="BO108" i="1"/>
  <c r="BO109" i="1" s="1"/>
  <c r="BW108" i="1"/>
  <c r="BW109" i="1" s="1"/>
  <c r="BI125" i="1"/>
  <c r="DI127" i="1" s="1"/>
  <c r="BA125" i="1"/>
  <c r="BM108" i="1"/>
  <c r="BM109" i="1" s="1"/>
  <c r="BV108" i="1"/>
  <c r="BV109" i="1" s="1"/>
  <c r="AS125" i="1"/>
  <c r="CS127" i="1" s="1"/>
  <c r="BF125" i="1"/>
  <c r="DF127" i="1" s="1"/>
  <c r="AR125" i="1"/>
  <c r="AZ125" i="1"/>
  <c r="CZ127" i="1" s="1"/>
  <c r="BL108" i="1"/>
  <c r="BL109" i="1" s="1"/>
  <c r="BU108" i="1"/>
  <c r="BU109" i="1" s="1"/>
  <c r="AU125" i="1"/>
  <c r="CU127" i="1" s="1"/>
  <c r="BK108" i="1"/>
  <c r="BK109" i="1" s="1"/>
  <c r="BT108" i="1"/>
  <c r="BT109" i="1" s="1"/>
  <c r="BC125" i="1"/>
  <c r="BJ125" i="1"/>
  <c r="DJ127" i="1" s="1"/>
  <c r="BH125" i="1"/>
  <c r="DH127" i="1" s="1"/>
  <c r="AW125" i="1"/>
  <c r="CW127" i="1" s="1"/>
  <c r="BJ108" i="1"/>
  <c r="BJ109" i="1" s="1"/>
  <c r="BR108" i="1"/>
  <c r="BR109" i="1" s="1"/>
  <c r="BS108" i="1"/>
  <c r="BS109" i="1" s="1"/>
  <c r="CA108" i="1"/>
  <c r="CA109" i="1" s="1"/>
  <c r="AO125" i="1"/>
  <c r="AV125" i="1"/>
  <c r="CV127" i="1" s="1"/>
  <c r="BI108" i="1"/>
  <c r="BI109" i="1" s="1"/>
  <c r="BQ108" i="1"/>
  <c r="BQ109" i="1" s="1"/>
  <c r="BZ108" i="1"/>
  <c r="AT125" i="1"/>
  <c r="BK125" i="1"/>
  <c r="DK127" i="1" s="1"/>
  <c r="BE125" i="1"/>
  <c r="DE127" i="1" s="1"/>
  <c r="BG125" i="1"/>
  <c r="DG127" i="1" s="1"/>
  <c r="AN125" i="1"/>
  <c r="BN51" i="1"/>
  <c r="BN52" i="1" s="1"/>
  <c r="BM51" i="1"/>
  <c r="BM52" i="1" s="1"/>
  <c r="BL51" i="1"/>
  <c r="BL52" i="1" s="1"/>
  <c r="BK51" i="1"/>
  <c r="BK52" i="1" s="1"/>
  <c r="BJ51" i="1"/>
  <c r="BJ52" i="1" s="1"/>
  <c r="BI51" i="1"/>
  <c r="BI52" i="1" s="1"/>
  <c r="BH51" i="1"/>
  <c r="BH52" i="1" s="1"/>
  <c r="BG51" i="1"/>
  <c r="BG52" i="1" s="1"/>
  <c r="BF51" i="1"/>
  <c r="BF52" i="1" s="1"/>
  <c r="BO51" i="1"/>
  <c r="BO52" i="1" s="1"/>
  <c r="BP51" i="1"/>
  <c r="BP52" i="1" s="1"/>
  <c r="BQ51" i="1"/>
  <c r="BQ52" i="1" s="1"/>
  <c r="BR51" i="1"/>
  <c r="BR52" i="1" s="1"/>
  <c r="BS51" i="1"/>
  <c r="BS52" i="1" s="1"/>
  <c r="BT51" i="1"/>
  <c r="BT52" i="1" s="1"/>
  <c r="BU51" i="1"/>
  <c r="BU52" i="1" s="1"/>
  <c r="BV51" i="1"/>
  <c r="BV52" i="1" s="1"/>
  <c r="BW51" i="1"/>
  <c r="BW52" i="1" s="1"/>
  <c r="BX51" i="1"/>
  <c r="BX52" i="1" s="1"/>
  <c r="BY51" i="1"/>
  <c r="BY52" i="1" s="1"/>
  <c r="BZ51" i="1"/>
  <c r="CA51" i="1"/>
  <c r="CA52" i="1" s="1"/>
  <c r="CB51" i="1"/>
  <c r="CB52" i="1" s="1"/>
  <c r="CC51" i="1"/>
  <c r="CC52" i="1" s="1"/>
  <c r="CD51" i="1"/>
  <c r="CD52" i="1" s="1"/>
  <c r="CE51" i="1"/>
  <c r="CE52" i="1" s="1"/>
  <c r="CF51" i="1"/>
  <c r="CF52" i="1" s="1"/>
  <c r="CG51" i="1"/>
  <c r="CG52" i="1" s="1"/>
  <c r="CH51" i="1"/>
  <c r="CH52" i="1" s="1"/>
  <c r="CI51" i="1"/>
  <c r="CI52" i="1" s="1"/>
  <c r="CJ51" i="1"/>
  <c r="CK51" i="1"/>
  <c r="BE101" i="1"/>
  <c r="BE102" i="1" s="1"/>
  <c r="BE108" i="1"/>
  <c r="BE109" i="1" s="1"/>
  <c r="BE51" i="1"/>
  <c r="BE52" i="1" s="1"/>
  <c r="DX128" i="1"/>
  <c r="BK101" i="1"/>
  <c r="BK102" i="1" s="1"/>
  <c r="BV101" i="1"/>
  <c r="BV102" i="1" s="1"/>
  <c r="CD101" i="1"/>
  <c r="CD102" i="1" s="1"/>
  <c r="CE108" i="1"/>
  <c r="CE109" i="1" s="1"/>
  <c r="CL101" i="1"/>
  <c r="CL102" i="1" s="1"/>
  <c r="DI120" i="1"/>
  <c r="DI121" i="1" s="1"/>
  <c r="CZ120" i="1"/>
  <c r="CZ121" i="1" s="1"/>
  <c r="CQ120" i="1"/>
  <c r="CQ121" i="1" s="1"/>
  <c r="DJ120" i="1"/>
  <c r="DJ121" i="1" s="1"/>
  <c r="BW101" i="1"/>
  <c r="BW102" i="1" s="1"/>
  <c r="BD51" i="1"/>
  <c r="BD52" i="1" s="1"/>
  <c r="BJ101" i="1"/>
  <c r="BJ102" i="1" s="1"/>
  <c r="BU101" i="1"/>
  <c r="BU102" i="1" s="1"/>
  <c r="CC101" i="1"/>
  <c r="CC102" i="1" s="1"/>
  <c r="CD108" i="1"/>
  <c r="CD109" i="1" s="1"/>
  <c r="CK101" i="1"/>
  <c r="CK102" i="1" s="1"/>
  <c r="CL108" i="1"/>
  <c r="CL109" i="1" s="1"/>
  <c r="CO120" i="1"/>
  <c r="CO121" i="1" s="1"/>
  <c r="CY120" i="1"/>
  <c r="CY121" i="1" s="1"/>
  <c r="BD108" i="1"/>
  <c r="BD109" i="1" s="1"/>
  <c r="CL51" i="1"/>
  <c r="CL52" i="1" s="1"/>
  <c r="BI101" i="1"/>
  <c r="BI102" i="1" s="1"/>
  <c r="BQ101" i="1"/>
  <c r="BQ102" i="1" s="1"/>
  <c r="BT101" i="1"/>
  <c r="BT102" i="1" s="1"/>
  <c r="CB101" i="1"/>
  <c r="CB102" i="1" s="1"/>
  <c r="CC108" i="1"/>
  <c r="CC109" i="1" s="1"/>
  <c r="CJ101" i="1"/>
  <c r="CJ102" i="1" s="1"/>
  <c r="CK108" i="1"/>
  <c r="CK109" i="1" s="1"/>
  <c r="CM108" i="1"/>
  <c r="CM109" i="1" s="1"/>
  <c r="CW120" i="1"/>
  <c r="CW121" i="1" s="1"/>
  <c r="CX120" i="1"/>
  <c r="CX121" i="1" s="1"/>
  <c r="CF108" i="1"/>
  <c r="CF109" i="1" s="1"/>
  <c r="DA120" i="1"/>
  <c r="DA121" i="1" s="1"/>
  <c r="BH101" i="1"/>
  <c r="BH102" i="1" s="1"/>
  <c r="CI101" i="1"/>
  <c r="CI102" i="1" s="1"/>
  <c r="BD101" i="1"/>
  <c r="BD102" i="1" s="1"/>
  <c r="BG101" i="1"/>
  <c r="BG102" i="1" s="1"/>
  <c r="CH101" i="1"/>
  <c r="CH102" i="1" s="1"/>
  <c r="CI108" i="1"/>
  <c r="CI109" i="1" s="1"/>
  <c r="BS101" i="1"/>
  <c r="BS102" i="1" s="1"/>
  <c r="CB108" i="1"/>
  <c r="CB109" i="1" s="1"/>
  <c r="CJ108" i="1"/>
  <c r="CJ109" i="1" s="1"/>
  <c r="BN101" i="1"/>
  <c r="BN102" i="1" s="1"/>
  <c r="BY101" i="1"/>
  <c r="BY102" i="1" s="1"/>
  <c r="CG101" i="1"/>
  <c r="CG102" i="1" s="1"/>
  <c r="CH108" i="1"/>
  <c r="CH109" i="1" s="1"/>
  <c r="DK120" i="1"/>
  <c r="DK121" i="1" s="1"/>
  <c r="BL101" i="1"/>
  <c r="BL102" i="1" s="1"/>
  <c r="BO101" i="1"/>
  <c r="BO102" i="1" s="1"/>
  <c r="CE101" i="1"/>
  <c r="CE102" i="1" s="1"/>
  <c r="BR101" i="1"/>
  <c r="BR102" i="1" s="1"/>
  <c r="CA101" i="1"/>
  <c r="CA102" i="1" s="1"/>
  <c r="BM101" i="1"/>
  <c r="BM102" i="1" s="1"/>
  <c r="BP101" i="1"/>
  <c r="BP102" i="1" s="1"/>
  <c r="BX101" i="1"/>
  <c r="BX102" i="1" s="1"/>
  <c r="CF101" i="1"/>
  <c r="CF102" i="1" s="1"/>
  <c r="CG108" i="1"/>
  <c r="CG109" i="1" s="1"/>
  <c r="DD120" i="1"/>
  <c r="DD121" i="1" s="1"/>
  <c r="DB120" i="1"/>
  <c r="DB121" i="1" s="1"/>
  <c r="DC120" i="1"/>
  <c r="DC121" i="1" s="1"/>
  <c r="DU128" i="1"/>
  <c r="DT132" i="1"/>
  <c r="DS132" i="1"/>
  <c r="DS128" i="1"/>
  <c r="DM128" i="1"/>
  <c r="DM132" i="1"/>
  <c r="DL121" i="1"/>
  <c r="DL80" i="1"/>
  <c r="DL45" i="1"/>
  <c r="DJ80" i="1"/>
  <c r="DC80" i="1"/>
  <c r="DI80" i="1"/>
  <c r="DH121" i="1"/>
  <c r="DH80" i="1"/>
  <c r="DH45" i="1"/>
  <c r="DG80" i="1"/>
  <c r="DG121" i="1"/>
  <c r="DF80" i="1"/>
  <c r="DF121" i="1"/>
  <c r="DE80" i="1"/>
  <c r="BF102" i="1"/>
  <c r="DE121" i="1"/>
  <c r="DB80" i="1"/>
  <c r="BR126" i="1"/>
  <c r="CN80" i="1"/>
  <c r="BT126" i="1"/>
  <c r="CR80" i="1"/>
  <c r="CV80" i="1"/>
  <c r="CP80" i="1"/>
  <c r="CS121" i="1"/>
  <c r="CN121" i="1"/>
  <c r="CT121" i="1"/>
  <c r="CP121" i="1"/>
  <c r="BS126" i="1"/>
  <c r="CV121" i="1"/>
  <c r="CR121" i="1"/>
  <c r="CT80" i="1"/>
  <c r="CU121" i="1"/>
  <c r="CU80" i="1"/>
  <c r="BV126" i="1"/>
  <c r="CS80" i="1"/>
  <c r="BN126" i="1"/>
  <c r="BO126" i="1"/>
  <c r="BU126" i="1"/>
  <c r="BP126" i="1"/>
  <c r="BQ126" i="1"/>
  <c r="BI78" i="1"/>
  <c r="AN50" i="1"/>
  <c r="CM52" i="1"/>
  <c r="BJ78" i="1"/>
  <c r="BE78" i="1"/>
  <c r="AW78" i="1"/>
  <c r="AP78" i="1"/>
  <c r="AV78" i="1"/>
  <c r="BM78" i="1"/>
  <c r="BA78" i="1"/>
  <c r="AU78" i="1"/>
  <c r="AN100" i="1"/>
  <c r="CM102" i="1"/>
  <c r="AY78" i="1"/>
  <c r="AS78" i="1"/>
  <c r="BB78" i="1"/>
  <c r="AR78" i="1"/>
  <c r="AO78" i="1"/>
  <c r="BH78" i="1"/>
  <c r="AT78" i="1"/>
  <c r="BD78" i="1"/>
  <c r="AQ78" i="1"/>
  <c r="BL78" i="1"/>
  <c r="AX78" i="1"/>
  <c r="BG78" i="1"/>
  <c r="BK78" i="1"/>
  <c r="BF78" i="1"/>
  <c r="BC78" i="1"/>
  <c r="AZ78" i="1"/>
  <c r="BZ102" i="1"/>
  <c r="BF119" i="1"/>
  <c r="BL119" i="1"/>
  <c r="BM119" i="1"/>
  <c r="BH119" i="1"/>
  <c r="BJ119" i="1"/>
  <c r="AZ119" i="1"/>
  <c r="AQ119" i="1"/>
  <c r="AW119" i="1"/>
  <c r="BD119" i="1"/>
  <c r="AU119" i="1"/>
  <c r="BG119" i="1"/>
  <c r="BE119" i="1"/>
  <c r="BB119" i="1"/>
  <c r="AS119" i="1"/>
  <c r="AY119" i="1"/>
  <c r="AP119" i="1"/>
  <c r="BK119" i="1"/>
  <c r="AV119" i="1"/>
  <c r="AX119" i="1"/>
  <c r="AT119" i="1"/>
  <c r="BI119" i="1"/>
  <c r="AO119" i="1"/>
  <c r="BA119" i="1"/>
  <c r="AR119" i="1"/>
  <c r="BC119" i="1"/>
  <c r="O22" i="1"/>
  <c r="AL8" i="1"/>
  <c r="AM36" i="1"/>
  <c r="AN36" i="1"/>
  <c r="AN15" i="1"/>
  <c r="AL100" i="1"/>
  <c r="AM22" i="1"/>
  <c r="AM100" i="1"/>
  <c r="AN22" i="1"/>
  <c r="AM29" i="1"/>
  <c r="AN29" i="1"/>
  <c r="AM107" i="1"/>
  <c r="AN107" i="1"/>
  <c r="AM8" i="1"/>
  <c r="AM50" i="1"/>
  <c r="AN8" i="1"/>
  <c r="AL107" i="1"/>
  <c r="AL22" i="1"/>
  <c r="AL29" i="1"/>
  <c r="AM15" i="1"/>
  <c r="AL50" i="1"/>
  <c r="AL15" i="1"/>
  <c r="AL36" i="1"/>
  <c r="AI100" i="1"/>
  <c r="AJ107" i="1"/>
  <c r="AH8" i="1"/>
  <c r="AJ22" i="1"/>
  <c r="AK29" i="1"/>
  <c r="AI22" i="1"/>
  <c r="AJ29" i="1"/>
  <c r="AK50" i="1"/>
  <c r="AK8" i="1"/>
  <c r="AI50" i="1"/>
  <c r="AJ100" i="1"/>
  <c r="AK107" i="1"/>
  <c r="AK22" i="1"/>
  <c r="AJ50" i="1"/>
  <c r="AK100" i="1"/>
  <c r="AK15" i="1"/>
  <c r="AJ8" i="1"/>
  <c r="AI8" i="1"/>
  <c r="AJ15" i="1"/>
  <c r="AF8" i="1"/>
  <c r="AI29" i="1"/>
  <c r="AH29" i="1"/>
  <c r="AE8" i="1"/>
  <c r="AD15" i="1"/>
  <c r="AI107" i="1"/>
  <c r="AD100" i="1"/>
  <c r="AG8" i="1"/>
  <c r="AH22" i="1"/>
  <c r="AI15" i="1"/>
  <c r="AF22" i="1"/>
  <c r="AH50" i="1"/>
  <c r="AH100" i="1"/>
  <c r="AG107" i="1"/>
  <c r="AH15" i="1"/>
  <c r="AG50" i="1"/>
  <c r="AG29" i="1"/>
  <c r="AG22" i="1"/>
  <c r="AH107" i="1"/>
  <c r="AE50" i="1"/>
  <c r="AG100" i="1"/>
  <c r="AE107" i="1"/>
  <c r="AF107" i="1"/>
  <c r="AG15" i="1"/>
  <c r="AB50" i="1"/>
  <c r="AD22" i="1"/>
  <c r="AD50" i="1"/>
  <c r="AE22" i="1"/>
  <c r="AF15" i="1"/>
  <c r="AF50" i="1"/>
  <c r="AD29" i="1"/>
  <c r="AF100" i="1"/>
  <c r="AE100" i="1"/>
  <c r="AE29" i="1"/>
  <c r="AF29" i="1"/>
  <c r="AB22" i="1"/>
  <c r="AD8" i="1"/>
  <c r="AE15" i="1"/>
  <c r="AA8" i="1"/>
  <c r="AC107" i="1"/>
  <c r="AC29" i="1"/>
  <c r="AD107" i="1"/>
  <c r="Y8" i="1"/>
  <c r="Z15" i="1"/>
  <c r="AC8" i="1"/>
  <c r="AC50" i="1"/>
  <c r="AC15" i="1"/>
  <c r="AC100" i="1"/>
  <c r="AA29" i="1"/>
  <c r="AB29" i="1"/>
  <c r="AB15" i="1"/>
  <c r="AC22" i="1"/>
  <c r="Z29" i="1"/>
  <c r="AB100" i="1"/>
  <c r="AA107" i="1"/>
  <c r="Y107" i="1"/>
  <c r="AA50" i="1"/>
  <c r="AB8" i="1"/>
  <c r="AB107" i="1"/>
  <c r="Z100" i="1"/>
  <c r="Z107" i="1"/>
  <c r="AA15" i="1"/>
  <c r="AA100" i="1"/>
  <c r="Z50" i="1"/>
  <c r="Z22" i="1"/>
  <c r="AA22" i="1"/>
  <c r="Y50" i="1"/>
  <c r="Z8" i="1"/>
  <c r="X50" i="1"/>
  <c r="Y15" i="1"/>
  <c r="W100" i="1"/>
  <c r="X22" i="1"/>
  <c r="X107" i="1"/>
  <c r="Y100" i="1"/>
  <c r="V100" i="1"/>
  <c r="W22" i="1"/>
  <c r="W107" i="1"/>
  <c r="Y29" i="1"/>
  <c r="X100" i="1"/>
  <c r="Y22" i="1"/>
  <c r="X29" i="1"/>
  <c r="U15" i="1"/>
  <c r="V22" i="1"/>
  <c r="X8" i="1"/>
  <c r="X15" i="1"/>
  <c r="V8" i="1"/>
  <c r="W8" i="1"/>
  <c r="V50" i="1"/>
  <c r="W15" i="1"/>
  <c r="W50" i="1"/>
  <c r="W29" i="1"/>
  <c r="U22" i="1"/>
  <c r="U29" i="1"/>
  <c r="V29" i="1"/>
  <c r="V107" i="1"/>
  <c r="U100" i="1"/>
  <c r="V15" i="1"/>
  <c r="U8" i="1"/>
  <c r="U50" i="1"/>
  <c r="U107" i="1"/>
  <c r="R8" i="1"/>
  <c r="R107" i="1"/>
  <c r="S22" i="1"/>
  <c r="T107" i="1"/>
  <c r="S50" i="1"/>
  <c r="T100" i="1"/>
  <c r="T15" i="1"/>
  <c r="T50" i="1"/>
  <c r="Q100" i="1"/>
  <c r="S8" i="1"/>
  <c r="L100" i="1"/>
  <c r="H100" i="1"/>
  <c r="Q107" i="1"/>
  <c r="T22" i="1"/>
  <c r="Q8" i="1"/>
  <c r="T29" i="1"/>
  <c r="T8" i="1"/>
  <c r="S15" i="1"/>
  <c r="S107" i="1"/>
  <c r="R29" i="1"/>
  <c r="S100" i="1"/>
  <c r="R22" i="1"/>
  <c r="R50" i="1"/>
  <c r="S29" i="1"/>
  <c r="R100" i="1"/>
  <c r="Q22" i="1"/>
  <c r="Q50" i="1"/>
  <c r="Q29" i="1"/>
  <c r="O50" i="1"/>
  <c r="R15" i="1"/>
  <c r="F15" i="1"/>
  <c r="M22" i="1"/>
  <c r="I22" i="1"/>
  <c r="K50" i="1"/>
  <c r="G50" i="1"/>
  <c r="J100" i="1"/>
  <c r="F100" i="1"/>
  <c r="P8" i="1"/>
  <c r="Q15" i="1"/>
  <c r="P29" i="1"/>
  <c r="O107" i="1"/>
  <c r="P22" i="1"/>
  <c r="P50" i="1"/>
  <c r="P15" i="1"/>
  <c r="P100" i="1"/>
  <c r="P107" i="1"/>
  <c r="M100" i="1"/>
  <c r="I100" i="1"/>
  <c r="L107" i="1"/>
  <c r="H107" i="1"/>
  <c r="O8" i="1"/>
  <c r="O29" i="1"/>
  <c r="O15" i="1"/>
  <c r="O100" i="1"/>
  <c r="J107" i="1"/>
  <c r="F107" i="1"/>
  <c r="E107" i="1"/>
  <c r="K107" i="1"/>
  <c r="G107" i="1"/>
  <c r="I107" i="1"/>
  <c r="E100" i="1"/>
  <c r="K22" i="1"/>
  <c r="G22" i="1"/>
  <c r="M29" i="1"/>
  <c r="I29" i="1"/>
  <c r="M50" i="1"/>
  <c r="I50" i="1"/>
  <c r="E50" i="1"/>
  <c r="L50" i="1"/>
  <c r="H50" i="1"/>
  <c r="K100" i="1"/>
  <c r="G100" i="1"/>
  <c r="M107" i="1"/>
  <c r="N107" i="1"/>
  <c r="N100" i="1"/>
  <c r="E22" i="1"/>
  <c r="J8" i="1"/>
  <c r="F8" i="1"/>
  <c r="M15" i="1"/>
  <c r="J29" i="1"/>
  <c r="F29" i="1"/>
  <c r="N50" i="1"/>
  <c r="J50" i="1"/>
  <c r="F50" i="1"/>
  <c r="E29" i="1"/>
  <c r="L29" i="1"/>
  <c r="H29" i="1"/>
  <c r="N29" i="1"/>
  <c r="K29" i="1"/>
  <c r="G29" i="1"/>
  <c r="I15" i="1"/>
  <c r="L22" i="1"/>
  <c r="H22" i="1"/>
  <c r="L8" i="1"/>
  <c r="H8" i="1"/>
  <c r="N22" i="1"/>
  <c r="J22" i="1"/>
  <c r="F22" i="1"/>
  <c r="K8" i="1"/>
  <c r="G8" i="1"/>
  <c r="N15" i="1"/>
  <c r="K15" i="1"/>
  <c r="E15" i="1"/>
  <c r="M8" i="1"/>
  <c r="L15" i="1"/>
  <c r="H15" i="1"/>
  <c r="N8" i="1"/>
  <c r="G15" i="1"/>
  <c r="J15" i="1"/>
  <c r="I8" i="1"/>
  <c r="E8" i="1"/>
  <c r="HA118" i="1" l="1"/>
  <c r="HA77" i="1"/>
  <c r="D125" i="1"/>
  <c r="AC125" i="1"/>
  <c r="CC127" i="1" s="1"/>
  <c r="AA125" i="1"/>
  <c r="CA127" i="1" s="1"/>
  <c r="K125" i="1"/>
  <c r="BK127" i="1" s="1"/>
  <c r="L125" i="1"/>
  <c r="V125" i="1"/>
  <c r="BV127" i="1" s="1"/>
  <c r="W125" i="1"/>
  <c r="BW127" i="1" s="1"/>
  <c r="Q125" i="1"/>
  <c r="S125" i="1"/>
  <c r="E125" i="1"/>
  <c r="O125" i="1"/>
  <c r="BO127" i="1" s="1"/>
  <c r="AF125" i="1"/>
  <c r="CF127" i="1" s="1"/>
  <c r="I125" i="1"/>
  <c r="AM125" i="1"/>
  <c r="M125" i="1"/>
  <c r="X125" i="1"/>
  <c r="BX127" i="1" s="1"/>
  <c r="AG125" i="1"/>
  <c r="R125" i="1"/>
  <c r="BR127" i="1" s="1"/>
  <c r="AJ125" i="1"/>
  <c r="CJ127" i="1" s="1"/>
  <c r="AK125" i="1"/>
  <c r="CK127" i="1" s="1"/>
  <c r="F125" i="1"/>
  <c r="BF127" i="1" s="1"/>
  <c r="Y125" i="1"/>
  <c r="BY127" i="1" s="1"/>
  <c r="AB125" i="1"/>
  <c r="CB127" i="1" s="1"/>
  <c r="P125" i="1"/>
  <c r="BP127" i="1" s="1"/>
  <c r="AH125" i="1"/>
  <c r="CH127" i="1" s="1"/>
  <c r="J125" i="1"/>
  <c r="BJ127" i="1" s="1"/>
  <c r="T125" i="1"/>
  <c r="U125" i="1"/>
  <c r="AL125" i="1"/>
  <c r="CL127" i="1" s="1"/>
  <c r="N125" i="1"/>
  <c r="H125" i="1"/>
  <c r="BH127" i="1" s="1"/>
  <c r="Z125" i="1"/>
  <c r="BZ127" i="1" s="1"/>
  <c r="AI125" i="1"/>
  <c r="AD125" i="1"/>
  <c r="CD127" i="1" s="1"/>
  <c r="AE125" i="1"/>
  <c r="G125" i="1"/>
  <c r="BE79" i="1"/>
  <c r="BE80" i="1" s="1"/>
  <c r="BE120" i="1"/>
  <c r="BE121" i="1" s="1"/>
  <c r="CG120" i="1"/>
  <c r="CG121" i="1" s="1"/>
  <c r="DA127" i="1"/>
  <c r="DA128" i="1" s="1"/>
  <c r="CT127" i="1"/>
  <c r="CT128" i="1" s="1"/>
  <c r="BD120" i="1"/>
  <c r="BD121" i="1" s="1"/>
  <c r="CI120" i="1"/>
  <c r="CI121" i="1" s="1"/>
  <c r="DD127" i="1"/>
  <c r="DD128" i="1" s="1"/>
  <c r="DB127" i="1"/>
  <c r="DB128" i="1" s="1"/>
  <c r="CN127" i="1"/>
  <c r="CN128" i="1" s="1"/>
  <c r="DC127" i="1"/>
  <c r="DC128" i="1" s="1"/>
  <c r="CR127" i="1"/>
  <c r="CR128" i="1" s="1"/>
  <c r="CO127" i="1"/>
  <c r="CO128" i="1" s="1"/>
  <c r="BD79" i="1"/>
  <c r="BD80" i="1" s="1"/>
  <c r="DT128" i="1"/>
  <c r="DO128" i="1"/>
  <c r="DO132" i="1"/>
  <c r="DK128" i="1"/>
  <c r="DK132" i="1"/>
  <c r="DJ128" i="1"/>
  <c r="DJ132" i="1"/>
  <c r="DP128" i="1"/>
  <c r="DP132" i="1"/>
  <c r="DN128" i="1"/>
  <c r="DN132" i="1"/>
  <c r="DQ128" i="1"/>
  <c r="DQ132" i="1"/>
  <c r="DI128" i="1"/>
  <c r="DI132" i="1"/>
  <c r="DR128" i="1"/>
  <c r="DR132" i="1"/>
  <c r="DG128" i="1"/>
  <c r="DF128" i="1"/>
  <c r="DE128" i="1"/>
  <c r="BC126" i="1"/>
  <c r="CZ128" i="1"/>
  <c r="BG126" i="1"/>
  <c r="CY128" i="1"/>
  <c r="BH126" i="1"/>
  <c r="CQ128" i="1"/>
  <c r="CJ52" i="1"/>
  <c r="BI126" i="1"/>
  <c r="CK52" i="1"/>
  <c r="CX128" i="1"/>
  <c r="AO126" i="1"/>
  <c r="BD126" i="1"/>
  <c r="CH80" i="1"/>
  <c r="CI80" i="1"/>
  <c r="CB121" i="1"/>
  <c r="CC121" i="1"/>
  <c r="AR126" i="1"/>
  <c r="CH121" i="1"/>
  <c r="CL121" i="1"/>
  <c r="CK121" i="1"/>
  <c r="CF121" i="1"/>
  <c r="CJ121" i="1"/>
  <c r="CD121" i="1"/>
  <c r="CE121" i="1"/>
  <c r="CW128" i="1"/>
  <c r="CV128" i="1"/>
  <c r="CU128" i="1"/>
  <c r="CS128" i="1"/>
  <c r="BA126" i="1"/>
  <c r="CP128" i="1"/>
  <c r="BF126" i="1"/>
  <c r="AQ126" i="1"/>
  <c r="BL126" i="1"/>
  <c r="BM126" i="1"/>
  <c r="AT126" i="1"/>
  <c r="BE126" i="1"/>
  <c r="AP126" i="1"/>
  <c r="AS126" i="1"/>
  <c r="BB126" i="1"/>
  <c r="CM80" i="1"/>
  <c r="AV126" i="1"/>
  <c r="AZ126" i="1"/>
  <c r="BJ126" i="1"/>
  <c r="AU126" i="1"/>
  <c r="I78" i="1"/>
  <c r="CL80" i="1"/>
  <c r="F78" i="1"/>
  <c r="AW126" i="1"/>
  <c r="AY126" i="1"/>
  <c r="AN119" i="1"/>
  <c r="CM121" i="1"/>
  <c r="O78" i="1"/>
  <c r="AX126" i="1"/>
  <c r="BK126" i="1"/>
  <c r="V78" i="1"/>
  <c r="K78" i="1"/>
  <c r="AL78" i="1"/>
  <c r="AN78" i="1"/>
  <c r="J78" i="1"/>
  <c r="Y78" i="1"/>
  <c r="Q78" i="1"/>
  <c r="T78" i="1"/>
  <c r="G78" i="1"/>
  <c r="AJ78" i="1"/>
  <c r="N78" i="1"/>
  <c r="AH78" i="1"/>
  <c r="AI78" i="1"/>
  <c r="U78" i="1"/>
  <c r="CE80" i="1"/>
  <c r="AE78" i="1"/>
  <c r="CG80" i="1"/>
  <c r="AG78" i="1"/>
  <c r="Z78" i="1"/>
  <c r="AA78" i="1"/>
  <c r="W78" i="1"/>
  <c r="CD80" i="1"/>
  <c r="AD78" i="1"/>
  <c r="CB80" i="1"/>
  <c r="AB78" i="1"/>
  <c r="CF80" i="1"/>
  <c r="AF78" i="1"/>
  <c r="R78" i="1"/>
  <c r="X78" i="1"/>
  <c r="E78" i="1"/>
  <c r="S78" i="1"/>
  <c r="AM78" i="1"/>
  <c r="L78" i="1"/>
  <c r="AK78" i="1"/>
  <c r="P78" i="1"/>
  <c r="M78" i="1"/>
  <c r="CC80" i="1"/>
  <c r="AC78" i="1"/>
  <c r="H78" i="1"/>
  <c r="BZ109" i="1"/>
  <c r="BZ52" i="1"/>
  <c r="AL119" i="1"/>
  <c r="AD119" i="1"/>
  <c r="AF119" i="1"/>
  <c r="AI119" i="1"/>
  <c r="AJ119" i="1"/>
  <c r="AE119" i="1"/>
  <c r="AG119" i="1"/>
  <c r="AB119" i="1"/>
  <c r="AC119" i="1"/>
  <c r="AH119" i="1"/>
  <c r="BQ121" i="1"/>
  <c r="Q119" i="1"/>
  <c r="BR121" i="1"/>
  <c r="R119" i="1"/>
  <c r="G119" i="1"/>
  <c r="BG121" i="1"/>
  <c r="BH121" i="1"/>
  <c r="H119" i="1"/>
  <c r="T119" i="1"/>
  <c r="BT121" i="1"/>
  <c r="BN121" i="1"/>
  <c r="N119" i="1"/>
  <c r="L119" i="1"/>
  <c r="BL121" i="1"/>
  <c r="BI121" i="1"/>
  <c r="I119" i="1"/>
  <c r="BJ121" i="1"/>
  <c r="J119" i="1"/>
  <c r="BK121" i="1"/>
  <c r="K119" i="1"/>
  <c r="BV121" i="1"/>
  <c r="V119" i="1"/>
  <c r="CA121" i="1"/>
  <c r="AA119" i="1"/>
  <c r="AM119" i="1"/>
  <c r="W119" i="1"/>
  <c r="BW121" i="1"/>
  <c r="E119" i="1"/>
  <c r="BX121" i="1"/>
  <c r="X119" i="1"/>
  <c r="O119" i="1"/>
  <c r="BO121" i="1"/>
  <c r="AK119" i="1"/>
  <c r="Z119" i="1"/>
  <c r="BS121" i="1"/>
  <c r="S119" i="1"/>
  <c r="M119" i="1"/>
  <c r="BM121" i="1"/>
  <c r="BP121" i="1"/>
  <c r="P119" i="1"/>
  <c r="BY121" i="1"/>
  <c r="Y119" i="1"/>
  <c r="BF121" i="1"/>
  <c r="F119" i="1"/>
  <c r="U119" i="1"/>
  <c r="BU121" i="1"/>
  <c r="BN80" i="1"/>
  <c r="BM80" i="1"/>
  <c r="BS80" i="1"/>
  <c r="BI80" i="1"/>
  <c r="BV80" i="1"/>
  <c r="BW80" i="1"/>
  <c r="BY80" i="1"/>
  <c r="BX80" i="1"/>
  <c r="BT80" i="1"/>
  <c r="BO80" i="1"/>
  <c r="BP80" i="1"/>
  <c r="BG80" i="1"/>
  <c r="BZ80" i="1"/>
  <c r="BJ80" i="1"/>
  <c r="BL80" i="1"/>
  <c r="BK80" i="1"/>
  <c r="BQ80" i="1"/>
  <c r="BH80" i="1"/>
  <c r="CA80" i="1"/>
  <c r="BU80" i="1"/>
  <c r="BR80" i="1"/>
  <c r="BF80" i="1"/>
  <c r="HA125" i="1" l="1"/>
  <c r="BE127" i="1"/>
  <c r="BE128" i="1" s="1"/>
  <c r="BT127" i="1"/>
  <c r="BT128" i="1" s="1"/>
  <c r="BD127" i="1"/>
  <c r="BD128" i="1" s="1"/>
  <c r="BU127" i="1"/>
  <c r="BU128" i="1" s="1"/>
  <c r="CI127" i="1"/>
  <c r="CI128" i="1" s="1"/>
  <c r="BS127" i="1"/>
  <c r="BS128" i="1" s="1"/>
  <c r="CE127" i="1"/>
  <c r="CE128" i="1" s="1"/>
  <c r="BN127" i="1"/>
  <c r="BN128" i="1" s="1"/>
  <c r="CM127" i="1"/>
  <c r="CM128" i="1" s="1"/>
  <c r="BL127" i="1"/>
  <c r="BL128" i="1" s="1"/>
  <c r="BQ127" i="1"/>
  <c r="BQ128" i="1" s="1"/>
  <c r="BM127" i="1"/>
  <c r="BM128" i="1" s="1"/>
  <c r="BI127" i="1"/>
  <c r="BI128" i="1" s="1"/>
  <c r="BG127" i="1"/>
  <c r="BG128" i="1" s="1"/>
  <c r="CG127" i="1"/>
  <c r="CG128" i="1" s="1"/>
  <c r="DH128" i="1"/>
  <c r="DH132" i="1"/>
  <c r="DL128" i="1"/>
  <c r="DL132" i="1"/>
  <c r="BW128" i="1"/>
  <c r="X126" i="1"/>
  <c r="O126" i="1"/>
  <c r="BX128" i="1"/>
  <c r="AC126" i="1"/>
  <c r="E126" i="1"/>
  <c r="AI126" i="1"/>
  <c r="N126" i="1"/>
  <c r="BJ128" i="1"/>
  <c r="CK128" i="1"/>
  <c r="U126" i="1"/>
  <c r="BH128" i="1"/>
  <c r="BY128" i="1"/>
  <c r="AA126" i="1"/>
  <c r="BP128" i="1"/>
  <c r="BZ128" i="1"/>
  <c r="M126" i="1"/>
  <c r="AD126" i="1"/>
  <c r="CD128" i="1"/>
  <c r="AE126" i="1"/>
  <c r="AF126" i="1"/>
  <c r="AH126" i="1"/>
  <c r="R126" i="1"/>
  <c r="CH128" i="1"/>
  <c r="AG126" i="1"/>
  <c r="BR128" i="1"/>
  <c r="CC128" i="1"/>
  <c r="CF128" i="1"/>
  <c r="AK126" i="1"/>
  <c r="AL126" i="1"/>
  <c r="AB126" i="1"/>
  <c r="H126" i="1"/>
  <c r="Y126" i="1"/>
  <c r="CB128" i="1"/>
  <c r="Z126" i="1"/>
  <c r="CA128" i="1"/>
  <c r="Q126" i="1"/>
  <c r="T126" i="1"/>
  <c r="CJ128" i="1"/>
  <c r="S126" i="1"/>
  <c r="AJ126" i="1"/>
  <c r="BK128" i="1"/>
  <c r="BF128" i="1"/>
  <c r="K126" i="1"/>
  <c r="BV128" i="1"/>
  <c r="G126" i="1"/>
  <c r="F126" i="1"/>
  <c r="AN126" i="1"/>
  <c r="I126" i="1"/>
  <c r="V126" i="1"/>
  <c r="J126" i="1"/>
  <c r="P126" i="1"/>
  <c r="AM126" i="1"/>
  <c r="CL128" i="1"/>
  <c r="BO128" i="1"/>
  <c r="W126" i="1"/>
  <c r="BZ121" i="1"/>
  <c r="L1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</author>
    <author>tc={E6FA6E53-49E6-4AE1-9653-95AD225C4F60}</author>
    <author>tc={77DDC320-EC5D-47E4-AC43-2873B536680E}</author>
    <author>tc={71473362-1F8F-40F6-810E-1DA28778BF7C}</author>
    <author>tc={8F11745B-350C-43A4-8CD7-42586807280B}</author>
    <author>tc={F7DA4915-DD17-4712-872A-8AFFF335941F}</author>
    <author>tc={E3CFCEC7-2D1E-481C-AE77-12A643965D93}</author>
    <author>tc={F7AFAE2F-E3A2-499E-9249-EFF91596B736}</author>
    <author>tc={C6DDD51E-CB43-4AF7-861C-46EC22022958}</author>
    <author>tc={AB6DF23D-3FC1-4BB6-A3BD-1A5322E7EDBE}</author>
    <author>tc={8BE6F944-73BD-498A-90A5-42547AE522AB}</author>
    <author>tc={27C02F9A-62F1-48AC-B6A4-1FD20D263261}</author>
  </authors>
  <commentList>
    <comment ref="FQ5" authorId="0" shapeId="0" xr:uid="{170A6EDE-08FB-44AA-ADC2-3F9AF74F637A}">
      <text>
        <r>
          <rPr>
            <b/>
            <sz val="9"/>
            <color indexed="81"/>
            <rFont val="Tahoma"/>
            <family val="2"/>
          </rPr>
          <t>James:</t>
        </r>
        <r>
          <rPr>
            <sz val="9"/>
            <color indexed="81"/>
            <rFont val="Tahoma"/>
            <family val="2"/>
          </rPr>
          <t xml:space="preserve">
added function sales paid  Monday,
 4k split 50/50</t>
        </r>
      </text>
    </comment>
    <comment ref="FR5" authorId="0" shapeId="0" xr:uid="{5C1FE549-FAEA-4E16-AFED-C98AA25F9533}">
      <text>
        <r>
          <rPr>
            <b/>
            <sz val="9"/>
            <color indexed="81"/>
            <rFont val="Tahoma"/>
            <family val="2"/>
          </rPr>
          <t>James:</t>
        </r>
        <r>
          <rPr>
            <sz val="9"/>
            <color indexed="81"/>
            <rFont val="Tahoma"/>
            <family val="2"/>
          </rPr>
          <t xml:space="preserve">
deducted function sales paid  Monday,
 4k split 50/50</t>
        </r>
      </text>
    </comment>
    <comment ref="GG5" authorId="1" shapeId="0" xr:uid="{E6FA6E53-49E6-4AE1-9653-95AD225C4F60}">
      <text>
        <t>[Threaded comment]
Your version of Excel allows you to read this threaded comment; however, any edits to it will get removed if the file is opened in a newer version of Excel. Learn more: https://go.microsoft.com/fwlink/?linkid=870924
Comment:
    Mon from TO</t>
      </text>
    </comment>
    <comment ref="FX7" authorId="2" shapeId="0" xr:uid="{77DDC320-EC5D-47E4-AC43-2873B536680E}">
      <text>
        <t>[Threaded comment]
Your version of Excel allows you to read this threaded comment; however, any edits to it will get removed if the file is opened in a newer version of Excel. Learn more: https://go.microsoft.com/fwlink/?linkid=870924
Comment:
    Bridges £1265.15, W&amp;W £3278.95 - tabs rung through late</t>
      </text>
    </comment>
    <comment ref="FY7" authorId="3" shapeId="0" xr:uid="{71473362-1F8F-40F6-810E-1DA28778BF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tabs rung through late last week removed from totals
</t>
      </text>
    </comment>
    <comment ref="ET21" authorId="4" shapeId="0" xr:uid="{8F11745B-350C-43A4-8CD7-42586807280B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takings = £17,651.10 (till error Sun 25th)</t>
      </text>
    </comment>
    <comment ref="FB28" authorId="5" shapeId="0" xr:uid="{F7DA4915-DD17-4712-872A-8AFFF335941F}">
      <text>
        <t>[Threaded comment]
Your version of Excel allows you to read this threaded comment; however, any edits to it will get removed if the file is opened in a newer version of Excel. Learn more: https://go.microsoft.com/fwlink/?linkid=870924
Comment:
    Till broken - this is card &amp; cash takings inc service charge</t>
      </text>
    </comment>
    <comment ref="DV33" authorId="6" shapeId="0" xr:uid="{E3CFCEC7-2D1E-481C-AE77-12A643965D93}">
      <text>
        <t>[Threaded comment]
Your version of Excel allows you to read this threaded comment; however, any edits to it will get removed if the file is opened in a newer version of Excel. Learn more: https://go.microsoft.com/fwlink/?linkid=870924
Comment:
    Power cut Sat/Sun</t>
      </text>
    </comment>
    <comment ref="DP34" authorId="7" shapeId="0" xr:uid="{F7AFAE2F-E3A2-499E-9249-EFF91596B736}">
      <text>
        <t>[Threaded comment]
Your version of Excel allows you to read this threaded comment; however, any edits to it will get removed if the file is opened in a newer version of Excel. Learn more: https://go.microsoft.com/fwlink/?linkid=870924
Comment:
    Power failure Sun 27th - data not in Touchoffice</t>
      </text>
    </comment>
    <comment ref="FV42" authorId="8" shapeId="0" xr:uid="{C6DDD51E-CB43-4AF7-861C-46EC22022958}">
      <text>
        <t>[Threaded comment]
Your version of Excel allows you to read this threaded comment; however, any edits to it will get removed if the file is opened in a newer version of Excel. Learn more: https://go.microsoft.com/fwlink/?linkid=870924
Comment:
    Till issue - takings after S/C £14,033
Reply:
    Added in sales 3-5 Dec 2026</t>
      </text>
    </comment>
    <comment ref="GE42" authorId="9" shapeId="0" xr:uid="{AB6DF23D-3FC1-4BB6-A3BD-1A5322E7EDBE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revenue £16,063</t>
      </text>
    </comment>
    <comment ref="DP90" authorId="10" shapeId="0" xr:uid="{8BE6F944-73BD-498A-90A5-42547AE522AB}">
      <text>
        <t>[Threaded comment]
Your version of Excel allows you to read this threaded comment; however, any edits to it will get removed if the file is opened in a newer version of Excel. Learn more: https://go.microsoft.com/fwlink/?linkid=870924
Comment:
    £2540 stall at event in Market Sq</t>
      </text>
    </comment>
    <comment ref="DP91" authorId="11" shapeId="0" xr:uid="{27C02F9A-62F1-48AC-B6A4-1FD20D263261}">
      <text>
        <t>[Threaded comment]
Your version of Excel allows you to read this threaded comment; however, any edits to it will get removed if the file is opened in a newer version of Excel. Learn more: https://go.microsoft.com/fwlink/?linkid=870924
Comment:
    Hot drinks moved into Dry</t>
      </text>
    </comment>
    <comment ref="FT131" authorId="0" shapeId="0" xr:uid="{C3F6670B-07A4-419E-A7A9-7F72CB1A026D}">
      <text>
        <r>
          <rPr>
            <b/>
            <sz val="9"/>
            <color indexed="81"/>
            <rFont val="Tahoma"/>
            <family val="2"/>
          </rPr>
          <t>James:</t>
        </r>
        <r>
          <rPr>
            <sz val="9"/>
            <color indexed="81"/>
            <rFont val="Tahoma"/>
            <family val="2"/>
          </rPr>
          <t xml:space="preserve">
added KA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E972D9-37F6-454D-A092-91E953109A41}" keepAlive="1" name="Query - orders_2025-07-14_12-11" description="Connection to the 'orders_2025-07-14_12-11' query in the workbook." type="5" refreshedVersion="8" background="1" saveData="1">
    <dbPr connection="Provider=Microsoft.Mashup.OleDb.1;Data Source=$Workbook$;Location=orders_2025-07-14_12-11;Extended Properties=&quot;&quot;" command="SELECT * FROM [orders_2025-07-14_12-11]"/>
  </connection>
  <connection id="2" xr16:uid="{A2ABA6B1-089D-480E-B41F-A4D21D8811A0}" keepAlive="1" name="Query - orders_2025-07-21_12-44" description="Connection to the 'orders_2025-07-21_12-44' query in the workbook." type="5" refreshedVersion="8" background="1" saveData="1">
    <dbPr connection="Provider=Microsoft.Mashup.OleDb.1;Data Source=$Workbook$;Location=orders_2025-07-21_12-44;Extended Properties=&quot;&quot;" command="SELECT * FROM [orders_2025-07-21_12-44]"/>
  </connection>
  <connection id="3" xr16:uid="{F593618B-97AC-4B11-9CDB-E53FA01E980F}" keepAlive="1" name="Query - orders_2025-07-28_11-52" description="Connection to the 'orders_2025-07-28_11-52' query in the workbook." type="5" refreshedVersion="8" background="1" saveData="1">
    <dbPr connection="Provider=Microsoft.Mashup.OleDb.1;Data Source=$Workbook$;Location=orders_2025-07-28_11-52;Extended Properties=&quot;&quot;" command="SELECT * FROM [orders_2025-07-28_11-52]"/>
  </connection>
</connections>
</file>

<file path=xl/sharedStrings.xml><?xml version="1.0" encoding="utf-8"?>
<sst xmlns="http://schemas.openxmlformats.org/spreadsheetml/2006/main" count="4182" uniqueCount="409">
  <si>
    <t>PEMBROKE ARMS</t>
  </si>
  <si>
    <t>GROSVENOR ARMS</t>
  </si>
  <si>
    <t>BELL &amp; CROWN</t>
  </si>
  <si>
    <t>DOG &amp; GUN</t>
  </si>
  <si>
    <t>NOLE</t>
  </si>
  <si>
    <t>FIVE BELLS</t>
  </si>
  <si>
    <t>SAM WELLERS</t>
  </si>
  <si>
    <t>GROSS WEEKLY SALES</t>
  </si>
  <si>
    <t>Weekly LFL</t>
  </si>
  <si>
    <t>Item</t>
  </si>
  <si>
    <t>15/08/2022</t>
  </si>
  <si>
    <t>22/08/2022</t>
  </si>
  <si>
    <t>01/08/2022</t>
  </si>
  <si>
    <t>08/08/2022</t>
  </si>
  <si>
    <t>29/08/2022</t>
  </si>
  <si>
    <t>05/09/2022</t>
  </si>
  <si>
    <t>12/09/2022</t>
  </si>
  <si>
    <t>19/09/2022</t>
  </si>
  <si>
    <t>26/09/2022</t>
  </si>
  <si>
    <t>03/10/2022</t>
  </si>
  <si>
    <t>10/10/2022</t>
  </si>
  <si>
    <t>Site total</t>
  </si>
  <si>
    <t>Site</t>
  </si>
  <si>
    <t>WET</t>
  </si>
  <si>
    <t>DRY</t>
  </si>
  <si>
    <t>17/10/2022</t>
  </si>
  <si>
    <t>24/10/2022</t>
  </si>
  <si>
    <t>31/10/2022</t>
  </si>
  <si>
    <t>07/11/2022</t>
  </si>
  <si>
    <t>14/11/2022</t>
  </si>
  <si>
    <t>21/11/2022</t>
  </si>
  <si>
    <t>28/11/2022</t>
  </si>
  <si>
    <t>05/12/2022</t>
  </si>
  <si>
    <t>12/12/2022</t>
  </si>
  <si>
    <t>19/12/2022</t>
  </si>
  <si>
    <t>26/12/2022</t>
  </si>
  <si>
    <t>02/01/2023</t>
  </si>
  <si>
    <t>09/01/2023</t>
  </si>
  <si>
    <t>16/01/2023</t>
  </si>
  <si>
    <t>23/01/2023</t>
  </si>
  <si>
    <t>30/01/2023</t>
  </si>
  <si>
    <t>06/02/2023</t>
  </si>
  <si>
    <t>13/02/2023</t>
  </si>
  <si>
    <t>20/02/2023</t>
  </si>
  <si>
    <t>27/02/2023</t>
  </si>
  <si>
    <t>06/03/2023</t>
  </si>
  <si>
    <t>13/03/2023</t>
  </si>
  <si>
    <t>20/03/2023</t>
  </si>
  <si>
    <t>27/03/2023</t>
  </si>
  <si>
    <t>QUEENS HEAD</t>
  </si>
  <si>
    <t>03/04/2023</t>
  </si>
  <si>
    <t>10/04/2023</t>
  </si>
  <si>
    <t>17/04/2023</t>
  </si>
  <si>
    <t>24/04/2023</t>
  </si>
  <si>
    <t>01/05/2023</t>
  </si>
  <si>
    <t>08/05/2023</t>
  </si>
  <si>
    <t>15/05/2023</t>
  </si>
  <si>
    <t>22/05/2023</t>
  </si>
  <si>
    <t>29/05/2023</t>
  </si>
  <si>
    <t>05/06/2023</t>
  </si>
  <si>
    <t>12/06/2023</t>
  </si>
  <si>
    <t>19/06/2023</t>
  </si>
  <si>
    <t>26/06/2023</t>
  </si>
  <si>
    <t>03/07/2023</t>
  </si>
  <si>
    <t>10/07/2023</t>
  </si>
  <si>
    <t>17/07/2023</t>
  </si>
  <si>
    <t>24/07/2023</t>
  </si>
  <si>
    <t>31/07/2023</t>
  </si>
  <si>
    <t>07/08/2023</t>
  </si>
  <si>
    <t>14/08/2023</t>
  </si>
  <si>
    <t>21/08/2023</t>
  </si>
  <si>
    <t>28/08/2023</t>
  </si>
  <si>
    <t>SILVER PLOUGH</t>
  </si>
  <si>
    <t>04/09/2023</t>
  </si>
  <si>
    <t>11/09/2023</t>
  </si>
  <si>
    <t>18/09/2023</t>
  </si>
  <si>
    <t>25/09/2023</t>
  </si>
  <si>
    <t>02/10/2023</t>
  </si>
  <si>
    <t>09/10/2023</t>
  </si>
  <si>
    <t>16/10/2023</t>
  </si>
  <si>
    <t>23/10/2023</t>
  </si>
  <si>
    <t>30/10/2023</t>
  </si>
  <si>
    <t>06/11/2023</t>
  </si>
  <si>
    <t>13/11/2023</t>
  </si>
  <si>
    <t>20/11/2023</t>
  </si>
  <si>
    <t>WELLINGTON ARMS</t>
  </si>
  <si>
    <t>27/11/2023</t>
  </si>
  <si>
    <t>04/12/2023</t>
  </si>
  <si>
    <t>11/12/2023</t>
  </si>
  <si>
    <t>18/12/2023</t>
  </si>
  <si>
    <t>25/12/2023</t>
  </si>
  <si>
    <t>Same week last year</t>
  </si>
  <si>
    <t>LFL %</t>
  </si>
  <si>
    <t xml:space="preserve"> </t>
  </si>
  <si>
    <t>YoY LFL %</t>
  </si>
  <si>
    <t>GROUP</t>
  </si>
  <si>
    <t>01/01/2024</t>
  </si>
  <si>
    <t>08/01/2024</t>
  </si>
  <si>
    <t>CHICKPEA</t>
  </si>
  <si>
    <t>BOOZERS</t>
  </si>
  <si>
    <t>Chickpea total</t>
  </si>
  <si>
    <t>Boozers total</t>
  </si>
  <si>
    <t>MARKET TAVERN</t>
  </si>
  <si>
    <t>HETTIE BELLS</t>
  </si>
  <si>
    <t>Avg LTM</t>
  </si>
  <si>
    <t>Avg L6M</t>
  </si>
  <si>
    <t>Max</t>
  </si>
  <si>
    <t>Avg L3M</t>
  </si>
  <si>
    <t>Avg L5W</t>
  </si>
  <si>
    <t>MT pizza</t>
  </si>
  <si>
    <t>Total dry</t>
  </si>
  <si>
    <t>Pub food</t>
  </si>
  <si>
    <t>Nole</t>
  </si>
  <si>
    <t>Nole DRY</t>
  </si>
  <si>
    <t>Nole TO dry sales</t>
  </si>
  <si>
    <t>Deliveroo</t>
  </si>
  <si>
    <t>Group total (F&amp;B)</t>
  </si>
  <si>
    <t>YoY var exc. new sites</t>
  </si>
  <si>
    <t>KINGS ARMS</t>
  </si>
  <si>
    <t>Net dry</t>
  </si>
  <si>
    <t>PA</t>
  </si>
  <si>
    <t>GA</t>
  </si>
  <si>
    <t>BC</t>
  </si>
  <si>
    <t>DG</t>
  </si>
  <si>
    <t>QH</t>
  </si>
  <si>
    <t>SP</t>
  </si>
  <si>
    <t>KA</t>
  </si>
  <si>
    <t>MANOR HOUSE INN</t>
  </si>
  <si>
    <t>MHI</t>
  </si>
  <si>
    <t>DELIVEROO (after commission)</t>
  </si>
  <si>
    <t>DRY (without breakfast)</t>
  </si>
  <si>
    <t>Easter 24</t>
  </si>
  <si>
    <t>GP</t>
  </si>
  <si>
    <t>Chickpea Food</t>
  </si>
  <si>
    <t>Calender notes</t>
  </si>
  <si>
    <t>Father's Day</t>
  </si>
  <si>
    <t>Good Friday</t>
  </si>
  <si>
    <t>Easter Monday</t>
  </si>
  <si>
    <t>Mother's Day</t>
  </si>
  <si>
    <t>Bank hol Mon</t>
  </si>
  <si>
    <t>Food spend  (PW)</t>
  </si>
  <si>
    <t>order_number</t>
  </si>
  <si>
    <t>tax_invoice_number</t>
  </si>
  <si>
    <t>cancellation_invoice_number</t>
  </si>
  <si>
    <t>email</t>
  </si>
  <si>
    <t>sku</t>
  </si>
  <si>
    <t>name</t>
  </si>
  <si>
    <t>weight</t>
  </si>
  <si>
    <t>price</t>
  </si>
  <si>
    <t>total</t>
  </si>
  <si>
    <t>quantity</t>
  </si>
  <si>
    <t>options</t>
  </si>
  <si>
    <t>tax_details</t>
  </si>
  <si>
    <t>customer_tax_exempt</t>
  </si>
  <si>
    <t>customer_tax_id</t>
  </si>
  <si>
    <t>reversed_tax_applied</t>
  </si>
  <si>
    <t>timestamp</t>
  </si>
  <si>
    <t>shipto_person_name</t>
  </si>
  <si>
    <t>shipto_person_company_name</t>
  </si>
  <si>
    <t>shipto_person_street_1</t>
  </si>
  <si>
    <t>shipto_person_street_2</t>
  </si>
  <si>
    <t>shipto_person_city</t>
  </si>
  <si>
    <t>shipto_person_country_code</t>
  </si>
  <si>
    <t>shipto_person_postal_code</t>
  </si>
  <si>
    <t>shipto_person_state_code</t>
  </si>
  <si>
    <t>shipto_person_country_name</t>
  </si>
  <si>
    <t>shipto_person_state_name</t>
  </si>
  <si>
    <t>shipto_person_phone</t>
  </si>
  <si>
    <t>bill_person_name</t>
  </si>
  <si>
    <t>bill_person_company_name</t>
  </si>
  <si>
    <t>bill_person_street_1</t>
  </si>
  <si>
    <t>bill_person_street_2</t>
  </si>
  <si>
    <t>bill_person_city</t>
  </si>
  <si>
    <t>bill_person_country_code</t>
  </si>
  <si>
    <t>bill_person_postal_code</t>
  </si>
  <si>
    <t>bill_person_state_code</t>
  </si>
  <si>
    <t>bill_person_country_name</t>
  </si>
  <si>
    <t>bill_person_state_name</t>
  </si>
  <si>
    <t>bill_person_phone</t>
  </si>
  <si>
    <t>customer_group</t>
  </si>
  <si>
    <t>payment_method</t>
  </si>
  <si>
    <t>shipping_method</t>
  </si>
  <si>
    <t>payment_status</t>
  </si>
  <si>
    <t>fulfillment_status</t>
  </si>
  <si>
    <t>payment_status_code</t>
  </si>
  <si>
    <t>fulfillment_status_code</t>
  </si>
  <si>
    <t>order_subtotal</t>
  </si>
  <si>
    <t>order_tax</t>
  </si>
  <si>
    <t>order_shipping</t>
  </si>
  <si>
    <t>order_handling_fee</t>
  </si>
  <si>
    <t>order_total</t>
  </si>
  <si>
    <t>order_tax_1_name</t>
  </si>
  <si>
    <t>order_tax_1_value</t>
  </si>
  <si>
    <t>order_tracking_number</t>
  </si>
  <si>
    <t>coupon_code</t>
  </si>
  <si>
    <t>coupon_discount</t>
  </si>
  <si>
    <t>volume_discount</t>
  </si>
  <si>
    <t>detail_discount</t>
  </si>
  <si>
    <t>discount</t>
  </si>
  <si>
    <t>order_weight</t>
  </si>
  <si>
    <t>order_comments</t>
  </si>
  <si>
    <t>affiliate_id</t>
  </si>
  <si>
    <t>utm_source</t>
  </si>
  <si>
    <t>utm_medium</t>
  </si>
  <si>
    <t>utm_campaign</t>
  </si>
  <si>
    <t>customer_ipaddress</t>
  </si>
  <si>
    <t>note_for_staff</t>
  </si>
  <si>
    <t>accept_marketing</t>
  </si>
  <si>
    <t>referer_id</t>
  </si>
  <si>
    <t>gift_card_redemption</t>
  </si>
  <si>
    <t>masked_gift_card_code</t>
  </si>
  <si>
    <t>payment_transaction_id</t>
  </si>
  <si>
    <t>tips</t>
  </si>
  <si>
    <t>surcharges</t>
  </si>
  <si>
    <t>What day would you like this for?</t>
  </si>
  <si>
    <t>Which site is this for?</t>
  </si>
  <si>
    <t>Which site is it for?</t>
  </si>
  <si>
    <t>Select Delivery Day (IF same day pick up please put today)</t>
  </si>
  <si>
    <t>null</t>
  </si>
  <si>
    <t>language</t>
  </si>
  <si>
    <t/>
  </si>
  <si>
    <t>hello@kingsarmsshaftesbury.co.uk</t>
  </si>
  <si>
    <t>Beer Coasters (stack of 125)</t>
  </si>
  <si>
    <t>.</t>
  </si>
  <si>
    <t>Awaiting Payment</t>
  </si>
  <si>
    <t>Delivered</t>
  </si>
  <si>
    <t>QUEUED</t>
  </si>
  <si>
    <t>DELIVERED</t>
  </si>
  <si>
    <t>volume_discount:0.00;customer_group_discount:0.00;customer_group_volume_discount:0.00;shipping_discount:0.00</t>
  </si>
  <si>
    <t>85.193.145.142</t>
  </si>
  <si>
    <t>TUESDAY</t>
  </si>
  <si>
    <t>875ff57e-68e7-4cd9-a78e-5d425a6eee1f</t>
  </si>
  <si>
    <t>en</t>
  </si>
  <si>
    <t>hello@silverplough-pitton.co.uk</t>
  </si>
  <si>
    <t>85.193.155.53</t>
  </si>
  <si>
    <t>WEDNESDAY</t>
  </si>
  <si>
    <t>72be4c9c-4358-4384-955a-7a65ce2eaab9</t>
  </si>
  <si>
    <t>gareth@chickpea.group</t>
  </si>
  <si>
    <t>Pizza dough 1x(15) LRG white trays (KA/SP/GA/MH)</t>
  </si>
  <si>
    <t>Pork And Apple Pies 1x(6)</t>
  </si>
  <si>
    <t>Nole Paper</t>
  </si>
  <si>
    <t>Chickpea Paper X1000 Sheets</t>
  </si>
  <si>
    <t>hello@dogandgunnetheravon.co.uk</t>
  </si>
  <si>
    <t>29c2eb6d-5606-46c7-a805-9dce2a4da54e</t>
  </si>
  <si>
    <t>COMPLETED PIE ORDER</t>
  </si>
  <si>
    <t>hello@nolepizza.co.uk</t>
  </si>
  <si>
    <t>Pizza dough 1x(8) (Nole/DG Only)</t>
  </si>
  <si>
    <t>217.168.251.25</t>
  </si>
  <si>
    <t>27304e57-4352-4fb0-b94e-d6db7e900904</t>
  </si>
  <si>
    <t>connor@chickpea.group</t>
  </si>
  <si>
    <t>f2d4cb4d-e334-445c-95f8-b8859f20afe3</t>
  </si>
  <si>
    <t>connorrance95@gmail.com</t>
  </si>
  <si>
    <t>85.193.148.232</t>
  </si>
  <si>
    <t>THURSDAY</t>
  </si>
  <si>
    <t>MH</t>
  </si>
  <si>
    <t>Bread dough</t>
  </si>
  <si>
    <t>declan@chickpea.group</t>
  </si>
  <si>
    <t>rory.short@hotmail.co.uk</t>
  </si>
  <si>
    <t>a08f5e5d-5e9c-4ea9-bb69-b3a74a5958bc</t>
  </si>
  <si>
    <t>FRIDAY</t>
  </si>
  <si>
    <t>hello@grosvenorarmshindon.co.uk</t>
  </si>
  <si>
    <t>4ca1ecec-46e4-4be7-bed3-1fe69909d846</t>
  </si>
  <si>
    <t>Canceled</t>
  </si>
  <si>
    <t>Delivery Canceled</t>
  </si>
  <si>
    <t>CANCELLED</t>
  </si>
  <si>
    <t>WILL_NOT_DELIVER</t>
  </si>
  <si>
    <t>declanzakk@gmail.com</t>
  </si>
  <si>
    <t>SATURDAY</t>
  </si>
  <si>
    <t>Menu printer paper 8x250sheets</t>
  </si>
  <si>
    <t>Printer Ribbon</t>
  </si>
  <si>
    <t>kianacmoore@gmail.com</t>
  </si>
  <si>
    <t>3b6b92b5-1166-448e-b38a-05aa876ab700</t>
  </si>
  <si>
    <t>85.193.145.221</t>
  </si>
  <si>
    <t>SUNDAY</t>
  </si>
  <si>
    <t>MONDAY</t>
  </si>
  <si>
    <t>Sum of total</t>
  </si>
  <si>
    <t>Row Labels</t>
  </si>
  <si>
    <t>Grand Total</t>
  </si>
  <si>
    <t>Column Labels</t>
  </si>
  <si>
    <t>Ear Plugs (box of 100)</t>
  </si>
  <si>
    <t>85.193.157.121</t>
  </si>
  <si>
    <t>chris@chickpea.group</t>
  </si>
  <si>
    <t>Bill clips</t>
  </si>
  <si>
    <t>Refuse sacks x200</t>
  </si>
  <si>
    <t>bruno@chickpea.group</t>
  </si>
  <si>
    <t>31.96.53.158</t>
  </si>
  <si>
    <t>COLLECT INVOICES AND CASH</t>
  </si>
  <si>
    <t>CHICKPEA0XXCY123</t>
  </si>
  <si>
    <t>CHICKPEAUM7GE123</t>
  </si>
  <si>
    <t>31.113.195.59</t>
  </si>
  <si>
    <t>CHICKPEA1CP1D123</t>
  </si>
  <si>
    <t>brad@chickpea.group</t>
  </si>
  <si>
    <t>Tue/wed either works</t>
  </si>
  <si>
    <t>148.252.146.126</t>
  </si>
  <si>
    <t>a9085ce1-922c-4a42-be08-08f265d45f82</t>
  </si>
  <si>
    <t>CHICKPEAEXAPE123</t>
  </si>
  <si>
    <t>185.216.146.118</t>
  </si>
  <si>
    <t>CHICKPEAELGST123</t>
  </si>
  <si>
    <t>CHICKPEALCU9U123</t>
  </si>
  <si>
    <t>CHICKPEAO7I0X123</t>
  </si>
  <si>
    <t>rhysegriffith@gmail.com</t>
  </si>
  <si>
    <t>CHICKPEA8IGG1123</t>
  </si>
  <si>
    <t>CHICKPEAF3MQU123</t>
  </si>
  <si>
    <t>CHICKPEARJZOL123</t>
  </si>
  <si>
    <t>CHICKPEARXCEX123</t>
  </si>
  <si>
    <t>All ready delivered this morning</t>
  </si>
  <si>
    <t>a3384d82-4e8b-484f-aa1e-67c2ecfd4758</t>
  </si>
  <si>
    <t>CHICKPEA8DEK4123</t>
  </si>
  <si>
    <t>3464c083-3c57-44d0-a50f-98ef1b6b0c6e</t>
  </si>
  <si>
    <t>CHICKPEAVLIO8123</t>
  </si>
  <si>
    <t>CHICKPEAIBXEP123</t>
  </si>
  <si>
    <t>salisbury@nolepizza.co.uk</t>
  </si>
  <si>
    <t>109.145.145.143</t>
  </si>
  <si>
    <t>6e079ec2-c4ff-460b-a88f-2e17c5c5d928</t>
  </si>
  <si>
    <t>CHICKPEAEKBIM123</t>
  </si>
  <si>
    <t>CHICKPEATHCJ1123</t>
  </si>
  <si>
    <t>CHICKPEAZ8ACD123</t>
  </si>
  <si>
    <t>63e12738-a92e-4471-bb50-4329a43bc905</t>
  </si>
  <si>
    <t>CHICKPEAXISKY123</t>
  </si>
  <si>
    <t>86.156.2.199</t>
  </si>
  <si>
    <t>CHICKPEANYO21123</t>
  </si>
  <si>
    <t>aa576cf3-0984-45f8-b559-9713f0e4c0f9</t>
  </si>
  <si>
    <t>CHICKPEARLWXB123</t>
  </si>
  <si>
    <t>91.196.221.195</t>
  </si>
  <si>
    <t>CHICKPEAXYGHL123</t>
  </si>
  <si>
    <t>CHICKPEAB1DHE123</t>
  </si>
  <si>
    <t>CHICKPEA6ZUOU123</t>
  </si>
  <si>
    <t>chrismod24@duck.com</t>
  </si>
  <si>
    <t>19e37f15-3368-4079-89a0-4d09d9bfd907</t>
  </si>
  <si>
    <t>CHICKPEA5JJIS123</t>
  </si>
  <si>
    <t>21ef0295-c431-4ccf-af59-ad391d24989f</t>
  </si>
  <si>
    <t>CHICKPEAKDNYQ123</t>
  </si>
  <si>
    <t>926fe990-a567-4695-9467-1605dfe828fa</t>
  </si>
  <si>
    <t>CHICKPEAZVGRL123</t>
  </si>
  <si>
    <t>newdogandgun@gmail.com</t>
  </si>
  <si>
    <t>31.96.115.65</t>
  </si>
  <si>
    <t>7d5292ed-5d96-4478-af02-e913c32829d7</t>
  </si>
  <si>
    <t>CHICKPEAH8ENB123</t>
  </si>
  <si>
    <t>9eab4b13-a63b-41dd-a13d-69e6e93242f7</t>
  </si>
  <si>
    <t>CHICKPEAZ2DVZ123</t>
  </si>
  <si>
    <t>CHICKPEADGDKT123</t>
  </si>
  <si>
    <t>91.196.221.191</t>
  </si>
  <si>
    <t>CHICKPEAON6FW123</t>
  </si>
  <si>
    <t>connor.r@chickpea.group</t>
  </si>
  <si>
    <t>19f9b6f3-d144-44d0-8411-0ff528a32a0e</t>
  </si>
  <si>
    <t>CHICKPEAOQ5NJ123</t>
  </si>
  <si>
    <t>31.113.135.232</t>
  </si>
  <si>
    <t>CHICKPEAOFBXD123</t>
  </si>
  <si>
    <t>85.255.234.246</t>
  </si>
  <si>
    <t>CHICKPEAGTVFI123</t>
  </si>
  <si>
    <t>CHICKPEA4OAPQ123</t>
  </si>
  <si>
    <t>CHICKPEAFOZGF123</t>
  </si>
  <si>
    <t>414625cc-926d-43d9-b94f-47eb8439f759</t>
  </si>
  <si>
    <t>Land&amp;Water 5L Shampoo</t>
  </si>
  <si>
    <t>CHICKPEACLGLP123</t>
  </si>
  <si>
    <t>Awaiting Processing</t>
  </si>
  <si>
    <t>NEW</t>
  </si>
  <si>
    <t>7d648e96-142b-41bc-b947-ddd5e769c42c</t>
  </si>
  <si>
    <t>CHICKPEA3HQD4123</t>
  </si>
  <si>
    <t>CHICKPEAGFEIY123</t>
  </si>
  <si>
    <t>82.132.230.239</t>
  </si>
  <si>
    <t>CHICKPEAXNKGZ123</t>
  </si>
  <si>
    <t>CHICKPEAKV4A4123</t>
  </si>
  <si>
    <t>FLEUR DE LYS</t>
  </si>
  <si>
    <t>PA lunch closure</t>
  </si>
  <si>
    <t>vs last week %</t>
  </si>
  <si>
    <t>vs SWLY %</t>
  </si>
  <si>
    <t>Dry %</t>
  </si>
  <si>
    <t>Labour %</t>
  </si>
  <si>
    <t>Weekly margins</t>
  </si>
  <si>
    <t>FDL</t>
  </si>
  <si>
    <t>hours</t>
  </si>
  <si>
    <t>pw spend</t>
  </si>
  <si>
    <t>recharge</t>
  </si>
  <si>
    <t>total spend</t>
  </si>
  <si>
    <t>cost £ (inc hol)</t>
  </si>
  <si>
    <t>net dry sales</t>
  </si>
  <si>
    <t>TOTAL</t>
  </si>
  <si>
    <t>GP%</t>
  </si>
  <si>
    <t>Calendar yr week</t>
  </si>
  <si>
    <t>Financial year week</t>
  </si>
  <si>
    <t>finanial yr week</t>
  </si>
  <si>
    <t>w/c</t>
  </si>
  <si>
    <t>total revenue</t>
  </si>
  <si>
    <t>gross accom sales</t>
  </si>
  <si>
    <t>net revenue</t>
  </si>
  <si>
    <t>gross F&amp;B sales</t>
  </si>
  <si>
    <t>Labour%</t>
  </si>
  <si>
    <t>QH cls Mon-Thurs; N/MAR cls Sun</t>
  </si>
  <si>
    <t>N/MAR closed Mon-Weds</t>
  </si>
  <si>
    <t>financial yr week</t>
  </si>
  <si>
    <t>DELIVEROO INCOME</t>
  </si>
  <si>
    <t>Closed Tues for staff bash</t>
  </si>
  <si>
    <t>SP no lunch 3/12</t>
  </si>
  <si>
    <t>SP PA adjustment</t>
  </si>
  <si>
    <t>PA closed Tues-Thurs kitchen work, DG closed Mon-Thurs</t>
  </si>
  <si>
    <t>HB internet - no sales 7/8 Feb</t>
  </si>
  <si>
    <t>vouchers redeemed</t>
  </si>
  <si>
    <t>Dry % (avg)</t>
  </si>
  <si>
    <t>L5W AVG</t>
  </si>
  <si>
    <t>QH reopen Fri</t>
  </si>
  <si>
    <t>Good Friday/Easter</t>
  </si>
  <si>
    <t>HB</t>
  </si>
  <si>
    <t>TAV</t>
  </si>
  <si>
    <t>FIV B</t>
  </si>
  <si>
    <t>WEL A</t>
  </si>
  <si>
    <t>SAM W</t>
  </si>
  <si>
    <t>Bank hol weekend</t>
  </si>
  <si>
    <t>Bank hol 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</si>
</sst>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-&quot;£&quot;* #,##0_-;\-&quot;£&quot;* #,##0_-;_-&quot;£&quot;* &quot;-&quot;??_-;_-@_-"/>
    <numFmt numFmtId="167" formatCode="_-* #,##0.000_-;\-* #,##0.000_-;_-* &quot;-&quot;??_-;_-@_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theme="0" tint="-0.149998474074526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double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8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/>
    <xf numFmtId="165" fontId="0" fillId="0" borderId="0" xfId="1" applyNumberFormat="1" applyFont="1"/>
    <xf numFmtId="165" fontId="4" fillId="0" borderId="0" xfId="1" applyNumberFormat="1" applyFont="1"/>
    <xf numFmtId="165" fontId="3" fillId="0" borderId="0" xfId="1" applyNumberFormat="1" applyFont="1"/>
    <xf numFmtId="0" fontId="1" fillId="3" borderId="0" xfId="0" applyFont="1" applyFill="1" applyAlignment="1">
      <alignment horizontal="center" vertical="center"/>
    </xf>
    <xf numFmtId="164" fontId="3" fillId="4" borderId="0" xfId="2" applyNumberFormat="1" applyFont="1" applyFill="1"/>
    <xf numFmtId="165" fontId="4" fillId="0" borderId="0" xfId="1" applyNumberFormat="1" applyFont="1" applyFill="1" applyBorder="1"/>
    <xf numFmtId="165" fontId="3" fillId="0" borderId="0" xfId="1" applyNumberFormat="1" applyFont="1" applyFill="1" applyBorder="1"/>
    <xf numFmtId="165" fontId="0" fillId="0" borderId="0" xfId="0" applyNumberFormat="1"/>
    <xf numFmtId="0" fontId="6" fillId="2" borderId="4" xfId="0" applyFont="1" applyFill="1" applyBorder="1"/>
    <xf numFmtId="0" fontId="6" fillId="2" borderId="2" xfId="0" applyFont="1" applyFill="1" applyBorder="1"/>
    <xf numFmtId="14" fontId="6" fillId="2" borderId="2" xfId="0" applyNumberFormat="1" applyFont="1" applyFill="1" applyBorder="1"/>
    <xf numFmtId="165" fontId="1" fillId="6" borderId="4" xfId="1" applyNumberFormat="1" applyFont="1" applyFill="1" applyBorder="1" applyAlignment="1"/>
    <xf numFmtId="165" fontId="0" fillId="6" borderId="2" xfId="1" applyNumberFormat="1" applyFont="1" applyFill="1" applyBorder="1"/>
    <xf numFmtId="165" fontId="0" fillId="6" borderId="4" xfId="1" applyNumberFormat="1" applyFont="1" applyFill="1" applyBorder="1" applyAlignment="1"/>
    <xf numFmtId="165" fontId="4" fillId="5" borderId="4" xfId="1" applyNumberFormat="1" applyFont="1" applyFill="1" applyBorder="1"/>
    <xf numFmtId="165" fontId="4" fillId="5" borderId="2" xfId="1" applyNumberFormat="1" applyFont="1" applyFill="1" applyBorder="1"/>
    <xf numFmtId="165" fontId="3" fillId="0" borderId="2" xfId="1" applyNumberFormat="1" applyFont="1" applyBorder="1"/>
    <xf numFmtId="0" fontId="4" fillId="9" borderId="4" xfId="0" applyFont="1" applyFill="1" applyBorder="1"/>
    <xf numFmtId="0" fontId="3" fillId="9" borderId="2" xfId="0" applyFont="1" applyFill="1" applyBorder="1"/>
    <xf numFmtId="2" fontId="3" fillId="9" borderId="2" xfId="0" applyNumberFormat="1" applyFont="1" applyFill="1" applyBorder="1"/>
    <xf numFmtId="165" fontId="4" fillId="9" borderId="2" xfId="1" applyNumberFormat="1" applyFont="1" applyFill="1" applyBorder="1"/>
    <xf numFmtId="0" fontId="3" fillId="6" borderId="4" xfId="0" applyFont="1" applyFill="1" applyBorder="1"/>
    <xf numFmtId="0" fontId="3" fillId="6" borderId="2" xfId="0" applyFont="1" applyFill="1" applyBorder="1"/>
    <xf numFmtId="164" fontId="3" fillId="0" borderId="2" xfId="2" applyNumberFormat="1" applyFont="1" applyBorder="1"/>
    <xf numFmtId="0" fontId="3" fillId="4" borderId="4" xfId="0" applyFont="1" applyFill="1" applyBorder="1"/>
    <xf numFmtId="0" fontId="3" fillId="4" borderId="2" xfId="0" applyFont="1" applyFill="1" applyBorder="1"/>
    <xf numFmtId="2" fontId="3" fillId="4" borderId="2" xfId="0" applyNumberFormat="1" applyFont="1" applyFill="1" applyBorder="1"/>
    <xf numFmtId="164" fontId="3" fillId="4" borderId="2" xfId="2" applyNumberFormat="1" applyFont="1" applyFill="1" applyBorder="1"/>
    <xf numFmtId="165" fontId="1" fillId="6" borderId="4" xfId="1" applyNumberFormat="1" applyFont="1" applyFill="1" applyBorder="1"/>
    <xf numFmtId="165" fontId="0" fillId="6" borderId="4" xfId="1" applyNumberFormat="1" applyFont="1" applyFill="1" applyBorder="1"/>
    <xf numFmtId="165" fontId="3" fillId="6" borderId="4" xfId="1" applyNumberFormat="1" applyFont="1" applyFill="1" applyBorder="1"/>
    <xf numFmtId="165" fontId="3" fillId="6" borderId="2" xfId="1" applyNumberFormat="1" applyFont="1" applyFill="1" applyBorder="1"/>
    <xf numFmtId="165" fontId="3" fillId="11" borderId="2" xfId="1" applyNumberFormat="1" applyFont="1" applyFill="1" applyBorder="1"/>
    <xf numFmtId="0" fontId="3" fillId="0" borderId="4" xfId="0" applyFont="1" applyBorder="1"/>
    <xf numFmtId="0" fontId="3" fillId="0" borderId="2" xfId="0" applyFont="1" applyBorder="1"/>
    <xf numFmtId="2" fontId="3" fillId="0" borderId="2" xfId="0" applyNumberFormat="1" applyFont="1" applyBorder="1"/>
    <xf numFmtId="165" fontId="1" fillId="8" borderId="4" xfId="1" applyNumberFormat="1" applyFont="1" applyFill="1" applyBorder="1"/>
    <xf numFmtId="165" fontId="1" fillId="8" borderId="2" xfId="1" applyNumberFormat="1" applyFont="1" applyFill="1" applyBorder="1"/>
    <xf numFmtId="165" fontId="1" fillId="6" borderId="2" xfId="1" applyNumberFormat="1" applyFont="1" applyFill="1" applyBorder="1"/>
    <xf numFmtId="165" fontId="4" fillId="9" borderId="2" xfId="0" applyNumberFormat="1" applyFont="1" applyFill="1" applyBorder="1"/>
    <xf numFmtId="0" fontId="3" fillId="11" borderId="2" xfId="0" applyFont="1" applyFill="1" applyBorder="1"/>
    <xf numFmtId="165" fontId="1" fillId="14" borderId="4" xfId="1" applyNumberFormat="1" applyFont="1" applyFill="1" applyBorder="1"/>
    <xf numFmtId="165" fontId="1" fillId="14" borderId="2" xfId="1" applyNumberFormat="1" applyFont="1" applyFill="1" applyBorder="1"/>
    <xf numFmtId="2" fontId="4" fillId="9" borderId="3" xfId="0" applyNumberFormat="1" applyFont="1" applyFill="1" applyBorder="1"/>
    <xf numFmtId="165" fontId="4" fillId="9" borderId="3" xfId="0" applyNumberFormat="1" applyFont="1" applyFill="1" applyBorder="1"/>
    <xf numFmtId="165" fontId="1" fillId="16" borderId="4" xfId="1" applyNumberFormat="1" applyFont="1" applyFill="1" applyBorder="1"/>
    <xf numFmtId="165" fontId="1" fillId="16" borderId="2" xfId="1" applyNumberFormat="1" applyFont="1" applyFill="1" applyBorder="1"/>
    <xf numFmtId="0" fontId="4" fillId="7" borderId="0" xfId="0" applyFont="1" applyFill="1"/>
    <xf numFmtId="0" fontId="4" fillId="13" borderId="0" xfId="0" applyFont="1" applyFill="1"/>
    <xf numFmtId="165" fontId="4" fillId="0" borderId="2" xfId="1" applyNumberFormat="1" applyFont="1" applyBorder="1"/>
    <xf numFmtId="165" fontId="0" fillId="17" borderId="0" xfId="1" applyNumberFormat="1" applyFont="1" applyFill="1"/>
    <xf numFmtId="165" fontId="4" fillId="17" borderId="0" xfId="1" applyNumberFormat="1" applyFont="1" applyFill="1"/>
    <xf numFmtId="165" fontId="3" fillId="17" borderId="0" xfId="1" applyNumberFormat="1" applyFont="1" applyFill="1"/>
    <xf numFmtId="0" fontId="3" fillId="17" borderId="0" xfId="0" applyFont="1" applyFill="1"/>
    <xf numFmtId="0" fontId="0" fillId="17" borderId="0" xfId="0" applyFill="1"/>
    <xf numFmtId="0" fontId="1" fillId="17" borderId="0" xfId="0" applyFont="1" applyFill="1"/>
    <xf numFmtId="165" fontId="1" fillId="18" borderId="0" xfId="1" applyNumberFormat="1" applyFont="1" applyFill="1"/>
    <xf numFmtId="0" fontId="0" fillId="20" borderId="0" xfId="0" applyFill="1"/>
    <xf numFmtId="4" fontId="0" fillId="20" borderId="0" xfId="0" applyNumberFormat="1" applyFill="1"/>
    <xf numFmtId="4" fontId="1" fillId="21" borderId="0" xfId="0" applyNumberFormat="1" applyFont="1" applyFill="1"/>
    <xf numFmtId="44" fontId="0" fillId="0" borderId="7" xfId="3" applyFont="1" applyBorder="1"/>
    <xf numFmtId="0" fontId="0" fillId="0" borderId="7" xfId="0" applyBorder="1"/>
    <xf numFmtId="0" fontId="0" fillId="13" borderId="0" xfId="0" applyFill="1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0" fontId="0" fillId="0" borderId="7" xfId="2" applyNumberFormat="1" applyFont="1" applyBorder="1"/>
    <xf numFmtId="0" fontId="7" fillId="0" borderId="0" xfId="0" applyFont="1"/>
    <xf numFmtId="0" fontId="8" fillId="0" borderId="0" xfId="0" applyFont="1"/>
    <xf numFmtId="0" fontId="7" fillId="13" borderId="0" xfId="0" applyFont="1" applyFill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5" fontId="1" fillId="22" borderId="7" xfId="1" applyNumberFormat="1" applyFont="1" applyFill="1" applyBorder="1"/>
    <xf numFmtId="165" fontId="1" fillId="0" borderId="7" xfId="1" applyNumberFormat="1" applyFont="1" applyBorder="1" applyAlignment="1">
      <alignment horizontal="left"/>
    </xf>
    <xf numFmtId="166" fontId="5" fillId="19" borderId="7" xfId="3" applyNumberFormat="1" applyFont="1" applyFill="1" applyBorder="1" applyAlignment="1">
      <alignment horizontal="left"/>
    </xf>
    <xf numFmtId="44" fontId="0" fillId="0" borderId="7" xfId="3" applyFont="1" applyFill="1" applyBorder="1"/>
    <xf numFmtId="165" fontId="0" fillId="0" borderId="2" xfId="1" applyNumberFormat="1" applyFont="1" applyFill="1" applyBorder="1"/>
    <xf numFmtId="164" fontId="3" fillId="0" borderId="0" xfId="2" applyNumberFormat="1" applyFont="1" applyBorder="1"/>
    <xf numFmtId="165" fontId="5" fillId="0" borderId="0" xfId="1" applyNumberFormat="1" applyFont="1"/>
    <xf numFmtId="0" fontId="6" fillId="4" borderId="0" xfId="0" applyFont="1" applyFill="1"/>
    <xf numFmtId="0" fontId="1" fillId="10" borderId="0" xfId="0" applyFont="1" applyFill="1" applyAlignment="1">
      <alignment horizontal="center" vertical="center"/>
    </xf>
    <xf numFmtId="165" fontId="3" fillId="25" borderId="4" xfId="1" applyNumberFormat="1" applyFont="1" applyFill="1" applyBorder="1"/>
    <xf numFmtId="165" fontId="4" fillId="15" borderId="0" xfId="1" applyNumberFormat="1" applyFont="1" applyFill="1" applyBorder="1"/>
    <xf numFmtId="165" fontId="1" fillId="5" borderId="2" xfId="1" applyNumberFormat="1" applyFont="1" applyFill="1" applyBorder="1"/>
    <xf numFmtId="165" fontId="1" fillId="5" borderId="9" xfId="1" applyNumberFormat="1" applyFont="1" applyFill="1" applyBorder="1"/>
    <xf numFmtId="165" fontId="1" fillId="5" borderId="8" xfId="1" applyNumberFormat="1" applyFont="1" applyFill="1" applyBorder="1"/>
    <xf numFmtId="165" fontId="4" fillId="26" borderId="14" xfId="1" applyNumberFormat="1" applyFont="1" applyFill="1" applyBorder="1"/>
    <xf numFmtId="165" fontId="4" fillId="26" borderId="15" xfId="1" applyNumberFormat="1" applyFont="1" applyFill="1" applyBorder="1"/>
    <xf numFmtId="164" fontId="4" fillId="0" borderId="10" xfId="2" applyNumberFormat="1" applyFont="1" applyFill="1" applyBorder="1" applyAlignment="1">
      <alignment horizontal="left"/>
    </xf>
    <xf numFmtId="164" fontId="4" fillId="0" borderId="12" xfId="2" applyNumberFormat="1" applyFont="1" applyFill="1" applyBorder="1" applyAlignment="1">
      <alignment horizontal="left"/>
    </xf>
    <xf numFmtId="37" fontId="0" fillId="0" borderId="0" xfId="0" applyNumberFormat="1"/>
    <xf numFmtId="0" fontId="3" fillId="0" borderId="0" xfId="0" applyFont="1" applyAlignment="1">
      <alignment horizontal="left" vertical="center"/>
    </xf>
    <xf numFmtId="37" fontId="1" fillId="0" borderId="0" xfId="0" applyNumberFormat="1" applyFont="1"/>
    <xf numFmtId="0" fontId="4" fillId="0" borderId="0" xfId="0" applyFont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164" fontId="1" fillId="0" borderId="16" xfId="2" applyNumberFormat="1" applyFont="1" applyBorder="1" applyAlignment="1"/>
    <xf numFmtId="0" fontId="3" fillId="0" borderId="17" xfId="0" applyFont="1" applyBorder="1" applyAlignment="1">
      <alignment horizontal="left" vertical="center"/>
    </xf>
    <xf numFmtId="37" fontId="0" fillId="0" borderId="17" xfId="0" applyNumberFormat="1" applyBorder="1"/>
    <xf numFmtId="164" fontId="3" fillId="0" borderId="11" xfId="2" applyNumberFormat="1" applyFont="1" applyFill="1" applyBorder="1"/>
    <xf numFmtId="164" fontId="3" fillId="0" borderId="13" xfId="2" applyNumberFormat="1" applyFont="1" applyFill="1" applyBorder="1"/>
    <xf numFmtId="9" fontId="3" fillId="0" borderId="2" xfId="2" applyFont="1" applyBorder="1"/>
    <xf numFmtId="165" fontId="0" fillId="6" borderId="19" xfId="1" applyNumberFormat="1" applyFont="1" applyFill="1" applyBorder="1"/>
    <xf numFmtId="165" fontId="4" fillId="5" borderId="19" xfId="1" applyNumberFormat="1" applyFont="1" applyFill="1" applyBorder="1"/>
    <xf numFmtId="164" fontId="3" fillId="0" borderId="19" xfId="2" applyNumberFormat="1" applyFont="1" applyBorder="1"/>
    <xf numFmtId="165" fontId="4" fillId="9" borderId="19" xfId="1" applyNumberFormat="1" applyFont="1" applyFill="1" applyBorder="1"/>
    <xf numFmtId="164" fontId="3" fillId="4" borderId="19" xfId="2" applyNumberFormat="1" applyFont="1" applyFill="1" applyBorder="1"/>
    <xf numFmtId="165" fontId="0" fillId="0" borderId="19" xfId="1" applyNumberFormat="1" applyFont="1" applyFill="1" applyBorder="1"/>
    <xf numFmtId="165" fontId="1" fillId="8" borderId="19" xfId="1" applyNumberFormat="1" applyFont="1" applyFill="1" applyBorder="1"/>
    <xf numFmtId="165" fontId="1" fillId="14" borderId="19" xfId="1" applyNumberFormat="1" applyFont="1" applyFill="1" applyBorder="1"/>
    <xf numFmtId="165" fontId="1" fillId="16" borderId="19" xfId="1" applyNumberFormat="1" applyFont="1" applyFill="1" applyBorder="1"/>
    <xf numFmtId="165" fontId="0" fillId="0" borderId="18" xfId="0" applyNumberFormat="1" applyBorder="1"/>
    <xf numFmtId="165" fontId="1" fillId="5" borderId="19" xfId="1" applyNumberFormat="1" applyFont="1" applyFill="1" applyBorder="1"/>
    <xf numFmtId="14" fontId="6" fillId="2" borderId="18" xfId="0" applyNumberFormat="1" applyFont="1" applyFill="1" applyBorder="1"/>
    <xf numFmtId="37" fontId="1" fillId="0" borderId="17" xfId="0" applyNumberFormat="1" applyFont="1" applyBorder="1"/>
    <xf numFmtId="0" fontId="10" fillId="0" borderId="0" xfId="0" applyFont="1" applyAlignment="1">
      <alignment wrapText="1"/>
    </xf>
    <xf numFmtId="15" fontId="9" fillId="0" borderId="0" xfId="0" applyNumberFormat="1" applyFont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37" fontId="0" fillId="0" borderId="20" xfId="0" applyNumberFormat="1" applyBorder="1"/>
    <xf numFmtId="37" fontId="0" fillId="26" borderId="17" xfId="0" applyNumberFormat="1" applyFill="1" applyBorder="1"/>
    <xf numFmtId="37" fontId="0" fillId="26" borderId="0" xfId="0" applyNumberFormat="1" applyFill="1"/>
    <xf numFmtId="37" fontId="1" fillId="28" borderId="17" xfId="0" applyNumberFormat="1" applyFont="1" applyFill="1" applyBorder="1"/>
    <xf numFmtId="37" fontId="0" fillId="28" borderId="17" xfId="0" applyNumberFormat="1" applyFill="1" applyBorder="1"/>
    <xf numFmtId="0" fontId="0" fillId="0" borderId="17" xfId="0" applyBorder="1"/>
    <xf numFmtId="15" fontId="9" fillId="0" borderId="17" xfId="0" applyNumberFormat="1" applyFont="1" applyBorder="1" applyAlignment="1">
      <alignment horizontal="left" vertical="center"/>
    </xf>
    <xf numFmtId="37" fontId="0" fillId="28" borderId="0" xfId="0" applyNumberFormat="1" applyFill="1"/>
    <xf numFmtId="165" fontId="1" fillId="0" borderId="0" xfId="0" applyNumberFormat="1" applyFont="1"/>
    <xf numFmtId="0" fontId="3" fillId="20" borderId="0" xfId="0" applyFont="1" applyFill="1" applyAlignment="1">
      <alignment horizontal="left" vertical="center"/>
    </xf>
    <xf numFmtId="167" fontId="3" fillId="0" borderId="0" xfId="1" applyNumberFormat="1" applyFont="1" applyFill="1" applyBorder="1"/>
    <xf numFmtId="165" fontId="4" fillId="5" borderId="22" xfId="1" applyNumberFormat="1" applyFont="1" applyFill="1" applyBorder="1"/>
    <xf numFmtId="0" fontId="13" fillId="16" borderId="0" xfId="0" applyFont="1" applyFill="1" applyAlignment="1">
      <alignment horizontal="right"/>
    </xf>
    <xf numFmtId="165" fontId="4" fillId="26" borderId="10" xfId="1" applyNumberFormat="1" applyFont="1" applyFill="1" applyBorder="1"/>
    <xf numFmtId="165" fontId="4" fillId="26" borderId="11" xfId="1" applyNumberFormat="1" applyFont="1" applyFill="1" applyBorder="1"/>
    <xf numFmtId="164" fontId="4" fillId="0" borderId="23" xfId="2" applyNumberFormat="1" applyFont="1" applyFill="1" applyBorder="1" applyAlignment="1">
      <alignment horizontal="left"/>
    </xf>
    <xf numFmtId="164" fontId="3" fillId="0" borderId="24" xfId="2" applyNumberFormat="1" applyFont="1" applyFill="1" applyBorder="1"/>
    <xf numFmtId="164" fontId="3" fillId="0" borderId="11" xfId="2" applyNumberFormat="1" applyFont="1" applyFill="1" applyBorder="1" applyAlignment="1">
      <alignment horizontal="right"/>
    </xf>
    <xf numFmtId="164" fontId="3" fillId="0" borderId="24" xfId="2" applyNumberFormat="1" applyFont="1" applyFill="1" applyBorder="1" applyAlignment="1">
      <alignment horizontal="right"/>
    </xf>
    <xf numFmtId="164" fontId="3" fillId="0" borderId="13" xfId="2" applyNumberFormat="1" applyFont="1" applyFill="1" applyBorder="1" applyAlignment="1">
      <alignment horizontal="right"/>
    </xf>
    <xf numFmtId="37" fontId="0" fillId="17" borderId="0" xfId="0" applyNumberFormat="1" applyFill="1"/>
    <xf numFmtId="164" fontId="1" fillId="17" borderId="16" xfId="2" applyNumberFormat="1" applyFont="1" applyFill="1" applyBorder="1" applyAlignment="1"/>
    <xf numFmtId="165" fontId="0" fillId="6" borderId="26" xfId="1" applyNumberFormat="1" applyFont="1" applyFill="1" applyBorder="1"/>
    <xf numFmtId="165" fontId="0" fillId="6" borderId="25" xfId="1" applyNumberFormat="1" applyFont="1" applyFill="1" applyBorder="1"/>
    <xf numFmtId="165" fontId="4" fillId="5" borderId="25" xfId="1" applyNumberFormat="1" applyFont="1" applyFill="1" applyBorder="1"/>
    <xf numFmtId="165" fontId="4" fillId="5" borderId="27" xfId="1" applyNumberFormat="1" applyFont="1" applyFill="1" applyBorder="1"/>
    <xf numFmtId="165" fontId="4" fillId="5" borderId="7" xfId="1" applyNumberFormat="1" applyFont="1" applyFill="1" applyBorder="1"/>
    <xf numFmtId="0" fontId="14" fillId="0" borderId="0" xfId="0" applyFont="1"/>
    <xf numFmtId="14" fontId="15" fillId="2" borderId="0" xfId="0" applyNumberFormat="1" applyFont="1" applyFill="1" applyAlignment="1">
      <alignment horizontal="right"/>
    </xf>
    <xf numFmtId="165" fontId="16" fillId="24" borderId="2" xfId="1" applyNumberFormat="1" applyFont="1" applyFill="1" applyBorder="1"/>
    <xf numFmtId="165" fontId="17" fillId="23" borderId="2" xfId="1" applyNumberFormat="1" applyFont="1" applyFill="1" applyBorder="1"/>
    <xf numFmtId="165" fontId="16" fillId="0" borderId="0" xfId="1" applyNumberFormat="1" applyFont="1"/>
    <xf numFmtId="164" fontId="16" fillId="4" borderId="0" xfId="2" applyNumberFormat="1" applyFont="1" applyFill="1" applyBorder="1"/>
    <xf numFmtId="165" fontId="16" fillId="0" borderId="0" xfId="1" applyNumberFormat="1" applyFont="1" applyFill="1" applyBorder="1"/>
    <xf numFmtId="165" fontId="17" fillId="9" borderId="0" xfId="1" applyNumberFormat="1" applyFont="1" applyFill="1" applyBorder="1"/>
    <xf numFmtId="164" fontId="16" fillId="0" borderId="0" xfId="2" applyNumberFormat="1" applyFont="1" applyBorder="1"/>
    <xf numFmtId="165" fontId="17" fillId="24" borderId="2" xfId="1" applyNumberFormat="1" applyFont="1" applyFill="1" applyBorder="1"/>
    <xf numFmtId="164" fontId="16" fillId="0" borderId="2" xfId="2" applyNumberFormat="1" applyFont="1" applyBorder="1"/>
    <xf numFmtId="165" fontId="14" fillId="0" borderId="0" xfId="0" applyNumberFormat="1" applyFont="1"/>
    <xf numFmtId="165" fontId="1" fillId="8" borderId="0" xfId="1" applyNumberFormat="1" applyFont="1" applyFill="1" applyBorder="1"/>
    <xf numFmtId="165" fontId="4" fillId="9" borderId="18" xfId="1" applyNumberFormat="1" applyFont="1" applyFill="1" applyBorder="1"/>
    <xf numFmtId="164" fontId="3" fillId="0" borderId="7" xfId="2" applyNumberFormat="1" applyFont="1" applyBorder="1"/>
    <xf numFmtId="164" fontId="4" fillId="0" borderId="14" xfId="2" applyNumberFormat="1" applyFont="1" applyFill="1" applyBorder="1" applyAlignment="1">
      <alignment horizontal="left"/>
    </xf>
    <xf numFmtId="164" fontId="3" fillId="0" borderId="15" xfId="2" applyNumberFormat="1" applyFont="1" applyFill="1" applyBorder="1"/>
    <xf numFmtId="0" fontId="1" fillId="10" borderId="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1" fillId="27" borderId="0" xfId="0" applyFont="1" applyFill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" fillId="26" borderId="21" xfId="0" applyFont="1" applyFill="1" applyBorder="1" applyAlignment="1">
      <alignment horizontal="center" vertical="center"/>
    </xf>
    <xf numFmtId="0" fontId="1" fillId="19" borderId="21" xfId="0" applyFont="1" applyFill="1" applyBorder="1" applyAlignment="1">
      <alignment horizontal="center" vertical="center"/>
    </xf>
    <xf numFmtId="0" fontId="1" fillId="19" borderId="17" xfId="0" applyFont="1" applyFill="1" applyBorder="1" applyAlignment="1">
      <alignment horizontal="center" vertical="center"/>
    </xf>
    <xf numFmtId="0" fontId="1" fillId="27" borderId="21" xfId="0" applyFont="1" applyFill="1" applyBorder="1" applyAlignment="1">
      <alignment horizontal="center" vertical="center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1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£&quot;* #,##0.00_-;\-&quot;£&quot;* #,##0.00_-;_-&quot;£&quot;* &quot;-&quot;??_-;_-@_-"/>
    </dxf>
  </dxfs>
  <tableStyles count="0" defaultTableStyle="TableStyleMedium2" defaultPivotStyle="PivotStyleLight16"/>
  <colors>
    <mruColors>
      <color rgb="FFE0C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ickpea Group" id="{9B4525C3-C468-4090-88CB-F93516DFEC5C}" userId="061a63603a65ae9c" providerId="Windows Live"/>
  <person displayName="Nicole Winters" id="{745396A8-D861-4437-BFB0-B4B80F0F0273}" userId="5a621178de1bafe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e Winters" refreshedDate="45866.497502893515" createdVersion="8" refreshedVersion="8" minRefreshableVersion="3" recordCount="60" xr:uid="{2E0E176E-E62A-4D01-A3F8-0FBEAC0714E8}">
  <cacheSource type="worksheet">
    <worksheetSource ref="A1:CA1048576" sheet="orders_2025-07-28_11-52"/>
  </cacheSource>
  <cacheFields count="79">
    <cacheField name="order_number" numFmtId="0">
      <sharedItems containsBlank="1"/>
    </cacheField>
    <cacheField name="tax_invoice_number" numFmtId="0">
      <sharedItems containsString="0" containsBlank="1" containsNumber="1" containsInteger="1" minValue="3671" maxValue="3710"/>
    </cacheField>
    <cacheField name="cancellation_invoice_number" numFmtId="0">
      <sharedItems containsBlank="1"/>
    </cacheField>
    <cacheField name="email" numFmtId="0">
      <sharedItems containsBlank="1"/>
    </cacheField>
    <cacheField name="sku" numFmtId="0">
      <sharedItems containsString="0" containsBlank="1" containsNumber="1" containsInteger="1" minValue="0" maxValue="3013"/>
    </cacheField>
    <cacheField name="name" numFmtId="0">
      <sharedItems containsBlank="1" count="16">
        <s v="Pizza dough 1x(8) (Nole/DG Only)"/>
        <s v="Pizza dough 1x(15) LRG white trays (KA/SP/GA/MH)"/>
        <s v="COMPLETED PIE ORDER"/>
        <s v="Nole Paper"/>
        <s v="Bread dough"/>
        <s v="Refuse sacks x200"/>
        <s v="Pork And Apple Pies 1x(6)"/>
        <s v="Printer Ribbon"/>
        <s v="Chickpea Paper X1000 Sheets"/>
        <s v="Ear Plugs (box of 100)"/>
        <s v="Beer Coasters (stack of 125)"/>
        <s v="Menu printer paper 8x250sheets"/>
        <s v="Bill clips"/>
        <s v="Land&amp;Water 5L Shampoo"/>
        <s v="COLLECT INVOICES AND CASH"/>
        <m/>
      </sharedItems>
    </cacheField>
    <cacheField name="weight" numFmtId="0">
      <sharedItems containsString="0" containsBlank="1" containsNumber="1" containsInteger="1" minValue="0" maxValue="0"/>
    </cacheField>
    <cacheField name="price" numFmtId="0">
      <sharedItems containsString="0" containsBlank="1" containsNumber="1" minValue="0" maxValue="68.12"/>
    </cacheField>
    <cacheField name="total" numFmtId="0">
      <sharedItems containsString="0" containsBlank="1" containsNumber="1" minValue="0" maxValue="400"/>
    </cacheField>
    <cacheField name="quantity" numFmtId="0">
      <sharedItems containsString="0" containsBlank="1" containsNumber="1" containsInteger="1" minValue="1" maxValue="50"/>
    </cacheField>
    <cacheField name="options" numFmtId="0">
      <sharedItems containsBlank="1"/>
    </cacheField>
    <cacheField name="tax_details" numFmtId="0">
      <sharedItems containsBlank="1"/>
    </cacheField>
    <cacheField name="customer_tax_exempt" numFmtId="0">
      <sharedItems containsBlank="1"/>
    </cacheField>
    <cacheField name="customer_tax_id" numFmtId="0">
      <sharedItems containsBlank="1"/>
    </cacheField>
    <cacheField name="reversed_tax_applied" numFmtId="0">
      <sharedItems containsBlank="1"/>
    </cacheField>
    <cacheField name="timestamp" numFmtId="0">
      <sharedItems containsNonDate="0" containsDate="1" containsString="0" containsBlank="1" minDate="2025-07-21T20:24:00" maxDate="2025-07-27T21:11:00"/>
    </cacheField>
    <cacheField name="shipto_person_name" numFmtId="0">
      <sharedItems containsBlank="1"/>
    </cacheField>
    <cacheField name="shipto_person_company_name" numFmtId="0">
      <sharedItems containsBlank="1"/>
    </cacheField>
    <cacheField name="shipto_person_street_1" numFmtId="0">
      <sharedItems containsBlank="1"/>
    </cacheField>
    <cacheField name="shipto_person_street_2" numFmtId="0">
      <sharedItems containsBlank="1"/>
    </cacheField>
    <cacheField name="shipto_person_city" numFmtId="0">
      <sharedItems containsBlank="1"/>
    </cacheField>
    <cacheField name="shipto_person_country_code" numFmtId="0">
      <sharedItems containsBlank="1"/>
    </cacheField>
    <cacheField name="shipto_person_postal_code" numFmtId="0">
      <sharedItems containsBlank="1"/>
    </cacheField>
    <cacheField name="shipto_person_state_code" numFmtId="0">
      <sharedItems containsBlank="1"/>
    </cacheField>
    <cacheField name="shipto_person_country_name" numFmtId="0">
      <sharedItems containsBlank="1"/>
    </cacheField>
    <cacheField name="shipto_person_state_name" numFmtId="0">
      <sharedItems containsBlank="1"/>
    </cacheField>
    <cacheField name="shipto_person_phone" numFmtId="0">
      <sharedItems containsBlank="1"/>
    </cacheField>
    <cacheField name="bill_person_name" numFmtId="0">
      <sharedItems containsBlank="1"/>
    </cacheField>
    <cacheField name="bill_person_company_name" numFmtId="0">
      <sharedItems containsBlank="1"/>
    </cacheField>
    <cacheField name="bill_person_street_1" numFmtId="0">
      <sharedItems containsBlank="1"/>
    </cacheField>
    <cacheField name="bill_person_street_2" numFmtId="0">
      <sharedItems containsBlank="1"/>
    </cacheField>
    <cacheField name="bill_person_city" numFmtId="0">
      <sharedItems containsBlank="1"/>
    </cacheField>
    <cacheField name="bill_person_country_code" numFmtId="0">
      <sharedItems containsBlank="1"/>
    </cacheField>
    <cacheField name="bill_person_postal_code" numFmtId="0">
      <sharedItems containsBlank="1"/>
    </cacheField>
    <cacheField name="bill_person_state_code" numFmtId="0">
      <sharedItems containsBlank="1"/>
    </cacheField>
    <cacheField name="bill_person_country_name" numFmtId="0">
      <sharedItems containsBlank="1"/>
    </cacheField>
    <cacheField name="bill_person_state_name" numFmtId="0">
      <sharedItems containsBlank="1"/>
    </cacheField>
    <cacheField name="bill_person_phone" numFmtId="0">
      <sharedItems containsBlank="1"/>
    </cacheField>
    <cacheField name="customer_group" numFmtId="0">
      <sharedItems containsBlank="1"/>
    </cacheField>
    <cacheField name="payment_method" numFmtId="0">
      <sharedItems containsBlank="1"/>
    </cacheField>
    <cacheField name="shipping_method" numFmtId="0">
      <sharedItems containsBlank="1"/>
    </cacheField>
    <cacheField name="payment_status" numFmtId="0">
      <sharedItems containsBlank="1"/>
    </cacheField>
    <cacheField name="fulfillment_status" numFmtId="0">
      <sharedItems containsBlank="1"/>
    </cacheField>
    <cacheField name="payment_status_code" numFmtId="0">
      <sharedItems containsBlank="1"/>
    </cacheField>
    <cacheField name="fulfillment_status_code" numFmtId="0">
      <sharedItems containsBlank="1"/>
    </cacheField>
    <cacheField name="order_subtotal" numFmtId="0">
      <sharedItems containsString="0" containsBlank="1" containsNumber="1" minValue="16" maxValue="400"/>
    </cacheField>
    <cacheField name="order_tax" numFmtId="0">
      <sharedItems containsString="0" containsBlank="1" containsNumber="1" containsInteger="1" minValue="0" maxValue="0"/>
    </cacheField>
    <cacheField name="order_shipping" numFmtId="0">
      <sharedItems containsString="0" containsBlank="1" containsNumber="1" containsInteger="1" minValue="0" maxValue="0"/>
    </cacheField>
    <cacheField name="order_handling_fee" numFmtId="0">
      <sharedItems containsString="0" containsBlank="1" containsNumber="1" containsInteger="1" minValue="0" maxValue="0"/>
    </cacheField>
    <cacheField name="order_total" numFmtId="0">
      <sharedItems containsString="0" containsBlank="1" containsNumber="1" minValue="16" maxValue="400"/>
    </cacheField>
    <cacheField name="order_tax_1_name" numFmtId="0">
      <sharedItems containsBlank="1"/>
    </cacheField>
    <cacheField name="order_tax_1_value" numFmtId="0">
      <sharedItems containsBlank="1"/>
    </cacheField>
    <cacheField name="order_tracking_number" numFmtId="0">
      <sharedItems containsBlank="1"/>
    </cacheField>
    <cacheField name="coupon_code" numFmtId="0">
      <sharedItems containsBlank="1"/>
    </cacheField>
    <cacheField name="coupon_discount" numFmtId="0">
      <sharedItems containsString="0" containsBlank="1" containsNumber="1" containsInteger="1" minValue="0" maxValue="0"/>
    </cacheField>
    <cacheField name="volume_discount" numFmtId="0">
      <sharedItems containsString="0" containsBlank="1" containsNumber="1" containsInteger="1" minValue="0" maxValue="0"/>
    </cacheField>
    <cacheField name="detail_discount" numFmtId="0">
      <sharedItems containsBlank="1"/>
    </cacheField>
    <cacheField name="discount" numFmtId="0">
      <sharedItems containsString="0" containsBlank="1" containsNumber="1" containsInteger="1" minValue="0" maxValue="0"/>
    </cacheField>
    <cacheField name="order_weight" numFmtId="0">
      <sharedItems containsString="0" containsBlank="1" containsNumber="1" containsInteger="1" minValue="0" maxValue="0"/>
    </cacheField>
    <cacheField name="order_comments" numFmtId="0">
      <sharedItems containsBlank="1"/>
    </cacheField>
    <cacheField name="affiliate_id" numFmtId="0">
      <sharedItems containsBlank="1"/>
    </cacheField>
    <cacheField name="utm_source" numFmtId="0">
      <sharedItems containsBlank="1"/>
    </cacheField>
    <cacheField name="utm_medium" numFmtId="0">
      <sharedItems containsBlank="1"/>
    </cacheField>
    <cacheField name="utm_campaign" numFmtId="0">
      <sharedItems containsBlank="1"/>
    </cacheField>
    <cacheField name="customer_ipaddress" numFmtId="0">
      <sharedItems containsBlank="1"/>
    </cacheField>
    <cacheField name="note_for_staff" numFmtId="0">
      <sharedItems containsBlank="1"/>
    </cacheField>
    <cacheField name="accept_marketing" numFmtId="0">
      <sharedItems containsBlank="1"/>
    </cacheField>
    <cacheField name="referer_id" numFmtId="0">
      <sharedItems containsBlank="1"/>
    </cacheField>
    <cacheField name="gift_card_redemption" numFmtId="0">
      <sharedItems containsString="0" containsBlank="1" containsNumber="1" containsInteger="1" minValue="0" maxValue="0"/>
    </cacheField>
    <cacheField name="masked_gift_card_code" numFmtId="0">
      <sharedItems containsBlank="1"/>
    </cacheField>
    <cacheField name="payment_transaction_id" numFmtId="0">
      <sharedItems containsBlank="1"/>
    </cacheField>
    <cacheField name="tips" numFmtId="0">
      <sharedItems containsBlank="1"/>
    </cacheField>
    <cacheField name="surcharges" numFmtId="0">
      <sharedItems containsBlank="1"/>
    </cacheField>
    <cacheField name="What day would you like this for?" numFmtId="0">
      <sharedItems containsBlank="1"/>
    </cacheField>
    <cacheField name="Which site is this for?" numFmtId="0">
      <sharedItems containsBlank="1"/>
    </cacheField>
    <cacheField name="Which site is it for?" numFmtId="0">
      <sharedItems containsBlank="1" count="11">
        <s v="NOLE"/>
        <s v="DG"/>
        <s v="PA"/>
        <s v="BC"/>
        <s v="SP"/>
        <s v="QH"/>
        <s v="KA"/>
        <s v="GA"/>
        <s v="MH"/>
        <m/>
        <s v="" u="1"/>
      </sharedItems>
    </cacheField>
    <cacheField name="Select Delivery Day (IF same day pick up please put today)" numFmtId="0">
      <sharedItems containsBlank="1"/>
    </cacheField>
    <cacheField name="null" numFmtId="0">
      <sharedItems containsBlank="1"/>
    </cacheField>
    <cacheField name="languag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HICKPEA0XXCY123"/>
    <n v="3671"/>
    <s v=""/>
    <s v="hello@nolepizza.co.uk"/>
    <n v="0"/>
    <x v="0"/>
    <n v="0"/>
    <n v="8"/>
    <n v="160"/>
    <n v="20"/>
    <s v=""/>
    <s v=""/>
    <b v="0"/>
    <s v=""/>
    <b v="0"/>
    <d v="2025-07-21T20:24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60"/>
    <n v="0"/>
    <n v="0"/>
    <n v="0"/>
    <n v="160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217.168.251.25"/>
    <s v=""/>
    <s v=""/>
    <s v=""/>
    <n v="0"/>
    <s v=""/>
    <s v=""/>
    <s v=""/>
    <s v=""/>
    <s v=""/>
    <s v=""/>
    <x v="0"/>
    <s v="TUESDAY"/>
    <s v="27304e57-4352-4fb0-b94e-d6db7e900904"/>
    <s v="en"/>
  </r>
  <r>
    <s v="CHICKPEAUM7GE123"/>
    <n v="3672"/>
    <s v=""/>
    <s v="hello@dogandgunnetheravon.co.uk"/>
    <n v="54"/>
    <x v="1"/>
    <n v="0"/>
    <n v="15"/>
    <n v="75"/>
    <n v="5"/>
    <s v=""/>
    <s v=""/>
    <b v="0"/>
    <s v=""/>
    <b v="0"/>
    <d v="2025-07-21T21:17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35"/>
    <n v="0"/>
    <n v="0"/>
    <n v="0"/>
    <n v="135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31.113.195.59"/>
    <s v=""/>
    <s v=""/>
    <s v=""/>
    <n v="0"/>
    <s v=""/>
    <s v=""/>
    <s v=""/>
    <s v=""/>
    <s v=""/>
    <s v=""/>
    <x v="1"/>
    <s v="WEDNESDAY"/>
    <s v="29c2eb6d-5606-46c7-a805-9dce2a4da54e"/>
    <s v="en"/>
  </r>
  <r>
    <s v="CHICKPEAUM7GE123"/>
    <n v="3672"/>
    <s v=""/>
    <s v="hello@dogandgunnetheravon.co.uk"/>
    <n v="18"/>
    <x v="2"/>
    <n v="0"/>
    <n v="30"/>
    <n v="60"/>
    <n v="2"/>
    <s v=""/>
    <s v=""/>
    <b v="0"/>
    <s v=""/>
    <b v="0"/>
    <d v="2025-07-21T21:17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35"/>
    <n v="0"/>
    <n v="0"/>
    <n v="0"/>
    <n v="135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31.113.195.59"/>
    <s v=""/>
    <s v=""/>
    <s v=""/>
    <n v="0"/>
    <s v=""/>
    <s v=""/>
    <s v=""/>
    <s v=""/>
    <s v=""/>
    <s v=""/>
    <x v="1"/>
    <s v="WEDNESDAY"/>
    <s v="29c2eb6d-5606-46c7-a805-9dce2a4da54e"/>
    <s v="en"/>
  </r>
  <r>
    <s v="CHICKPEA1CP1D123"/>
    <n v="3674"/>
    <s v=""/>
    <s v="brad@chickpea.group"/>
    <n v="8"/>
    <x v="3"/>
    <n v="0"/>
    <n v="68.12"/>
    <n v="68.12"/>
    <n v="1"/>
    <s v=""/>
    <s v=""/>
    <b v="0"/>
    <s v=""/>
    <b v="0"/>
    <d v="2025-07-21T21:54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68.12"/>
    <n v="0"/>
    <n v="0"/>
    <n v="0"/>
    <n v="68.12"/>
    <s v=""/>
    <s v=""/>
    <s v=""/>
    <s v=""/>
    <n v="0"/>
    <n v="0"/>
    <s v="volume_discount:0.00;customer_group_discount:0.00;customer_group_volume_discount:0.00;shipping_discount:0.00"/>
    <n v="0"/>
    <n v="0"/>
    <s v="Tue/wed either works"/>
    <s v=""/>
    <s v=""/>
    <s v=""/>
    <s v=""/>
    <s v="148.252.146.126"/>
    <s v=""/>
    <s v=""/>
    <s v=""/>
    <n v="0"/>
    <s v=""/>
    <s v=""/>
    <s v=""/>
    <s v=""/>
    <s v=""/>
    <s v=""/>
    <x v="2"/>
    <s v="TUESDAY"/>
    <s v="a9085ce1-922c-4a42-be08-08f265d45f82"/>
    <s v="en"/>
  </r>
  <r>
    <s v="CHICKPEAEXAPE123"/>
    <n v="3673"/>
    <s v=""/>
    <s v="connor@chickpea.group"/>
    <n v="3"/>
    <x v="4"/>
    <n v="0"/>
    <n v="4"/>
    <n v="16"/>
    <n v="4"/>
    <s v=""/>
    <s v=""/>
    <b v="0"/>
    <s v=""/>
    <b v="0"/>
    <d v="2025-07-21T21:43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6"/>
    <n v="0"/>
    <n v="0"/>
    <n v="0"/>
    <n v="16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185.216.146.118"/>
    <s v=""/>
    <s v=""/>
    <s v=""/>
    <n v="0"/>
    <s v=""/>
    <s v=""/>
    <s v=""/>
    <s v=""/>
    <s v=""/>
    <s v=""/>
    <x v="3"/>
    <s v="TUESDAY"/>
    <s v=""/>
    <s v="en"/>
  </r>
  <r>
    <s v="CHICKPEAELGST123"/>
    <n v="3675"/>
    <s v=""/>
    <s v="hello@silverplough-pitton.co.uk"/>
    <n v="3004"/>
    <x v="5"/>
    <n v="0"/>
    <n v="10.7"/>
    <n v="21.4"/>
    <n v="2"/>
    <s v=""/>
    <s v=""/>
    <b v="0"/>
    <s v=""/>
    <b v="0"/>
    <d v="2025-07-22T11:40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21.4"/>
    <n v="0"/>
    <n v="0"/>
    <n v="0"/>
    <n v="21.4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55.53"/>
    <s v=""/>
    <s v=""/>
    <s v=""/>
    <n v="0"/>
    <s v=""/>
    <s v=""/>
    <s v=""/>
    <s v=""/>
    <s v=""/>
    <s v=""/>
    <x v="4"/>
    <s v="WEDNESDAY"/>
    <s v="72be4c9c-4358-4384-955a-7a65ce2eaab9"/>
    <s v="en"/>
  </r>
  <r>
    <s v="CHICKPEALCU9U123"/>
    <n v="3677"/>
    <s v=""/>
    <s v="hello@silverplough-pitton.co.uk"/>
    <n v="18"/>
    <x v="2"/>
    <n v="0"/>
    <n v="30"/>
    <n v="90"/>
    <n v="3"/>
    <s v=""/>
    <s v=""/>
    <b v="0"/>
    <s v=""/>
    <b v="0"/>
    <d v="2025-07-22T20:26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28"/>
    <n v="0"/>
    <n v="0"/>
    <n v="0"/>
    <n v="128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55.53"/>
    <s v=""/>
    <s v=""/>
    <s v=""/>
    <n v="0"/>
    <s v=""/>
    <s v=""/>
    <s v=""/>
    <s v=""/>
    <s v=""/>
    <s v=""/>
    <x v="4"/>
    <s v="WEDNESDAY"/>
    <s v="f2d4cb4d-e334-445c-95f8-b8859f20afe3"/>
    <s v="en"/>
  </r>
  <r>
    <s v="CHICKPEALCU9U123"/>
    <n v="3677"/>
    <s v=""/>
    <s v="hello@silverplough-pitton.co.uk"/>
    <n v="3"/>
    <x v="4"/>
    <n v="0"/>
    <n v="4"/>
    <n v="8"/>
    <n v="2"/>
    <s v=""/>
    <s v=""/>
    <b v="0"/>
    <s v=""/>
    <b v="0"/>
    <d v="2025-07-22T20:26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28"/>
    <n v="0"/>
    <n v="0"/>
    <n v="0"/>
    <n v="128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55.53"/>
    <s v=""/>
    <s v=""/>
    <s v=""/>
    <n v="0"/>
    <s v=""/>
    <s v=""/>
    <s v=""/>
    <s v=""/>
    <s v=""/>
    <s v=""/>
    <x v="4"/>
    <s v="WEDNESDAY"/>
    <s v="f2d4cb4d-e334-445c-95f8-b8859f20afe3"/>
    <s v="en"/>
  </r>
  <r>
    <s v="CHICKPEALCU9U123"/>
    <n v="3677"/>
    <s v=""/>
    <s v="hello@silverplough-pitton.co.uk"/>
    <n v="54"/>
    <x v="1"/>
    <n v="0"/>
    <n v="15"/>
    <n v="30"/>
    <n v="2"/>
    <s v=""/>
    <s v=""/>
    <b v="0"/>
    <s v=""/>
    <b v="0"/>
    <d v="2025-07-22T20:26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28"/>
    <n v="0"/>
    <n v="0"/>
    <n v="0"/>
    <n v="128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55.53"/>
    <s v=""/>
    <s v=""/>
    <s v=""/>
    <n v="0"/>
    <s v=""/>
    <s v=""/>
    <s v=""/>
    <s v=""/>
    <s v=""/>
    <s v=""/>
    <x v="4"/>
    <s v="WEDNESDAY"/>
    <s v="f2d4cb4d-e334-445c-95f8-b8859f20afe3"/>
    <s v="en"/>
  </r>
  <r>
    <s v="CHICKPEAO7I0X123"/>
    <n v="3679"/>
    <s v=""/>
    <s v="rhysegriffith@gmail.com"/>
    <n v="54"/>
    <x v="1"/>
    <n v="0"/>
    <n v="15"/>
    <n v="30"/>
    <n v="2"/>
    <s v=""/>
    <s v=""/>
    <b v="0"/>
    <s v=""/>
    <b v="0"/>
    <d v="2025-07-22T20:49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30"/>
    <n v="0"/>
    <n v="0"/>
    <n v="0"/>
    <n v="30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48.232"/>
    <s v=""/>
    <s v=""/>
    <s v=""/>
    <n v="0"/>
    <s v=""/>
    <s v=""/>
    <s v=""/>
    <s v=""/>
    <s v=""/>
    <s v=""/>
    <x v="5"/>
    <s v="WEDNESDAY"/>
    <s v=""/>
    <s v="en"/>
  </r>
  <r>
    <s v="CHICKPEA8IGG1123"/>
    <n v="3676"/>
    <s v=""/>
    <s v="rhysegriffith@gmail.com"/>
    <n v="54"/>
    <x v="1"/>
    <n v="0"/>
    <n v="15"/>
    <n v="30"/>
    <n v="2"/>
    <s v=""/>
    <s v=""/>
    <b v="0"/>
    <s v=""/>
    <b v="0"/>
    <d v="2025-07-22T20:24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Canceled"/>
    <s v="Delivery Canceled"/>
    <s v="CANCELLED"/>
    <s v="WILL_NOT_DELIVER"/>
    <n v="300"/>
    <n v="0"/>
    <n v="0"/>
    <n v="0"/>
    <n v="300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48.232"/>
    <s v=""/>
    <s v=""/>
    <s v=""/>
    <n v="0"/>
    <s v=""/>
    <s v=""/>
    <s v=""/>
    <s v=""/>
    <s v=""/>
    <s v=""/>
    <x v="5"/>
    <s v="WEDNESDAY"/>
    <s v=""/>
    <s v="en"/>
  </r>
  <r>
    <s v="CHICKPEA8IGG1123"/>
    <n v="3676"/>
    <s v=""/>
    <s v="rhysegriffith@gmail.com"/>
    <n v="66"/>
    <x v="6"/>
    <n v="0"/>
    <n v="30"/>
    <n v="270"/>
    <n v="9"/>
    <s v=""/>
    <s v=""/>
    <b v="0"/>
    <s v=""/>
    <b v="0"/>
    <d v="2025-07-22T20:24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Canceled"/>
    <s v="Delivery Canceled"/>
    <s v="CANCELLED"/>
    <s v="WILL_NOT_DELIVER"/>
    <n v="300"/>
    <n v="0"/>
    <n v="0"/>
    <n v="0"/>
    <n v="300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48.232"/>
    <s v=""/>
    <s v=""/>
    <s v=""/>
    <n v="0"/>
    <s v=""/>
    <s v=""/>
    <s v=""/>
    <s v=""/>
    <s v=""/>
    <s v=""/>
    <x v="5"/>
    <s v="WEDNESDAY"/>
    <s v=""/>
    <s v="en"/>
  </r>
  <r>
    <s v="CHICKPEAF3MQU123"/>
    <n v="3678"/>
    <s v=""/>
    <s v="hello@nolepizza.co.uk"/>
    <n v="0"/>
    <x v="0"/>
    <n v="0"/>
    <n v="8"/>
    <n v="184"/>
    <n v="23"/>
    <s v=""/>
    <s v=""/>
    <b v="0"/>
    <s v=""/>
    <b v="0"/>
    <d v="2025-07-22T20:34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84"/>
    <n v="0"/>
    <n v="0"/>
    <n v="0"/>
    <n v="184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217.168.251.25"/>
    <s v=""/>
    <s v=""/>
    <s v=""/>
    <n v="0"/>
    <s v=""/>
    <s v=""/>
    <s v=""/>
    <s v=""/>
    <s v=""/>
    <s v=""/>
    <x v="0"/>
    <s v="WEDNESDAY"/>
    <s v="27304e57-4352-4fb0-b94e-d6db7e900904"/>
    <s v="en"/>
  </r>
  <r>
    <s v="CHICKPEARJZOL123"/>
    <n v="3680"/>
    <s v=""/>
    <s v="rory.short@hotmail.co.uk"/>
    <n v="66"/>
    <x v="6"/>
    <n v="0"/>
    <n v="30"/>
    <n v="30"/>
    <n v="1"/>
    <s v=""/>
    <s v=""/>
    <b v="0"/>
    <s v=""/>
    <b v="0"/>
    <d v="2025-07-22T21:28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30"/>
    <n v="0"/>
    <n v="0"/>
    <n v="0"/>
    <n v="30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45.142"/>
    <s v=""/>
    <s v=""/>
    <s v=""/>
    <n v="0"/>
    <s v=""/>
    <s v=""/>
    <s v=""/>
    <s v=""/>
    <s v=""/>
    <s v=""/>
    <x v="6"/>
    <s v="WEDNESDAY"/>
    <s v="a08f5e5d-5e9c-4ea9-bb69-b3a74a5958bc"/>
    <s v="en"/>
  </r>
  <r>
    <s v="CHICKPEARXCEX123"/>
    <n v="3681"/>
    <s v=""/>
    <s v="connorrance95@gmail.com"/>
    <n v="18"/>
    <x v="2"/>
    <n v="0"/>
    <n v="30"/>
    <n v="90"/>
    <n v="3"/>
    <s v=""/>
    <s v=""/>
    <b v="0"/>
    <s v=""/>
    <b v="0"/>
    <d v="2025-07-23T17:46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90"/>
    <n v="0"/>
    <n v="0"/>
    <n v="0"/>
    <n v="90"/>
    <s v=""/>
    <s v=""/>
    <s v=""/>
    <s v=""/>
    <n v="0"/>
    <n v="0"/>
    <s v="volume_discount:0.00;customer_group_discount:0.00;customer_group_volume_discount:0.00;shipping_discount:0.00"/>
    <n v="0"/>
    <n v="0"/>
    <s v="All ready delivered this morning"/>
    <s v=""/>
    <s v=""/>
    <s v=""/>
    <s v=""/>
    <s v="85.193.148.232"/>
    <s v=""/>
    <s v=""/>
    <s v=""/>
    <n v="0"/>
    <s v=""/>
    <s v=""/>
    <s v=""/>
    <s v=""/>
    <s v=""/>
    <s v=""/>
    <x v="5"/>
    <s v="WEDNESDAY"/>
    <s v="a3384d82-4e8b-484f-aa1e-67c2ecfd4758"/>
    <s v="en"/>
  </r>
  <r>
    <s v="CHICKPEA8DEK4123"/>
    <n v="3682"/>
    <s v=""/>
    <s v="declan@chickpea.group"/>
    <n v="54"/>
    <x v="1"/>
    <n v="0"/>
    <n v="15"/>
    <n v="75"/>
    <n v="5"/>
    <s v=""/>
    <s v=""/>
    <b v="0"/>
    <s v=""/>
    <b v="0"/>
    <d v="2025-07-23T18:21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75"/>
    <n v="0"/>
    <n v="0"/>
    <n v="0"/>
    <n v="75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55.53"/>
    <s v=""/>
    <s v=""/>
    <s v=""/>
    <n v="0"/>
    <s v=""/>
    <s v=""/>
    <s v=""/>
    <s v=""/>
    <s v=""/>
    <s v=""/>
    <x v="4"/>
    <s v="THURSDAY"/>
    <s v="3464c083-3c57-44d0-a50f-98ef1b6b0c6e"/>
    <s v="en"/>
  </r>
  <r>
    <s v="CHICKPEAVLIO8123"/>
    <n v="3683"/>
    <s v=""/>
    <s v="hello@dogandgunnetheravon.co.uk"/>
    <n v="54"/>
    <x v="1"/>
    <n v="0"/>
    <n v="15"/>
    <n v="120"/>
    <n v="8"/>
    <s v=""/>
    <s v=""/>
    <b v="0"/>
    <s v=""/>
    <b v="0"/>
    <d v="2025-07-23T21:18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88.12"/>
    <n v="0"/>
    <n v="0"/>
    <n v="0"/>
    <n v="188.12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31.113.195.59"/>
    <s v=""/>
    <s v=""/>
    <s v=""/>
    <n v="0"/>
    <s v=""/>
    <s v=""/>
    <s v=""/>
    <s v=""/>
    <s v=""/>
    <s v=""/>
    <x v="1"/>
    <s v="THURSDAY"/>
    <s v="29c2eb6d-5606-46c7-a805-9dce2a4da54e"/>
    <s v="en"/>
  </r>
  <r>
    <s v="CHICKPEAVLIO8123"/>
    <n v="3683"/>
    <s v=""/>
    <s v="hello@dogandgunnetheravon.co.uk"/>
    <n v="8"/>
    <x v="3"/>
    <n v="0"/>
    <n v="68.12"/>
    <n v="68.12"/>
    <n v="1"/>
    <s v=""/>
    <s v=""/>
    <b v="0"/>
    <s v=""/>
    <b v="0"/>
    <d v="2025-07-23T21:18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88.12"/>
    <n v="0"/>
    <n v="0"/>
    <n v="0"/>
    <n v="188.12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31.113.195.59"/>
    <s v=""/>
    <s v=""/>
    <s v=""/>
    <n v="0"/>
    <s v=""/>
    <s v=""/>
    <s v=""/>
    <s v=""/>
    <s v=""/>
    <s v=""/>
    <x v="1"/>
    <s v="THURSDAY"/>
    <s v="29c2eb6d-5606-46c7-a805-9dce2a4da54e"/>
    <s v="en"/>
  </r>
  <r>
    <s v="CHICKPEAIBXEP123"/>
    <n v="3684"/>
    <s v=""/>
    <s v="salisbury@nolepizza.co.uk"/>
    <n v="0"/>
    <x v="0"/>
    <n v="0"/>
    <n v="8"/>
    <n v="112"/>
    <n v="14"/>
    <s v=""/>
    <s v=""/>
    <b v="0"/>
    <s v=""/>
    <b v="0"/>
    <d v="2025-07-23T21:19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12"/>
    <n v="0"/>
    <n v="0"/>
    <n v="0"/>
    <n v="112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109.145.145.143"/>
    <s v=""/>
    <s v=""/>
    <s v=""/>
    <n v="0"/>
    <s v=""/>
    <s v=""/>
    <s v=""/>
    <s v=""/>
    <s v=""/>
    <s v=""/>
    <x v="0"/>
    <s v="THURSDAY"/>
    <s v="6e079ec2-c4ff-460b-a88f-2e17c5c5d928"/>
    <s v="en"/>
  </r>
  <r>
    <s v="CHICKPEAEKBIM123"/>
    <n v="3685"/>
    <s v=""/>
    <s v="rory.short@hotmail.co.uk"/>
    <n v="54"/>
    <x v="1"/>
    <n v="0"/>
    <n v="15"/>
    <n v="45"/>
    <n v="3"/>
    <s v=""/>
    <s v=""/>
    <b v="0"/>
    <s v=""/>
    <b v="0"/>
    <d v="2025-07-23T21:21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45"/>
    <n v="0"/>
    <n v="0"/>
    <n v="0"/>
    <n v="45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45.142"/>
    <s v=""/>
    <s v=""/>
    <s v=""/>
    <n v="0"/>
    <s v=""/>
    <s v=""/>
    <s v=""/>
    <s v=""/>
    <s v=""/>
    <s v=""/>
    <x v="6"/>
    <s v="THURSDAY"/>
    <s v="a08f5e5d-5e9c-4ea9-bb69-b3a74a5958bc"/>
    <s v="en"/>
  </r>
  <r>
    <s v="CHICKPEATHCJ1123"/>
    <n v="3686"/>
    <s v=""/>
    <s v="hello@grosvenorarmshindon.co.uk"/>
    <n v="54"/>
    <x v="1"/>
    <n v="0"/>
    <n v="15"/>
    <n v="210"/>
    <n v="14"/>
    <s v=""/>
    <s v=""/>
    <b v="0"/>
    <s v=""/>
    <b v="0"/>
    <d v="2025-07-24T11:19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210"/>
    <n v="0"/>
    <n v="0"/>
    <n v="0"/>
    <n v="210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31.96.53.158"/>
    <s v=""/>
    <s v=""/>
    <s v=""/>
    <n v="0"/>
    <s v=""/>
    <s v=""/>
    <s v=""/>
    <s v=""/>
    <s v=""/>
    <s v=""/>
    <x v="7"/>
    <s v="FRIDAY"/>
    <s v="4ca1ecec-46e4-4be7-bed3-1fe69909d846"/>
    <s v="en"/>
  </r>
  <r>
    <s v="CHICKPEAZ8ACD123"/>
    <n v="3687"/>
    <s v=""/>
    <s v="bruno@chickpea.group"/>
    <n v="54"/>
    <x v="1"/>
    <n v="0"/>
    <n v="15"/>
    <n v="75"/>
    <n v="5"/>
    <s v=""/>
    <s v=""/>
    <b v="0"/>
    <s v=""/>
    <b v="0"/>
    <d v="2025-07-24T14:52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95"/>
    <n v="0"/>
    <n v="0"/>
    <n v="0"/>
    <n v="95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45.221"/>
    <s v=""/>
    <s v=""/>
    <s v=""/>
    <n v="0"/>
    <s v=""/>
    <s v=""/>
    <s v=""/>
    <s v=""/>
    <s v=""/>
    <s v=""/>
    <x v="8"/>
    <s v="FRIDAY"/>
    <s v="63e12738-a92e-4471-bb50-4329a43bc905"/>
    <s v="en"/>
  </r>
  <r>
    <s v="CHICKPEAZ8ACD123"/>
    <n v="3687"/>
    <s v=""/>
    <s v="bruno@chickpea.group"/>
    <n v="3"/>
    <x v="4"/>
    <n v="0"/>
    <n v="4"/>
    <n v="20"/>
    <n v="5"/>
    <s v=""/>
    <s v=""/>
    <b v="0"/>
    <s v=""/>
    <b v="0"/>
    <d v="2025-07-24T14:52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95"/>
    <n v="0"/>
    <n v="0"/>
    <n v="0"/>
    <n v="95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45.221"/>
    <s v=""/>
    <s v=""/>
    <s v=""/>
    <n v="0"/>
    <s v=""/>
    <s v=""/>
    <s v=""/>
    <s v=""/>
    <s v=""/>
    <s v=""/>
    <x v="8"/>
    <s v="FRIDAY"/>
    <s v="63e12738-a92e-4471-bb50-4329a43bc905"/>
    <s v="en"/>
  </r>
  <r>
    <s v="CHICKPEAXISKY123"/>
    <n v="3690"/>
    <s v=""/>
    <s v="kianacmoore@gmail.com"/>
    <n v="54"/>
    <x v="1"/>
    <n v="0"/>
    <n v="15"/>
    <n v="210"/>
    <n v="14"/>
    <s v=""/>
    <s v=""/>
    <b v="0"/>
    <s v=""/>
    <b v="0"/>
    <d v="2025-07-24T15:31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Canceled"/>
    <s v="Delivery Canceled"/>
    <s v="CANCELLED"/>
    <s v="WILL_NOT_DELIVER"/>
    <n v="210"/>
    <n v="0"/>
    <n v="0"/>
    <n v="0"/>
    <n v="210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6.156.2.199"/>
    <s v=""/>
    <s v=""/>
    <s v=""/>
    <n v="0"/>
    <s v=""/>
    <s v=""/>
    <s v=""/>
    <s v=""/>
    <s v=""/>
    <s v=""/>
    <x v="7"/>
    <s v="FRIDAY"/>
    <s v="3b6b92b5-1166-448e-b38a-05aa876ab700"/>
    <s v="en"/>
  </r>
  <r>
    <s v="CHICKPEANYO21123"/>
    <n v="3688"/>
    <s v=""/>
    <s v="connorrance95@gmail.com"/>
    <n v="54"/>
    <x v="1"/>
    <n v="0"/>
    <n v="15"/>
    <n v="90"/>
    <n v="6"/>
    <s v=""/>
    <s v=""/>
    <b v="0"/>
    <s v=""/>
    <b v="0"/>
    <d v="2025-07-24T14:55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90"/>
    <n v="0"/>
    <n v="0"/>
    <n v="0"/>
    <n v="90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48.232"/>
    <s v=""/>
    <s v=""/>
    <s v=""/>
    <n v="0"/>
    <s v=""/>
    <s v=""/>
    <s v=""/>
    <s v=""/>
    <s v=""/>
    <s v=""/>
    <x v="5"/>
    <s v="FRIDAY"/>
    <s v="aa576cf3-0984-45f8-b559-9713f0e4c0f9"/>
    <s v="en"/>
  </r>
  <r>
    <s v="CHICKPEARLWXB123"/>
    <n v="3689"/>
    <s v=""/>
    <s v="connor@chickpea.group"/>
    <n v="54"/>
    <x v="1"/>
    <n v="0"/>
    <n v="15"/>
    <n v="150"/>
    <n v="10"/>
    <s v=""/>
    <s v=""/>
    <b v="0"/>
    <s v=""/>
    <b v="0"/>
    <d v="2025-07-24T15:31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50"/>
    <n v="0"/>
    <n v="0"/>
    <n v="0"/>
    <n v="150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91.196.221.195"/>
    <s v=""/>
    <s v=""/>
    <s v=""/>
    <n v="0"/>
    <s v=""/>
    <s v=""/>
    <s v=""/>
    <s v=""/>
    <s v=""/>
    <s v=""/>
    <x v="3"/>
    <s v="SATURDAY"/>
    <s v=""/>
    <s v="en"/>
  </r>
  <r>
    <s v="CHICKPEAXYGHL123"/>
    <n v="3691"/>
    <s v=""/>
    <s v="hello@nolepizza.co.uk"/>
    <n v="0"/>
    <x v="0"/>
    <n v="0"/>
    <n v="8"/>
    <n v="400"/>
    <n v="50"/>
    <s v=""/>
    <s v=""/>
    <b v="0"/>
    <s v=""/>
    <b v="0"/>
    <d v="2025-07-24T21:12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400"/>
    <n v="0"/>
    <n v="0"/>
    <n v="0"/>
    <n v="400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217.168.251.25"/>
    <s v=""/>
    <s v=""/>
    <s v=""/>
    <n v="0"/>
    <s v=""/>
    <s v=""/>
    <s v=""/>
    <s v=""/>
    <s v=""/>
    <s v=""/>
    <x v="0"/>
    <s v="FRIDAY"/>
    <s v="27304e57-4352-4fb0-b94e-d6db7e900904"/>
    <s v="en"/>
  </r>
  <r>
    <s v="CHICKPEAB1DHE123"/>
    <n v="3692"/>
    <s v=""/>
    <s v="rory.short@hotmail.co.uk"/>
    <n v="54"/>
    <x v="1"/>
    <n v="0"/>
    <n v="15"/>
    <n v="60"/>
    <n v="4"/>
    <s v=""/>
    <s v=""/>
    <b v="0"/>
    <s v=""/>
    <b v="0"/>
    <d v="2025-07-24T21:30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60"/>
    <n v="0"/>
    <n v="0"/>
    <n v="0"/>
    <n v="60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45.142"/>
    <s v=""/>
    <s v=""/>
    <s v=""/>
    <n v="0"/>
    <s v=""/>
    <s v=""/>
    <s v=""/>
    <s v=""/>
    <s v=""/>
    <s v=""/>
    <x v="6"/>
    <s v="FRIDAY"/>
    <s v="a08f5e5d-5e9c-4ea9-bb69-b3a74a5958bc"/>
    <s v="en"/>
  </r>
  <r>
    <s v="CHICKPEA6ZUOU123"/>
    <n v="3693"/>
    <s v=""/>
    <s v="chrismod24@duck.com"/>
    <n v="3"/>
    <x v="4"/>
    <n v="0"/>
    <n v="4"/>
    <n v="24"/>
    <n v="6"/>
    <s v=""/>
    <s v=""/>
    <b v="0"/>
    <s v=""/>
    <b v="0"/>
    <d v="2025-07-24T21:33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24"/>
    <n v="0"/>
    <n v="0"/>
    <n v="0"/>
    <n v="24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57.121"/>
    <s v=""/>
    <s v=""/>
    <s v=""/>
    <n v="0"/>
    <s v=""/>
    <s v=""/>
    <s v=""/>
    <s v=""/>
    <s v=""/>
    <s v=""/>
    <x v="3"/>
    <s v="FRIDAY"/>
    <s v="19e37f15-3368-4079-89a0-4d09d9bfd907"/>
    <s v="en"/>
  </r>
  <r>
    <s v="CHICKPEA5JJIS123"/>
    <n v="3694"/>
    <s v=""/>
    <s v="declanzakk@gmail.com"/>
    <n v="54"/>
    <x v="1"/>
    <n v="0"/>
    <n v="15"/>
    <n v="105"/>
    <n v="7"/>
    <s v=""/>
    <s v=""/>
    <b v="0"/>
    <s v=""/>
    <b v="0"/>
    <d v="2025-07-25T18:15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05"/>
    <n v="0"/>
    <n v="0"/>
    <n v="0"/>
    <n v="105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55.53"/>
    <s v=""/>
    <s v=""/>
    <s v=""/>
    <n v="0"/>
    <s v=""/>
    <s v=""/>
    <s v=""/>
    <s v=""/>
    <s v=""/>
    <s v=""/>
    <x v="4"/>
    <s v="SATURDAY"/>
    <s v="21ef0295-c431-4ccf-af59-ad391d24989f"/>
    <s v="en"/>
  </r>
  <r>
    <s v="CHICKPEAKDNYQ123"/>
    <n v="3696"/>
    <s v=""/>
    <s v="gareth@chickpea.group"/>
    <n v="54"/>
    <x v="1"/>
    <n v="0"/>
    <n v="15"/>
    <n v="45"/>
    <n v="3"/>
    <s v=""/>
    <s v=""/>
    <b v="0"/>
    <s v=""/>
    <b v="0"/>
    <d v="2025-07-25T21:25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45"/>
    <n v="0"/>
    <n v="0"/>
    <n v="0"/>
    <n v="45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45.142"/>
    <s v=""/>
    <s v=""/>
    <s v=""/>
    <n v="0"/>
    <s v=""/>
    <s v=""/>
    <s v=""/>
    <s v=""/>
    <s v=""/>
    <s v=""/>
    <x v="6"/>
    <s v="SATURDAY"/>
    <s v="926fe990-a567-4695-9467-1605dfe828fa"/>
    <s v="en"/>
  </r>
  <r>
    <s v="CHICKPEAZVGRL123"/>
    <n v="3697"/>
    <s v=""/>
    <s v="newdogandgun@gmail.com"/>
    <n v="54"/>
    <x v="1"/>
    <n v="0"/>
    <n v="15"/>
    <n v="90"/>
    <n v="6"/>
    <s v=""/>
    <s v=""/>
    <b v="0"/>
    <s v=""/>
    <b v="0"/>
    <d v="2025-07-25T21:36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90"/>
    <n v="0"/>
    <n v="0"/>
    <n v="0"/>
    <n v="90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31.96.115.65"/>
    <s v=""/>
    <s v=""/>
    <s v=""/>
    <n v="0"/>
    <s v=""/>
    <s v=""/>
    <s v=""/>
    <s v=""/>
    <s v=""/>
    <s v=""/>
    <x v="1"/>
    <s v="SATURDAY"/>
    <s v="7d5292ed-5d96-4478-af02-e913c32829d7"/>
    <s v="en"/>
  </r>
  <r>
    <s v="CHICKPEAH8ENB123"/>
    <n v="3698"/>
    <s v=""/>
    <s v="bruno@chickpea.group"/>
    <n v="54"/>
    <x v="1"/>
    <n v="0"/>
    <n v="15"/>
    <n v="75"/>
    <n v="5"/>
    <s v=""/>
    <s v=""/>
    <b v="0"/>
    <s v=""/>
    <b v="0"/>
    <d v="2025-07-25T21:39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95"/>
    <n v="0"/>
    <n v="0"/>
    <n v="0"/>
    <n v="95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45.221"/>
    <s v=""/>
    <s v=""/>
    <s v=""/>
    <n v="0"/>
    <s v=""/>
    <s v=""/>
    <s v=""/>
    <s v=""/>
    <s v=""/>
    <s v=""/>
    <x v="8"/>
    <s v="SATURDAY"/>
    <s v="9eab4b13-a63b-41dd-a13d-69e6e93242f7"/>
    <s v="en"/>
  </r>
  <r>
    <s v="CHICKPEAH8ENB123"/>
    <n v="3698"/>
    <s v=""/>
    <s v="bruno@chickpea.group"/>
    <n v="3"/>
    <x v="4"/>
    <n v="0"/>
    <n v="4"/>
    <n v="20"/>
    <n v="5"/>
    <s v=""/>
    <s v=""/>
    <b v="0"/>
    <s v=""/>
    <b v="0"/>
    <d v="2025-07-25T21:39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95"/>
    <n v="0"/>
    <n v="0"/>
    <n v="0"/>
    <n v="95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45.221"/>
    <s v=""/>
    <s v=""/>
    <s v=""/>
    <n v="0"/>
    <s v=""/>
    <s v=""/>
    <s v=""/>
    <s v=""/>
    <s v=""/>
    <s v=""/>
    <x v="8"/>
    <s v="SATURDAY"/>
    <s v="9eab4b13-a63b-41dd-a13d-69e6e93242f7"/>
    <s v="en"/>
  </r>
  <r>
    <s v="CHICKPEAZ2DVZ123"/>
    <n v="3695"/>
    <s v=""/>
    <s v="hello@nolepizza.co.uk"/>
    <n v="0"/>
    <x v="0"/>
    <n v="0"/>
    <n v="8"/>
    <n v="160"/>
    <n v="20"/>
    <s v=""/>
    <s v=""/>
    <b v="0"/>
    <s v=""/>
    <b v="0"/>
    <d v="2025-07-25T21:23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60"/>
    <n v="0"/>
    <n v="0"/>
    <n v="0"/>
    <n v="160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217.168.251.25"/>
    <s v=""/>
    <s v=""/>
    <s v=""/>
    <n v="0"/>
    <s v=""/>
    <s v=""/>
    <s v=""/>
    <s v=""/>
    <s v=""/>
    <s v=""/>
    <x v="0"/>
    <s v="SATURDAY"/>
    <s v="27304e57-4352-4fb0-b94e-d6db7e900904"/>
    <s v="en"/>
  </r>
  <r>
    <s v="CHICKPEADGDKT123"/>
    <n v="3699"/>
    <s v=""/>
    <s v="connor@chickpea.group"/>
    <n v="8"/>
    <x v="3"/>
    <n v="0"/>
    <n v="68.12"/>
    <n v="68.12"/>
    <n v="1"/>
    <s v=""/>
    <s v=""/>
    <b v="0"/>
    <s v=""/>
    <b v="0"/>
    <d v="2025-07-25T22:18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87.01"/>
    <n v="0"/>
    <n v="0"/>
    <n v="0"/>
    <n v="87.01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91.196.221.191"/>
    <s v=""/>
    <s v=""/>
    <s v=""/>
    <n v="0"/>
    <s v=""/>
    <s v=""/>
    <s v=""/>
    <s v=""/>
    <s v=""/>
    <s v=""/>
    <x v="3"/>
    <s v="SATURDAY"/>
    <s v=""/>
    <s v="en"/>
  </r>
  <r>
    <s v="CHICKPEADGDKT123"/>
    <n v="3699"/>
    <s v=""/>
    <s v="connor@chickpea.group"/>
    <n v="69"/>
    <x v="7"/>
    <n v="0"/>
    <n v="2.89"/>
    <n v="2.89"/>
    <n v="1"/>
    <s v=""/>
    <s v=""/>
    <b v="0"/>
    <s v=""/>
    <b v="0"/>
    <d v="2025-07-25T22:18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87.01"/>
    <n v="0"/>
    <n v="0"/>
    <n v="0"/>
    <n v="87.01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91.196.221.191"/>
    <s v=""/>
    <s v=""/>
    <s v=""/>
    <n v="0"/>
    <s v=""/>
    <s v=""/>
    <s v=""/>
    <s v=""/>
    <s v=""/>
    <s v=""/>
    <x v="3"/>
    <s v="SATURDAY"/>
    <s v=""/>
    <s v="en"/>
  </r>
  <r>
    <s v="CHICKPEADGDKT123"/>
    <n v="3699"/>
    <s v=""/>
    <s v="connor@chickpea.group"/>
    <n v="40"/>
    <x v="8"/>
    <n v="0"/>
    <n v="16"/>
    <n v="16"/>
    <n v="1"/>
    <s v=""/>
    <s v=""/>
    <b v="0"/>
    <s v=""/>
    <b v="0"/>
    <d v="2025-07-25T22:18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87.01"/>
    <n v="0"/>
    <n v="0"/>
    <n v="0"/>
    <n v="87.01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91.196.221.191"/>
    <s v=""/>
    <s v=""/>
    <s v=""/>
    <n v="0"/>
    <s v=""/>
    <s v=""/>
    <s v=""/>
    <s v=""/>
    <s v=""/>
    <s v=""/>
    <x v="3"/>
    <s v="SATURDAY"/>
    <s v=""/>
    <s v="en"/>
  </r>
  <r>
    <s v="CHICKPEAON6FW123"/>
    <n v="3700"/>
    <s v=""/>
    <s v="connor.r@chickpea.group"/>
    <n v="54"/>
    <x v="1"/>
    <n v="0"/>
    <n v="15"/>
    <n v="30"/>
    <n v="2"/>
    <s v=""/>
    <s v=""/>
    <b v="0"/>
    <s v=""/>
    <b v="0"/>
    <d v="2025-07-26T18:48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30"/>
    <n v="0"/>
    <n v="0"/>
    <n v="0"/>
    <n v="30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48.232"/>
    <s v=""/>
    <s v=""/>
    <s v=""/>
    <n v="0"/>
    <s v=""/>
    <s v=""/>
    <s v=""/>
    <s v=""/>
    <s v=""/>
    <s v=""/>
    <x v="5"/>
    <s v="SUNDAY"/>
    <s v="19f9b6f3-d144-44d0-8411-0ff528a32a0e"/>
    <s v="en"/>
  </r>
  <r>
    <s v="CHICKPEAOQ5NJ123"/>
    <n v="3702"/>
    <s v=""/>
    <s v="newdogandgun@gmail.com"/>
    <n v="8"/>
    <x v="3"/>
    <n v="0"/>
    <n v="68.12"/>
    <n v="68.12"/>
    <n v="1"/>
    <s v=""/>
    <s v=""/>
    <b v="0"/>
    <s v=""/>
    <b v="0"/>
    <d v="2025-07-26T21:21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73.12"/>
    <n v="0"/>
    <n v="0"/>
    <n v="0"/>
    <n v="173.12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31.113.135.232"/>
    <s v=""/>
    <s v=""/>
    <s v=""/>
    <n v="0"/>
    <s v=""/>
    <s v=""/>
    <s v=""/>
    <s v=""/>
    <s v=""/>
    <s v=""/>
    <x v="1"/>
    <s v="SUNDAY"/>
    <s v="7d5292ed-5d96-4478-af02-e913c32829d7"/>
    <s v="en"/>
  </r>
  <r>
    <s v="CHICKPEAOQ5NJ123"/>
    <n v="3702"/>
    <s v=""/>
    <s v="newdogandgun@gmail.com"/>
    <n v="54"/>
    <x v="1"/>
    <n v="0"/>
    <n v="15"/>
    <n v="105"/>
    <n v="7"/>
    <s v=""/>
    <s v=""/>
    <b v="0"/>
    <s v=""/>
    <b v="0"/>
    <d v="2025-07-26T21:21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73.12"/>
    <n v="0"/>
    <n v="0"/>
    <n v="0"/>
    <n v="173.12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31.113.135.232"/>
    <s v=""/>
    <s v=""/>
    <s v=""/>
    <n v="0"/>
    <s v=""/>
    <s v=""/>
    <s v=""/>
    <s v=""/>
    <s v=""/>
    <s v=""/>
    <x v="1"/>
    <s v="SUNDAY"/>
    <s v="7d5292ed-5d96-4478-af02-e913c32829d7"/>
    <s v="en"/>
  </r>
  <r>
    <s v="CHICKPEAOFBXD123"/>
    <n v="3703"/>
    <s v=""/>
    <s v="brad@chickpea.group"/>
    <n v="8"/>
    <x v="3"/>
    <n v="0"/>
    <n v="68.12"/>
    <n v="68.12"/>
    <n v="1"/>
    <s v=""/>
    <s v=""/>
    <b v="0"/>
    <s v=""/>
    <b v="0"/>
    <d v="2025-07-26T21:23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68.12"/>
    <n v="0"/>
    <n v="0"/>
    <n v="0"/>
    <n v="68.12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255.234.246"/>
    <s v=""/>
    <s v=""/>
    <s v=""/>
    <n v="0"/>
    <s v=""/>
    <s v=""/>
    <s v=""/>
    <s v=""/>
    <s v=""/>
    <s v=""/>
    <x v="2"/>
    <s v="SUNDAY"/>
    <s v="a9085ce1-922c-4a42-be08-08f265d45f82"/>
    <s v="en"/>
  </r>
  <r>
    <s v="CHICKPEAGTVFI123"/>
    <n v="3701"/>
    <s v=""/>
    <s v="hello@nolepizza.co.uk"/>
    <n v="0"/>
    <x v="0"/>
    <n v="0"/>
    <n v="8"/>
    <n v="168"/>
    <n v="21"/>
    <s v=""/>
    <s v=""/>
    <b v="0"/>
    <s v=""/>
    <b v="0"/>
    <d v="2025-07-26T21:03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236.12"/>
    <n v="0"/>
    <n v="0"/>
    <n v="0"/>
    <n v="236.12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217.168.251.25"/>
    <s v=""/>
    <s v=""/>
    <s v=""/>
    <n v="0"/>
    <s v=""/>
    <s v=""/>
    <s v=""/>
    <s v=""/>
    <s v=""/>
    <s v=""/>
    <x v="0"/>
    <s v="SUNDAY"/>
    <s v="27304e57-4352-4fb0-b94e-d6db7e900904"/>
    <s v="en"/>
  </r>
  <r>
    <s v="CHICKPEAGTVFI123"/>
    <n v="3701"/>
    <s v=""/>
    <s v="hello@nolepizza.co.uk"/>
    <n v="8"/>
    <x v="3"/>
    <n v="0"/>
    <n v="68.12"/>
    <n v="68.12"/>
    <n v="1"/>
    <s v=""/>
    <s v=""/>
    <b v="0"/>
    <s v=""/>
    <b v="0"/>
    <d v="2025-07-26T21:03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236.12"/>
    <n v="0"/>
    <n v="0"/>
    <n v="0"/>
    <n v="236.12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217.168.251.25"/>
    <s v=""/>
    <s v=""/>
    <s v=""/>
    <n v="0"/>
    <s v=""/>
    <s v=""/>
    <s v=""/>
    <s v=""/>
    <s v=""/>
    <s v=""/>
    <x v="0"/>
    <s v="SUNDAY"/>
    <s v="27304e57-4352-4fb0-b94e-d6db7e900904"/>
    <s v="en"/>
  </r>
  <r>
    <s v="CHICKPEA4OAPQ123"/>
    <n v="3704"/>
    <s v=""/>
    <s v="hello@dogandgunnetheravon.co.uk"/>
    <n v="40"/>
    <x v="8"/>
    <n v="0"/>
    <n v="16"/>
    <n v="16"/>
    <n v="1"/>
    <s v=""/>
    <s v=""/>
    <b v="0"/>
    <s v=""/>
    <b v="0"/>
    <d v="2025-07-27T11:14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6"/>
    <n v="0"/>
    <n v="0"/>
    <n v="0"/>
    <n v="16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31.113.135.232"/>
    <s v=""/>
    <s v=""/>
    <s v=""/>
    <n v="0"/>
    <s v=""/>
    <s v=""/>
    <s v=""/>
    <s v=""/>
    <s v=""/>
    <s v=""/>
    <x v="1"/>
    <s v="MONDAY"/>
    <s v="29c2eb6d-5606-46c7-a805-9dce2a4da54e"/>
    <s v="en"/>
  </r>
  <r>
    <s v="CHICKPEAFOZGF123"/>
    <n v="3705"/>
    <s v=""/>
    <s v="chris@chickpea.group"/>
    <n v="33"/>
    <x v="9"/>
    <n v="0"/>
    <n v="21"/>
    <n v="21"/>
    <n v="1"/>
    <s v=""/>
    <s v=""/>
    <b v="0"/>
    <s v=""/>
    <b v="0"/>
    <d v="2025-07-27T12:59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27.86"/>
    <n v="0"/>
    <n v="0"/>
    <n v="0"/>
    <n v="127.86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57.121"/>
    <s v=""/>
    <s v=""/>
    <s v=""/>
    <n v="0"/>
    <s v=""/>
    <s v=""/>
    <s v=""/>
    <s v=""/>
    <s v=""/>
    <s v=""/>
    <x v="3"/>
    <s v="MONDAY"/>
    <s v="414625cc-926d-43d9-b94f-47eb8439f759"/>
    <s v="en"/>
  </r>
  <r>
    <s v="CHICKPEAFOZGF123"/>
    <n v="3705"/>
    <s v=""/>
    <s v="chris@chickpea.group"/>
    <n v="37"/>
    <x v="10"/>
    <n v="0"/>
    <n v="6.5"/>
    <n v="13"/>
    <n v="2"/>
    <s v=""/>
    <s v=""/>
    <b v="0"/>
    <s v=""/>
    <b v="0"/>
    <d v="2025-07-27T12:59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27.86"/>
    <n v="0"/>
    <n v="0"/>
    <n v="0"/>
    <n v="127.86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57.121"/>
    <s v=""/>
    <s v=""/>
    <s v=""/>
    <n v="0"/>
    <s v=""/>
    <s v=""/>
    <s v=""/>
    <s v=""/>
    <s v=""/>
    <s v=""/>
    <x v="3"/>
    <s v="MONDAY"/>
    <s v="414625cc-926d-43d9-b94f-47eb8439f759"/>
    <s v="en"/>
  </r>
  <r>
    <s v="CHICKPEAFOZGF123"/>
    <n v="3705"/>
    <s v=""/>
    <s v="chris@chickpea.group"/>
    <n v="40"/>
    <x v="8"/>
    <n v="0"/>
    <n v="16"/>
    <n v="16"/>
    <n v="1"/>
    <s v=""/>
    <s v=""/>
    <b v="0"/>
    <s v=""/>
    <b v="0"/>
    <d v="2025-07-27T12:59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27.86"/>
    <n v="0"/>
    <n v="0"/>
    <n v="0"/>
    <n v="127.86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57.121"/>
    <s v=""/>
    <s v=""/>
    <s v=""/>
    <n v="0"/>
    <s v=""/>
    <s v=""/>
    <s v=""/>
    <s v=""/>
    <s v=""/>
    <s v=""/>
    <x v="3"/>
    <s v="MONDAY"/>
    <s v="414625cc-926d-43d9-b94f-47eb8439f759"/>
    <s v="en"/>
  </r>
  <r>
    <s v="CHICKPEAFOZGF123"/>
    <n v="3705"/>
    <s v=""/>
    <s v="chris@chickpea.group"/>
    <n v="3013"/>
    <x v="11"/>
    <n v="0"/>
    <n v="21.2"/>
    <n v="21.2"/>
    <n v="1"/>
    <s v=""/>
    <s v=""/>
    <b v="0"/>
    <s v=""/>
    <b v="0"/>
    <d v="2025-07-27T12:59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27.86"/>
    <n v="0"/>
    <n v="0"/>
    <n v="0"/>
    <n v="127.86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57.121"/>
    <s v=""/>
    <s v=""/>
    <s v=""/>
    <n v="0"/>
    <s v=""/>
    <s v=""/>
    <s v=""/>
    <s v=""/>
    <s v=""/>
    <s v=""/>
    <x v="3"/>
    <s v="MONDAY"/>
    <s v="414625cc-926d-43d9-b94f-47eb8439f759"/>
    <s v="en"/>
  </r>
  <r>
    <s v="CHICKPEAFOZGF123"/>
    <n v="3705"/>
    <s v=""/>
    <s v="chris@chickpea.group"/>
    <n v="56"/>
    <x v="12"/>
    <n v="0"/>
    <n v="6.66"/>
    <n v="6.66"/>
    <n v="1"/>
    <s v=""/>
    <s v=""/>
    <b v="0"/>
    <s v=""/>
    <b v="0"/>
    <d v="2025-07-27T12:59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27.86"/>
    <n v="0"/>
    <n v="0"/>
    <n v="0"/>
    <n v="127.86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57.121"/>
    <s v=""/>
    <s v=""/>
    <s v=""/>
    <n v="0"/>
    <s v=""/>
    <s v=""/>
    <s v=""/>
    <s v=""/>
    <s v=""/>
    <s v=""/>
    <x v="3"/>
    <s v="MONDAY"/>
    <s v="414625cc-926d-43d9-b94f-47eb8439f759"/>
    <s v="en"/>
  </r>
  <r>
    <s v="CHICKPEAFOZGF123"/>
    <n v="3705"/>
    <s v=""/>
    <s v="chris@chickpea.group"/>
    <n v="29"/>
    <x v="13"/>
    <n v="0"/>
    <n v="50"/>
    <n v="50"/>
    <n v="1"/>
    <s v=""/>
    <s v=""/>
    <b v="0"/>
    <s v=""/>
    <b v="0"/>
    <d v="2025-07-27T12:59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127.86"/>
    <n v="0"/>
    <n v="0"/>
    <n v="0"/>
    <n v="127.86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57.121"/>
    <s v=""/>
    <s v=""/>
    <s v=""/>
    <n v="0"/>
    <s v=""/>
    <s v=""/>
    <s v=""/>
    <s v=""/>
    <s v=""/>
    <s v=""/>
    <x v="3"/>
    <s v="MONDAY"/>
    <s v="414625cc-926d-43d9-b94f-47eb8439f759"/>
    <s v="en"/>
  </r>
  <r>
    <s v="CHICKPEACLGLP123"/>
    <n v="3706"/>
    <s v=""/>
    <s v="connor.r@chickpea.group"/>
    <n v="54"/>
    <x v="1"/>
    <n v="0"/>
    <n v="15"/>
    <n v="60"/>
    <n v="4"/>
    <s v=""/>
    <s v=""/>
    <b v="0"/>
    <s v=""/>
    <b v="0"/>
    <d v="2025-07-27T17:16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Awaiting Processing"/>
    <s v="QUEUED"/>
    <s v="NEW"/>
    <n v="128.12"/>
    <n v="0"/>
    <n v="0"/>
    <n v="0"/>
    <n v="128.12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48.232"/>
    <s v=""/>
    <s v=""/>
    <s v=""/>
    <n v="0"/>
    <s v=""/>
    <s v=""/>
    <s v=""/>
    <s v=""/>
    <s v=""/>
    <s v=""/>
    <x v="5"/>
    <s v="MONDAY"/>
    <s v="7d648e96-142b-41bc-b947-ddd5e769c42c"/>
    <s v="en"/>
  </r>
  <r>
    <s v="CHICKPEACLGLP123"/>
    <n v="3706"/>
    <s v=""/>
    <s v="connor.r@chickpea.group"/>
    <n v="8"/>
    <x v="3"/>
    <n v="0"/>
    <n v="68.12"/>
    <n v="68.12"/>
    <n v="1"/>
    <s v=""/>
    <s v=""/>
    <b v="0"/>
    <s v=""/>
    <b v="0"/>
    <d v="2025-07-27T17:16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Awaiting Processing"/>
    <s v="QUEUED"/>
    <s v="NEW"/>
    <n v="128.12"/>
    <n v="0"/>
    <n v="0"/>
    <n v="0"/>
    <n v="128.12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48.232"/>
    <s v=""/>
    <s v=""/>
    <s v=""/>
    <n v="0"/>
    <s v=""/>
    <s v=""/>
    <s v=""/>
    <s v=""/>
    <s v=""/>
    <s v=""/>
    <x v="5"/>
    <s v="MONDAY"/>
    <s v="7d648e96-142b-41bc-b947-ddd5e769c42c"/>
    <s v="en"/>
  </r>
  <r>
    <s v="CHICKPEACLGLP123"/>
    <n v="3706"/>
    <s v=""/>
    <s v="connor.r@chickpea.group"/>
    <n v="17"/>
    <x v="14"/>
    <n v="0"/>
    <n v="0"/>
    <n v="0"/>
    <n v="1"/>
    <s v=""/>
    <s v=""/>
    <b v="0"/>
    <s v=""/>
    <b v="0"/>
    <d v="2025-07-27T17:16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Awaiting Processing"/>
    <s v="QUEUED"/>
    <s v="NEW"/>
    <n v="128.12"/>
    <n v="0"/>
    <n v="0"/>
    <n v="0"/>
    <n v="128.12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48.232"/>
    <s v=""/>
    <s v=""/>
    <s v=""/>
    <n v="0"/>
    <s v=""/>
    <s v=""/>
    <s v=""/>
    <s v=""/>
    <s v=""/>
    <s v=""/>
    <x v="5"/>
    <s v="MONDAY"/>
    <s v="7d648e96-142b-41bc-b947-ddd5e769c42c"/>
    <s v="en"/>
  </r>
  <r>
    <s v="CHICKPEA3HQD4123"/>
    <n v="3707"/>
    <s v=""/>
    <s v="hello@kingsarmsshaftesbury.co.uk"/>
    <n v="37"/>
    <x v="10"/>
    <n v="0"/>
    <n v="6.5"/>
    <n v="19.5"/>
    <n v="3"/>
    <s v=""/>
    <s v=""/>
    <b v="0"/>
    <s v=""/>
    <b v="0"/>
    <d v="2025-07-27T17:27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Awaiting Processing"/>
    <s v="QUEUED"/>
    <s v="NEW"/>
    <n v="19.5"/>
    <n v="0"/>
    <n v="0"/>
    <n v="0"/>
    <n v="19.5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5.193.145.142"/>
    <s v=""/>
    <s v=""/>
    <s v=""/>
    <n v="0"/>
    <s v=""/>
    <s v=""/>
    <s v=""/>
    <s v=""/>
    <s v=""/>
    <s v=""/>
    <x v="6"/>
    <s v="TUESDAY"/>
    <s v="875ff57e-68e7-4cd9-a78e-5d425a6eee1f"/>
    <s v="en"/>
  </r>
  <r>
    <s v="CHICKPEAGFEIY123"/>
    <n v="3708"/>
    <s v=""/>
    <s v="hello@silverplough-pitton.co.uk"/>
    <n v="54"/>
    <x v="1"/>
    <n v="0"/>
    <n v="15"/>
    <n v="75"/>
    <n v="5"/>
    <s v=""/>
    <s v=""/>
    <b v="0"/>
    <s v=""/>
    <b v="0"/>
    <d v="2025-07-27T17:54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Awaiting Processing"/>
    <s v="QUEUED"/>
    <s v="NEW"/>
    <n v="91"/>
    <n v="0"/>
    <n v="0"/>
    <n v="0"/>
    <n v="91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2.132.230.239"/>
    <s v=""/>
    <s v=""/>
    <s v=""/>
    <n v="0"/>
    <s v=""/>
    <s v=""/>
    <s v=""/>
    <s v=""/>
    <s v=""/>
    <s v=""/>
    <x v="4"/>
    <s v="MONDAY"/>
    <s v="f2d4cb4d-e334-445c-95f8-b8859f20afe3"/>
    <s v="en"/>
  </r>
  <r>
    <s v="CHICKPEAGFEIY123"/>
    <n v="3708"/>
    <s v=""/>
    <s v="hello@silverplough-pitton.co.uk"/>
    <n v="3"/>
    <x v="4"/>
    <n v="0"/>
    <n v="4"/>
    <n v="16"/>
    <n v="4"/>
    <s v=""/>
    <s v=""/>
    <b v="0"/>
    <s v=""/>
    <b v="0"/>
    <d v="2025-07-27T17:54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Awaiting Processing"/>
    <s v="QUEUED"/>
    <s v="NEW"/>
    <n v="91"/>
    <n v="0"/>
    <n v="0"/>
    <n v="0"/>
    <n v="91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82.132.230.239"/>
    <s v=""/>
    <s v=""/>
    <s v=""/>
    <n v="0"/>
    <s v=""/>
    <s v=""/>
    <s v=""/>
    <s v=""/>
    <s v=""/>
    <s v=""/>
    <x v="4"/>
    <s v="MONDAY"/>
    <s v="f2d4cb4d-e334-445c-95f8-b8859f20afe3"/>
    <s v="en"/>
  </r>
  <r>
    <s v="CHICKPEAXNKGZ123"/>
    <n v="3710"/>
    <s v=""/>
    <s v="hello@nolepizza.co.uk"/>
    <n v="0"/>
    <x v="0"/>
    <n v="0"/>
    <n v="8"/>
    <n v="208"/>
    <n v="26"/>
    <s v=""/>
    <s v=""/>
    <b v="0"/>
    <s v=""/>
    <b v="0"/>
    <d v="2025-07-27T21:11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Delivered"/>
    <s v="QUEUED"/>
    <s v="DELIVERED"/>
    <n v="208"/>
    <n v="0"/>
    <n v="0"/>
    <n v="0"/>
    <n v="208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217.168.251.25"/>
    <s v=""/>
    <s v=""/>
    <s v=""/>
    <n v="0"/>
    <s v=""/>
    <s v=""/>
    <s v=""/>
    <s v=""/>
    <s v=""/>
    <s v=""/>
    <x v="0"/>
    <s v="MONDAY"/>
    <s v="27304e57-4352-4fb0-b94e-d6db7e900904"/>
    <s v="en"/>
  </r>
  <r>
    <s v="CHICKPEAKV4A4123"/>
    <n v="3709"/>
    <s v=""/>
    <s v="hello@dogandgunnetheravon.co.uk"/>
    <n v="54"/>
    <x v="1"/>
    <n v="0"/>
    <n v="15"/>
    <n v="30"/>
    <n v="2"/>
    <s v=""/>
    <s v=""/>
    <b v="0"/>
    <s v=""/>
    <b v="0"/>
    <d v="2025-07-27T21:02:00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."/>
    <s v=""/>
    <s v="Awaiting Payment"/>
    <s v="Awaiting Processing"/>
    <s v="QUEUED"/>
    <s v="NEW"/>
    <n v="30"/>
    <n v="0"/>
    <n v="0"/>
    <n v="0"/>
    <n v="30"/>
    <s v=""/>
    <s v=""/>
    <s v=""/>
    <s v=""/>
    <n v="0"/>
    <n v="0"/>
    <s v="volume_discount:0.00;customer_group_discount:0.00;customer_group_volume_discount:0.00;shipping_discount:0.00"/>
    <n v="0"/>
    <n v="0"/>
    <s v=""/>
    <s v=""/>
    <s v=""/>
    <s v=""/>
    <s v=""/>
    <s v="31.113.135.232"/>
    <s v=""/>
    <s v=""/>
    <s v=""/>
    <n v="0"/>
    <s v=""/>
    <s v=""/>
    <s v=""/>
    <s v=""/>
    <s v=""/>
    <s v=""/>
    <x v="1"/>
    <s v="MONDAY"/>
    <s v="29c2eb6d-5606-46c7-a805-9dce2a4da54e"/>
    <s v="en"/>
  </r>
  <r>
    <m/>
    <m/>
    <m/>
    <m/>
    <m/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CB252-57CF-4FB3-991F-9E28684A6C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J8" firstHeaderRow="1" firstDataRow="2" firstDataCol="1"/>
  <pivotFields count="79">
    <pivotField showAll="0"/>
    <pivotField showAll="0"/>
    <pivotField showAll="0"/>
    <pivotField showAll="0"/>
    <pivotField showAll="0"/>
    <pivotField axis="axisRow" showAll="0">
      <items count="17">
        <item h="1" x="10"/>
        <item x="4"/>
        <item h="1" x="8"/>
        <item x="2"/>
        <item h="1" x="11"/>
        <item h="1" x="3"/>
        <item x="1"/>
        <item x="0"/>
        <item x="6"/>
        <item h="1" x="7"/>
        <item h="1" x="15"/>
        <item h="1" x="9"/>
        <item h="1" x="12"/>
        <item h="1" x="5"/>
        <item h="1" x="14"/>
        <item h="1"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2">
        <item m="1" x="10"/>
        <item x="3"/>
        <item x="1"/>
        <item x="7"/>
        <item x="6"/>
        <item x="8"/>
        <item x="0"/>
        <item x="2"/>
        <item x="5"/>
        <item x="4"/>
        <item x="9"/>
        <item t="default"/>
      </items>
    </pivotField>
    <pivotField showAll="0"/>
    <pivotField showAll="0"/>
    <pivotField showAll="0"/>
  </pivotFields>
  <rowFields count="1">
    <field x="5"/>
  </rowFields>
  <rowItems count="6">
    <i>
      <x v="1"/>
    </i>
    <i>
      <x v="3"/>
    </i>
    <i>
      <x v="6"/>
    </i>
    <i>
      <x v="7"/>
    </i>
    <i>
      <x v="8"/>
    </i>
    <i t="grand">
      <x/>
    </i>
  </rowItems>
  <colFields count="1">
    <field x="75"/>
  </colFields>
  <colItems count="9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colItems>
  <dataFields count="1">
    <dataField name="Sum of total" fld="8" baseField="0" baseItem="0" numFmtId="44"/>
  </dataFields>
  <formats count="1">
    <format dxfId="18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7235364-D780-4BD2-AAAE-3D06D1553A3E}" autoFormatId="16" applyNumberFormats="0" applyBorderFormats="0" applyFontFormats="0" applyPatternFormats="0" applyAlignmentFormats="0" applyWidthHeightFormats="0">
  <queryTableRefresh nextId="80">
    <queryTableFields count="79">
      <queryTableField id="1" name="order_number" tableColumnId="1"/>
      <queryTableField id="2" name="tax_invoice_number" tableColumnId="2"/>
      <queryTableField id="3" name="cancellation_invoice_number" tableColumnId="3"/>
      <queryTableField id="4" name="email" tableColumnId="4"/>
      <queryTableField id="5" name="sku" tableColumnId="5"/>
      <queryTableField id="6" name="name" tableColumnId="6"/>
      <queryTableField id="7" name="weight" tableColumnId="7"/>
      <queryTableField id="8" name="price" tableColumnId="8"/>
      <queryTableField id="9" name="total" tableColumnId="9"/>
      <queryTableField id="10" name="quantity" tableColumnId="10"/>
      <queryTableField id="11" name="options" tableColumnId="11"/>
      <queryTableField id="12" name="tax_details" tableColumnId="12"/>
      <queryTableField id="13" name="customer_tax_exempt" tableColumnId="13"/>
      <queryTableField id="14" name="customer_tax_id" tableColumnId="14"/>
      <queryTableField id="15" name="reversed_tax_applied" tableColumnId="15"/>
      <queryTableField id="16" name="timestamp" tableColumnId="16"/>
      <queryTableField id="17" name="shipto_person_name" tableColumnId="17"/>
      <queryTableField id="18" name="shipto_person_company_name" tableColumnId="18"/>
      <queryTableField id="19" name="shipto_person_street_1" tableColumnId="19"/>
      <queryTableField id="20" name="shipto_person_street_2" tableColumnId="20"/>
      <queryTableField id="21" name="shipto_person_city" tableColumnId="21"/>
      <queryTableField id="22" name="shipto_person_country_code" tableColumnId="22"/>
      <queryTableField id="23" name="shipto_person_postal_code" tableColumnId="23"/>
      <queryTableField id="24" name="shipto_person_state_code" tableColumnId="24"/>
      <queryTableField id="25" name="shipto_person_country_name" tableColumnId="25"/>
      <queryTableField id="26" name="shipto_person_state_name" tableColumnId="26"/>
      <queryTableField id="27" name="shipto_person_phone" tableColumnId="27"/>
      <queryTableField id="28" name="bill_person_name" tableColumnId="28"/>
      <queryTableField id="29" name="bill_person_company_name" tableColumnId="29"/>
      <queryTableField id="30" name="bill_person_street_1" tableColumnId="30"/>
      <queryTableField id="31" name="bill_person_street_2" tableColumnId="31"/>
      <queryTableField id="32" name="bill_person_city" tableColumnId="32"/>
      <queryTableField id="33" name="bill_person_country_code" tableColumnId="33"/>
      <queryTableField id="34" name="bill_person_postal_code" tableColumnId="34"/>
      <queryTableField id="35" name="bill_person_state_code" tableColumnId="35"/>
      <queryTableField id="36" name="bill_person_country_name" tableColumnId="36"/>
      <queryTableField id="37" name="bill_person_state_name" tableColumnId="37"/>
      <queryTableField id="38" name="bill_person_phone" tableColumnId="38"/>
      <queryTableField id="39" name="customer_group" tableColumnId="39"/>
      <queryTableField id="40" name="payment_method" tableColumnId="40"/>
      <queryTableField id="41" name="shipping_method" tableColumnId="41"/>
      <queryTableField id="42" name="payment_status" tableColumnId="42"/>
      <queryTableField id="43" name="fulfillment_status" tableColumnId="43"/>
      <queryTableField id="44" name="payment_status_code" tableColumnId="44"/>
      <queryTableField id="45" name="fulfillment_status_code" tableColumnId="45"/>
      <queryTableField id="46" name="order_subtotal" tableColumnId="46"/>
      <queryTableField id="47" name="order_tax" tableColumnId="47"/>
      <queryTableField id="48" name="order_shipping" tableColumnId="48"/>
      <queryTableField id="49" name="order_handling_fee" tableColumnId="49"/>
      <queryTableField id="50" name="order_total" tableColumnId="50"/>
      <queryTableField id="51" name="order_tax_1_name" tableColumnId="51"/>
      <queryTableField id="52" name="order_tax_1_value" tableColumnId="52"/>
      <queryTableField id="53" name="order_tracking_number" tableColumnId="53"/>
      <queryTableField id="54" name="coupon_code" tableColumnId="54"/>
      <queryTableField id="55" name="coupon_discount" tableColumnId="55"/>
      <queryTableField id="56" name="volume_discount" tableColumnId="56"/>
      <queryTableField id="57" name="detail_discount" tableColumnId="57"/>
      <queryTableField id="58" name="discount" tableColumnId="58"/>
      <queryTableField id="59" name="order_weight" tableColumnId="59"/>
      <queryTableField id="60" name="order_comments" tableColumnId="60"/>
      <queryTableField id="61" name="affiliate_id" tableColumnId="61"/>
      <queryTableField id="62" name="utm_source" tableColumnId="62"/>
      <queryTableField id="63" name="utm_medium" tableColumnId="63"/>
      <queryTableField id="64" name="utm_campaign" tableColumnId="64"/>
      <queryTableField id="65" name="customer_ipaddress" tableColumnId="65"/>
      <queryTableField id="66" name="note_for_staff" tableColumnId="66"/>
      <queryTableField id="67" name="accept_marketing" tableColumnId="67"/>
      <queryTableField id="68" name="referer_id" tableColumnId="68"/>
      <queryTableField id="69" name="gift_card_redemption" tableColumnId="69"/>
      <queryTableField id="70" name="masked_gift_card_code" tableColumnId="70"/>
      <queryTableField id="71" name="payment_transaction_id" tableColumnId="71"/>
      <queryTableField id="72" name="tips" tableColumnId="72"/>
      <queryTableField id="73" name="surcharges" tableColumnId="73"/>
      <queryTableField id="74" name="What day would you like this for?" tableColumnId="74"/>
      <queryTableField id="75" name="Which site is this for?" tableColumnId="75"/>
      <queryTableField id="76" name="Which site is it for?" tableColumnId="76"/>
      <queryTableField id="77" name="Select Delivery Day (IF same day pick up please put today)" tableColumnId="77"/>
      <queryTableField id="78" name="null" tableColumnId="78"/>
      <queryTableField id="79" name="language" tableColumnId="7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899459-AE05-466F-9409-243EA1722B62}" name="orders_2025_07_28_11_52" displayName="orders_2025_07_28_11_52" ref="A1:CA60" tableType="queryTable" totalsRowShown="0">
  <autoFilter ref="A1:CA60" xr:uid="{C4899459-AE05-466F-9409-243EA1722B62}">
    <filterColumn colId="75">
      <filters blank="1"/>
    </filterColumn>
  </autoFilter>
  <tableColumns count="79">
    <tableColumn id="1" xr3:uid="{56CE8C4C-3D46-4027-886A-D493C4BFA1FB}" uniqueName="1" name="order_number" queryTableFieldId="1" dataDxfId="184"/>
    <tableColumn id="2" xr3:uid="{F589A12A-F3D7-44CC-9959-45EB2992A559}" uniqueName="2" name="tax_invoice_number" queryTableFieldId="2"/>
    <tableColumn id="3" xr3:uid="{91258E89-ADC2-49A5-A499-15409C3E96C8}" uniqueName="3" name="cancellation_invoice_number" queryTableFieldId="3" dataDxfId="183"/>
    <tableColumn id="4" xr3:uid="{8292F180-20F2-4EBB-90D8-061E3C13B043}" uniqueName="4" name="email" queryTableFieldId="4" dataDxfId="182"/>
    <tableColumn id="5" xr3:uid="{238C020C-6F47-417E-B766-5DC3B117D484}" uniqueName="5" name="sku" queryTableFieldId="5"/>
    <tableColumn id="6" xr3:uid="{68E5693C-9184-43B0-AD38-8A6861DD6BC8}" uniqueName="6" name="name" queryTableFieldId="6" dataDxfId="181"/>
    <tableColumn id="7" xr3:uid="{BC29BF69-517C-4F67-A066-B45E29D571D1}" uniqueName="7" name="weight" queryTableFieldId="7"/>
    <tableColumn id="8" xr3:uid="{1E26D285-DFB1-4ADE-A706-C511CB427FF6}" uniqueName="8" name="price" queryTableFieldId="8"/>
    <tableColumn id="9" xr3:uid="{DF27C8BB-24EB-446C-844F-CAB1BAC25893}" uniqueName="9" name="total" queryTableFieldId="9"/>
    <tableColumn id="10" xr3:uid="{27F24DE2-2ED7-4961-AA30-48BFE06EC578}" uniqueName="10" name="quantity" queryTableFieldId="10"/>
    <tableColumn id="11" xr3:uid="{8A03148F-C7BA-4FA4-9FD6-663AD85A141D}" uniqueName="11" name="options" queryTableFieldId="11" dataDxfId="180"/>
    <tableColumn id="12" xr3:uid="{573EBDC6-2798-41F6-BCF6-E9784BBFD396}" uniqueName="12" name="tax_details" queryTableFieldId="12" dataDxfId="179"/>
    <tableColumn id="13" xr3:uid="{3886C5CC-B95D-4008-A852-3C8623A0B9B9}" uniqueName="13" name="customer_tax_exempt" queryTableFieldId="13"/>
    <tableColumn id="14" xr3:uid="{2BDD874D-6ED8-403E-BE17-3FE9844FE09E}" uniqueName="14" name="customer_tax_id" queryTableFieldId="14" dataDxfId="178"/>
    <tableColumn id="15" xr3:uid="{E5EEB85D-6CC2-4DAE-9710-FECCF3BC0597}" uniqueName="15" name="reversed_tax_applied" queryTableFieldId="15"/>
    <tableColumn id="16" xr3:uid="{4B9A23F5-E91F-4306-A3D5-A9BD99A35D88}" uniqueName="16" name="timestamp" queryTableFieldId="16" dataDxfId="177"/>
    <tableColumn id="17" xr3:uid="{0D041373-DC1F-4564-8766-B4102FD8FE05}" uniqueName="17" name="shipto_person_name" queryTableFieldId="17" dataDxfId="176"/>
    <tableColumn id="18" xr3:uid="{C46E151F-1B3E-4B3B-B96B-18859F453A87}" uniqueName="18" name="shipto_person_company_name" queryTableFieldId="18" dataDxfId="175"/>
    <tableColumn id="19" xr3:uid="{2A92579A-1B0A-450B-A4E8-F9173A7A6C68}" uniqueName="19" name="shipto_person_street_1" queryTableFieldId="19" dataDxfId="174"/>
    <tableColumn id="20" xr3:uid="{705BCBFA-8437-4568-A54C-0D5255E6F50F}" uniqueName="20" name="shipto_person_street_2" queryTableFieldId="20" dataDxfId="173"/>
    <tableColumn id="21" xr3:uid="{F4F225FA-834D-47E3-88FC-FE87218520DC}" uniqueName="21" name="shipto_person_city" queryTableFieldId="21" dataDxfId="172"/>
    <tableColumn id="22" xr3:uid="{6EDEA29C-DE98-411E-8AFB-BD8E2F18901E}" uniqueName="22" name="shipto_person_country_code" queryTableFieldId="22" dataDxfId="171"/>
    <tableColumn id="23" xr3:uid="{074C5E45-DF09-4CC7-8152-4339D550148E}" uniqueName="23" name="shipto_person_postal_code" queryTableFieldId="23" dataDxfId="170"/>
    <tableColumn id="24" xr3:uid="{06480629-A1FB-49AF-9917-57E5591AE4AB}" uniqueName="24" name="shipto_person_state_code" queryTableFieldId="24" dataDxfId="169"/>
    <tableColumn id="25" xr3:uid="{7C62222A-0272-45A2-9A63-3719E7CDCDC0}" uniqueName="25" name="shipto_person_country_name" queryTableFieldId="25" dataDxfId="168"/>
    <tableColumn id="26" xr3:uid="{050B0378-5303-4B72-9EF7-BF078F861B0C}" uniqueName="26" name="shipto_person_state_name" queryTableFieldId="26" dataDxfId="167"/>
    <tableColumn id="27" xr3:uid="{5A71343F-AEA2-46B4-9DC9-72A9ACF133EB}" uniqueName="27" name="shipto_person_phone" queryTableFieldId="27" dataDxfId="166"/>
    <tableColumn id="28" xr3:uid="{986DDB43-EB91-4FD3-9A60-893D2DE55D7C}" uniqueName="28" name="bill_person_name" queryTableFieldId="28" dataDxfId="165"/>
    <tableColumn id="29" xr3:uid="{408067FA-41DD-4BAC-A5A8-F74B26AC740D}" uniqueName="29" name="bill_person_company_name" queryTableFieldId="29" dataDxfId="164"/>
    <tableColumn id="30" xr3:uid="{FCDC33EF-511B-400E-BE26-4300F65F3965}" uniqueName="30" name="bill_person_street_1" queryTableFieldId="30" dataDxfId="163"/>
    <tableColumn id="31" xr3:uid="{72E2C834-97CD-4643-9EF8-5331724E402B}" uniqueName="31" name="bill_person_street_2" queryTableFieldId="31" dataDxfId="162"/>
    <tableColumn id="32" xr3:uid="{A9A81141-B3CD-4335-84F0-55E68A4E844C}" uniqueName="32" name="bill_person_city" queryTableFieldId="32" dataDxfId="161"/>
    <tableColumn id="33" xr3:uid="{B6587FFC-E917-41F2-9CFA-587613FAE6BB}" uniqueName="33" name="bill_person_country_code" queryTableFieldId="33" dataDxfId="160"/>
    <tableColumn id="34" xr3:uid="{A12D7E5A-2AF1-46EB-B921-A1654B29AB6A}" uniqueName="34" name="bill_person_postal_code" queryTableFieldId="34" dataDxfId="159"/>
    <tableColumn id="35" xr3:uid="{2728A9D2-7D82-4DED-A933-BE2776C7DE44}" uniqueName="35" name="bill_person_state_code" queryTableFieldId="35" dataDxfId="158"/>
    <tableColumn id="36" xr3:uid="{571D0E5A-484D-4A40-BAD6-C45023DEDC24}" uniqueName="36" name="bill_person_country_name" queryTableFieldId="36" dataDxfId="157"/>
    <tableColumn id="37" xr3:uid="{1AD40C4B-668D-43C7-99EF-29EDF69E1ADD}" uniqueName="37" name="bill_person_state_name" queryTableFieldId="37" dataDxfId="156"/>
    <tableColumn id="38" xr3:uid="{793F2B85-6A72-4FC0-8D94-25CBB14D6D92}" uniqueName="38" name="bill_person_phone" queryTableFieldId="38" dataDxfId="155"/>
    <tableColumn id="39" xr3:uid="{05E81BA9-20D3-4B19-80B4-65CE985B6E17}" uniqueName="39" name="customer_group" queryTableFieldId="39" dataDxfId="154"/>
    <tableColumn id="40" xr3:uid="{831ACD01-A359-4AB1-9E39-7FFA2F124928}" uniqueName="40" name="payment_method" queryTableFieldId="40" dataDxfId="153"/>
    <tableColumn id="41" xr3:uid="{B3E60277-2DA0-4C1D-90AA-B7AF5A2795A3}" uniqueName="41" name="shipping_method" queryTableFieldId="41" dataDxfId="152"/>
    <tableColumn id="42" xr3:uid="{9CBEFFEB-4F45-483C-9E42-8B903A28C2C0}" uniqueName="42" name="payment_status" queryTableFieldId="42" dataDxfId="151"/>
    <tableColumn id="43" xr3:uid="{735691C8-8831-4EE7-B4F4-BC8DF1F2C08E}" uniqueName="43" name="fulfillment_status" queryTableFieldId="43" dataDxfId="150"/>
    <tableColumn id="44" xr3:uid="{6BD76EE2-87AA-4C34-AB17-F47F9CEBE1E7}" uniqueName="44" name="payment_status_code" queryTableFieldId="44" dataDxfId="149"/>
    <tableColumn id="45" xr3:uid="{0D008E57-7FC2-429B-9497-92EC79AA6349}" uniqueName="45" name="fulfillment_status_code" queryTableFieldId="45" dataDxfId="148"/>
    <tableColumn id="46" xr3:uid="{DB341A84-8139-4152-9605-77B9EDF0AF79}" uniqueName="46" name="order_subtotal" queryTableFieldId="46"/>
    <tableColumn id="47" xr3:uid="{E8C6C031-5D26-4C02-8A17-EF9444E9D766}" uniqueName="47" name="order_tax" queryTableFieldId="47"/>
    <tableColumn id="48" xr3:uid="{A512D9B5-8189-448D-90E2-1401FC7572B6}" uniqueName="48" name="order_shipping" queryTableFieldId="48"/>
    <tableColumn id="49" xr3:uid="{C8D5B71F-C2A6-4480-B783-DED8304774FB}" uniqueName="49" name="order_handling_fee" queryTableFieldId="49"/>
    <tableColumn id="50" xr3:uid="{59EBC558-DCE9-4605-A9F4-53C01A8BAE46}" uniqueName="50" name="order_total" queryTableFieldId="50"/>
    <tableColumn id="51" xr3:uid="{917B1D65-1D8A-4BDD-8292-087B8330FB02}" uniqueName="51" name="order_tax_1_name" queryTableFieldId="51" dataDxfId="147"/>
    <tableColumn id="52" xr3:uid="{A94B75D3-7DA1-4944-99EB-24105453C5F5}" uniqueName="52" name="order_tax_1_value" queryTableFieldId="52" dataDxfId="146"/>
    <tableColumn id="53" xr3:uid="{B4B2163D-4B9C-491F-BBE4-0806D3238626}" uniqueName="53" name="order_tracking_number" queryTableFieldId="53" dataDxfId="145"/>
    <tableColumn id="54" xr3:uid="{5D73E0F3-A65C-495A-A4EB-2155835A526E}" uniqueName="54" name="coupon_code" queryTableFieldId="54" dataDxfId="144"/>
    <tableColumn id="55" xr3:uid="{81890CF6-5778-4785-B9C3-EE8DFBB42518}" uniqueName="55" name="coupon_discount" queryTableFieldId="55"/>
    <tableColumn id="56" xr3:uid="{CD64EFB9-81DC-451B-B397-CF937E444196}" uniqueName="56" name="volume_discount" queryTableFieldId="56"/>
    <tableColumn id="57" xr3:uid="{303609E2-545D-476C-A884-1C5CBD55FD2F}" uniqueName="57" name="detail_discount" queryTableFieldId="57" dataDxfId="143"/>
    <tableColumn id="58" xr3:uid="{BA3D9F5F-8EED-4C72-9A69-E0C8572E6D0B}" uniqueName="58" name="discount" queryTableFieldId="58"/>
    <tableColumn id="59" xr3:uid="{FC340448-38E5-4AAE-AA90-8B70600BF49C}" uniqueName="59" name="order_weight" queryTableFieldId="59"/>
    <tableColumn id="60" xr3:uid="{F1D86A05-54D4-4203-A83A-D2AF21A1DBFD}" uniqueName="60" name="order_comments" queryTableFieldId="60" dataDxfId="142"/>
    <tableColumn id="61" xr3:uid="{165D2A4C-C843-468D-9F6F-1BCC684270B7}" uniqueName="61" name="affiliate_id" queryTableFieldId="61" dataDxfId="141"/>
    <tableColumn id="62" xr3:uid="{DDA61CB0-797B-4104-B4E8-E4AFECBF4E98}" uniqueName="62" name="utm_source" queryTableFieldId="62" dataDxfId="140"/>
    <tableColumn id="63" xr3:uid="{2301918C-CCCD-44B1-9C46-8BEF1001AEBB}" uniqueName="63" name="utm_medium" queryTableFieldId="63" dataDxfId="139"/>
    <tableColumn id="64" xr3:uid="{1756B508-E68B-4576-BE8C-1B824D98EEA4}" uniqueName="64" name="utm_campaign" queryTableFieldId="64" dataDxfId="138"/>
    <tableColumn id="65" xr3:uid="{D4456FC3-980D-4DA3-A9D1-2A29C41A5E42}" uniqueName="65" name="customer_ipaddress" queryTableFieldId="65" dataDxfId="137"/>
    <tableColumn id="66" xr3:uid="{51E54AF1-BA5C-4D33-930B-162480D7AC6B}" uniqueName="66" name="note_for_staff" queryTableFieldId="66" dataDxfId="136"/>
    <tableColumn id="67" xr3:uid="{8EBB55D0-6590-4F01-BF59-9190B7B4F9A0}" uniqueName="67" name="accept_marketing" queryTableFieldId="67" dataDxfId="135"/>
    <tableColumn id="68" xr3:uid="{40C29622-D84D-4460-8708-ECDC4C8332FC}" uniqueName="68" name="referer_id" queryTableFieldId="68" dataDxfId="134"/>
    <tableColumn id="69" xr3:uid="{49A97EA0-0E24-43FC-A7AC-37B8EB6E6462}" uniqueName="69" name="gift_card_redemption" queryTableFieldId="69"/>
    <tableColumn id="70" xr3:uid="{08F24C26-3E88-42D9-A907-FFDBDE49F1E0}" uniqueName="70" name="masked_gift_card_code" queryTableFieldId="70" dataDxfId="133"/>
    <tableColumn id="71" xr3:uid="{B26E4ED8-2ECA-4A0F-ABB7-80163A7FCB5E}" uniqueName="71" name="payment_transaction_id" queryTableFieldId="71" dataDxfId="132"/>
    <tableColumn id="72" xr3:uid="{4B2BF30E-377F-48B3-A84E-E66C090BE5F9}" uniqueName="72" name="tips" queryTableFieldId="72" dataDxfId="131"/>
    <tableColumn id="73" xr3:uid="{0B618144-3F9D-41B1-91B2-FA10E7FE3CBB}" uniqueName="73" name="surcharges" queryTableFieldId="73" dataDxfId="130"/>
    <tableColumn id="74" xr3:uid="{8FF534BE-DAC1-43C7-B955-161EBEC6EF40}" uniqueName="74" name="What day would you like this for?" queryTableFieldId="74" dataDxfId="129"/>
    <tableColumn id="75" xr3:uid="{25636506-D8BD-423A-865F-0ADAA519880E}" uniqueName="75" name="Which site is this for?" queryTableFieldId="75" dataDxfId="128"/>
    <tableColumn id="76" xr3:uid="{AEECD89E-D805-4245-A2FD-89241953B888}" uniqueName="76" name="Which site is it for?" queryTableFieldId="76" dataDxfId="127"/>
    <tableColumn id="77" xr3:uid="{D65D1134-BDEB-408D-AB85-AF252946703C}" uniqueName="77" name="Select Delivery Day (IF same day pick up please put today)" queryTableFieldId="77" dataDxfId="126"/>
    <tableColumn id="78" xr3:uid="{8742FC4A-F465-42D5-827D-0AF5A796FB72}" uniqueName="78" name="null" queryTableFieldId="78" dataDxfId="125"/>
    <tableColumn id="79" xr3:uid="{A069BF83-1304-480B-9C8B-0DCC613282D5}" uniqueName="79" name="language" queryTableFieldId="79" dataDxfId="1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G5" dT="2026-02-23T07:42:21.84" personId="{745396A8-D861-4437-BFB0-B4B80F0F0273}" id="{E6FA6E53-49E6-4AE1-9653-95AD225C4F60}">
    <text>Mon from TO</text>
  </threadedComment>
  <threadedComment ref="FX7" dT="2025-12-22T10:42:02.84" personId="{745396A8-D861-4437-BFB0-B4B80F0F0273}" id="{77DDC320-EC5D-47E4-AC43-2873B536680E}">
    <text>Bridges £1265.15, W&amp;W £3278.95 - tabs rung through late</text>
  </threadedComment>
  <threadedComment ref="FY7" dT="2025-12-22T10:42:02.84" personId="{745396A8-D861-4437-BFB0-B4B80F0F0273}" id="{71473362-1F8F-40F6-810E-1DA28778BF7C}">
    <text xml:space="preserve">tabs rung through late last week removed from totals
</text>
  </threadedComment>
  <threadedComment ref="ET21" dT="2025-05-27T11:27:10.10" personId="{9B4525C3-C468-4090-88CB-F93516DFEC5C}" id="{8F11745B-350C-43A4-8CD7-42586807280B}">
    <text>Actual takings = £17,651.10 (till error Sun 25th)</text>
  </threadedComment>
  <threadedComment ref="FB28" dT="2025-07-21T11:07:47.68" personId="{9B4525C3-C468-4090-88CB-F93516DFEC5C}" id="{F7DA4915-DD17-4712-872A-8AFFF335941F}">
    <text>Till broken - this is card &amp; cash takings inc service charge</text>
  </threadedComment>
  <threadedComment ref="DV33" dT="2024-12-09T10:02:48.13" personId="{9B4525C3-C468-4090-88CB-F93516DFEC5C}" id="{E3CFCEC7-2D1E-481C-AE77-12A643965D93}">
    <text>Power cut Sat/Sun</text>
  </threadedComment>
  <threadedComment ref="DP34" dT="2024-10-28T10:28:57.17" personId="{9B4525C3-C468-4090-88CB-F93516DFEC5C}" id="{F7AFAE2F-E3A2-499E-9249-EFF91596B736}">
    <text>Power failure Sun 27th - data not in Touchoffice</text>
  </threadedComment>
  <threadedComment ref="FV42" dT="2025-12-08T10:58:41.93" personId="{745396A8-D861-4437-BFB0-B4B80F0F0273}" id="{C6DDD51E-CB43-4AF7-861C-46EC22022958}">
    <text>Till issue - takings after S/C £14,033</text>
  </threadedComment>
  <threadedComment ref="FV42" dT="2025-12-10T09:39:57.47" personId="{745396A8-D861-4437-BFB0-B4B80F0F0273}" id="{740E60D5-D482-4530-9E42-5A8391D99CC8}" parentId="{C6DDD51E-CB43-4AF7-861C-46EC22022958}">
    <text>Added in sales 3-5 Dec 2026</text>
  </threadedComment>
  <threadedComment ref="GE42" dT="2026-02-09T12:38:04.32" personId="{745396A8-D861-4437-BFB0-B4B80F0F0273}" id="{AB6DF23D-3FC1-4BB6-A3BD-1A5322E7EDBE}">
    <text>Actual revenue £16,063</text>
  </threadedComment>
  <threadedComment ref="DP90" dT="2024-10-28T10:35:09.17" personId="{9B4525C3-C468-4090-88CB-F93516DFEC5C}" id="{8BE6F944-73BD-498A-90A5-42547AE522AB}">
    <text>£2540 stall at event in Market Sq</text>
  </threadedComment>
  <threadedComment ref="DP91" dT="2024-10-28T10:24:32.31" personId="{9B4525C3-C468-4090-88CB-F93516DFEC5C}" id="{27C02F9A-62F1-48AC-B6A4-1FD20D263261}">
    <text>Hot drinks moved into Dry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26AF0E-BF48-4C48-ACA5-5BFF140D5052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0552-6004-4AF6-AB35-74DEB6D77FF8}">
  <sheetPr>
    <tabColor rgb="FFFFC000"/>
    <pageSetUpPr fitToPage="1"/>
  </sheetPr>
  <dimension ref="A1:AH59"/>
  <sheetViews>
    <sheetView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J6" sqref="AJ6"/>
    </sheetView>
  </sheetViews>
  <sheetFormatPr defaultRowHeight="14.4" x14ac:dyDescent="0.3"/>
  <cols>
    <col min="2" max="2" width="16.5546875" bestFit="1" customWidth="1"/>
    <col min="3" max="33" width="11.44140625" customWidth="1"/>
    <col min="34" max="34" width="10.77734375" customWidth="1"/>
  </cols>
  <sheetData>
    <row r="1" spans="1:34" x14ac:dyDescent="0.3">
      <c r="B1" s="1" t="s">
        <v>390</v>
      </c>
      <c r="C1" s="1">
        <v>10</v>
      </c>
      <c r="D1" s="1">
        <v>11</v>
      </c>
      <c r="E1" s="1">
        <v>12</v>
      </c>
      <c r="F1" s="1">
        <v>13</v>
      </c>
      <c r="G1" s="1">
        <v>14</v>
      </c>
      <c r="H1" s="1">
        <v>15</v>
      </c>
      <c r="I1" s="1">
        <v>16</v>
      </c>
      <c r="J1" s="1">
        <v>17</v>
      </c>
      <c r="K1" s="1">
        <v>18</v>
      </c>
      <c r="L1" s="1">
        <v>19</v>
      </c>
      <c r="M1" s="1">
        <v>20</v>
      </c>
      <c r="N1" s="1">
        <v>21</v>
      </c>
      <c r="O1" s="1">
        <v>22</v>
      </c>
      <c r="P1" s="1">
        <v>23</v>
      </c>
      <c r="Q1" s="1">
        <v>24</v>
      </c>
      <c r="R1" s="1">
        <v>25</v>
      </c>
      <c r="S1" s="1">
        <v>26</v>
      </c>
      <c r="T1" s="1">
        <v>27</v>
      </c>
      <c r="U1" s="1">
        <v>28</v>
      </c>
      <c r="V1" s="1">
        <v>29</v>
      </c>
      <c r="W1" s="1">
        <v>30</v>
      </c>
      <c r="X1" s="1">
        <v>31</v>
      </c>
      <c r="Y1" s="1">
        <v>32</v>
      </c>
      <c r="Z1" s="1">
        <v>33</v>
      </c>
      <c r="AA1" s="1">
        <v>34</v>
      </c>
      <c r="AB1" s="1">
        <v>35</v>
      </c>
      <c r="AC1" s="1">
        <v>36</v>
      </c>
      <c r="AD1" s="1">
        <v>37</v>
      </c>
      <c r="AE1" s="1">
        <v>38</v>
      </c>
      <c r="AF1" s="1">
        <v>39</v>
      </c>
      <c r="AG1" s="1">
        <v>40</v>
      </c>
    </row>
    <row r="2" spans="1:34" x14ac:dyDescent="0.3">
      <c r="B2" s="121" t="s">
        <v>382</v>
      </c>
      <c r="C2" s="121">
        <v>45936</v>
      </c>
      <c r="D2" s="121">
        <f t="shared" ref="D2:S2" si="0">C2+7</f>
        <v>45943</v>
      </c>
      <c r="E2" s="121">
        <f t="shared" si="0"/>
        <v>45950</v>
      </c>
      <c r="F2" s="121">
        <f t="shared" si="0"/>
        <v>45957</v>
      </c>
      <c r="G2" s="121">
        <f t="shared" si="0"/>
        <v>45964</v>
      </c>
      <c r="H2" s="121">
        <f t="shared" si="0"/>
        <v>45971</v>
      </c>
      <c r="I2" s="121">
        <f t="shared" si="0"/>
        <v>45978</v>
      </c>
      <c r="J2" s="121">
        <f t="shared" si="0"/>
        <v>45985</v>
      </c>
      <c r="K2" s="121">
        <f t="shared" si="0"/>
        <v>45992</v>
      </c>
      <c r="L2" s="121">
        <f t="shared" si="0"/>
        <v>45999</v>
      </c>
      <c r="M2" s="121">
        <f t="shared" si="0"/>
        <v>46006</v>
      </c>
      <c r="N2" s="121">
        <f t="shared" si="0"/>
        <v>46013</v>
      </c>
      <c r="O2" s="121">
        <f t="shared" si="0"/>
        <v>46020</v>
      </c>
      <c r="P2" s="121">
        <f t="shared" si="0"/>
        <v>46027</v>
      </c>
      <c r="Q2" s="121">
        <f t="shared" si="0"/>
        <v>46034</v>
      </c>
      <c r="R2" s="121">
        <f t="shared" si="0"/>
        <v>46041</v>
      </c>
      <c r="S2" s="121">
        <f t="shared" si="0"/>
        <v>46048</v>
      </c>
      <c r="T2" s="121">
        <f t="shared" ref="T2:AA2" si="1">S2+7</f>
        <v>46055</v>
      </c>
      <c r="U2" s="121">
        <f t="shared" si="1"/>
        <v>46062</v>
      </c>
      <c r="V2" s="121">
        <f t="shared" si="1"/>
        <v>46069</v>
      </c>
      <c r="W2" s="121">
        <f t="shared" si="1"/>
        <v>46076</v>
      </c>
      <c r="X2" s="121">
        <f t="shared" si="1"/>
        <v>46083</v>
      </c>
      <c r="Y2" s="121">
        <f t="shared" si="1"/>
        <v>46090</v>
      </c>
      <c r="Z2" s="121">
        <f t="shared" si="1"/>
        <v>46097</v>
      </c>
      <c r="AA2" s="121">
        <f t="shared" si="1"/>
        <v>46104</v>
      </c>
      <c r="AB2" s="121">
        <f>AA2+7</f>
        <v>46111</v>
      </c>
      <c r="AC2" s="121">
        <f>AB2+7</f>
        <v>46118</v>
      </c>
      <c r="AD2" s="121">
        <f>AC2+7</f>
        <v>46125</v>
      </c>
      <c r="AE2" s="121">
        <f>AD2+7</f>
        <v>46132</v>
      </c>
      <c r="AF2" s="121">
        <f>AE2+7</f>
        <v>46139</v>
      </c>
      <c r="AG2" s="121">
        <f>AF2+7</f>
        <v>46146</v>
      </c>
      <c r="AH2" s="136" t="s">
        <v>399</v>
      </c>
    </row>
    <row r="3" spans="1:34" x14ac:dyDescent="0.3">
      <c r="A3" s="175" t="s">
        <v>122</v>
      </c>
      <c r="B3" s="99" t="s">
        <v>376</v>
      </c>
      <c r="C3" s="98">
        <f>SALES!FN20/1.2</f>
        <v>12735.583333333334</v>
      </c>
      <c r="D3" s="98">
        <f>SALES!FO20/1.2</f>
        <v>11434.366666666667</v>
      </c>
      <c r="E3" s="98">
        <f>SALES!FP20/1.2</f>
        <v>13073.791666666666</v>
      </c>
      <c r="F3" s="98">
        <f>SALES!FQ20/1.2</f>
        <v>12396.833333333334</v>
      </c>
      <c r="G3" s="98">
        <f>SALES!FR20/1.2</f>
        <v>10482.291666666668</v>
      </c>
      <c r="H3" s="98">
        <f>SALES!FS20/1.2</f>
        <v>10709</v>
      </c>
      <c r="I3" s="98">
        <f>SALES!FT20/1.2</f>
        <v>10232.333333333334</v>
      </c>
      <c r="J3" s="98">
        <f>SALES!FU20/1.2</f>
        <v>12212.958333333334</v>
      </c>
      <c r="K3" s="98">
        <f>SALES!FV20/1.2</f>
        <v>13522.875000000002</v>
      </c>
      <c r="L3" s="98">
        <f>SALES!FW20/1.2</f>
        <v>14890.5</v>
      </c>
      <c r="M3" s="98">
        <f>SALES!FX20/1.2</f>
        <v>17774.291666666668</v>
      </c>
      <c r="N3" s="98">
        <f>SALES!FY20/1.2</f>
        <v>14951.416666666668</v>
      </c>
      <c r="O3" s="98">
        <f>SALES!FZ20/1.2</f>
        <v>22129.083333333336</v>
      </c>
      <c r="P3" s="98">
        <f>SALES!GA20/1.2</f>
        <v>8501.75</v>
      </c>
      <c r="Q3" s="98">
        <f>SALES!GB20/1.2</f>
        <v>10737.625</v>
      </c>
      <c r="R3" s="98">
        <f>SALES!GC20/1.2</f>
        <v>9712.9166666666679</v>
      </c>
      <c r="S3" s="98">
        <f>SALES!GD20/1.2</f>
        <v>10970.083333333334</v>
      </c>
      <c r="T3" s="98">
        <f>SALES!GE20/1.2</f>
        <v>10216.875</v>
      </c>
      <c r="U3" s="98">
        <f>SALES!GF20/1.2</f>
        <v>11405.083333333334</v>
      </c>
      <c r="V3" s="98">
        <f>SALES!GG20/1.2</f>
        <v>11708.3</v>
      </c>
      <c r="W3" s="98">
        <f>SALES!GH20/1.2</f>
        <v>9970.7833333333347</v>
      </c>
      <c r="X3" s="98">
        <f>SALES!GI20/1.2</f>
        <v>10683.050000000001</v>
      </c>
      <c r="Y3" s="98">
        <f>SALES!GJ20/1.2</f>
        <v>11996.875</v>
      </c>
      <c r="Z3" s="98">
        <f>SALES!GK20/1.2</f>
        <v>11155.475</v>
      </c>
      <c r="AA3" s="98">
        <f>SALES!GL20/1.2</f>
        <v>11571.25</v>
      </c>
      <c r="AB3" s="98">
        <f>SALES!GM20/1.2</f>
        <v>16160</v>
      </c>
      <c r="AC3" s="98">
        <f>SALES!GN20/1.2</f>
        <v>14837.541666666666</v>
      </c>
      <c r="AD3" s="98">
        <f>SALES!GO20/1.2</f>
        <v>12657.033333333335</v>
      </c>
      <c r="AE3" s="98">
        <f>SALES!GP20/1.2</f>
        <v>11194.166666666668</v>
      </c>
      <c r="AF3" s="98">
        <f>SALES!GQ20/1.2</f>
        <v>13474.166666666668</v>
      </c>
      <c r="AG3" s="98">
        <f>SALES!GR20/1.2</f>
        <v>12796.5</v>
      </c>
      <c r="AH3" s="144">
        <f>SUM(AC3:AG3)</f>
        <v>64959.40833333334</v>
      </c>
    </row>
    <row r="4" spans="1:34" x14ac:dyDescent="0.3">
      <c r="A4" s="175"/>
      <c r="B4" s="97" t="s">
        <v>372</v>
      </c>
      <c r="C4" s="96">
        <v>3885</v>
      </c>
      <c r="D4" s="96">
        <v>3225</v>
      </c>
      <c r="E4" s="96">
        <v>4220.49</v>
      </c>
      <c r="F4" s="96">
        <v>3372</v>
      </c>
      <c r="G4" s="96">
        <v>3788</v>
      </c>
      <c r="H4" s="96">
        <v>3345</v>
      </c>
      <c r="I4" s="96">
        <v>3722</v>
      </c>
      <c r="J4" s="96">
        <v>4687</v>
      </c>
      <c r="K4" s="96">
        <v>4501</v>
      </c>
      <c r="L4" s="96">
        <v>4365</v>
      </c>
      <c r="M4" s="96">
        <v>4174</v>
      </c>
      <c r="N4" s="96">
        <v>4987</v>
      </c>
      <c r="O4" s="96">
        <v>6463</v>
      </c>
      <c r="P4" s="96">
        <v>3221</v>
      </c>
      <c r="Q4" s="96">
        <v>2811</v>
      </c>
      <c r="R4" s="96">
        <v>3349</v>
      </c>
      <c r="S4" s="96">
        <v>2750</v>
      </c>
      <c r="T4" s="96">
        <v>3121</v>
      </c>
      <c r="U4" s="96">
        <v>4082</v>
      </c>
      <c r="V4" s="96">
        <v>3190</v>
      </c>
      <c r="W4" s="96">
        <v>3360</v>
      </c>
      <c r="X4" s="96">
        <v>3771</v>
      </c>
      <c r="Y4" s="96">
        <v>4623</v>
      </c>
      <c r="Z4" s="96">
        <v>3910</v>
      </c>
      <c r="AA4" s="96">
        <v>3942</v>
      </c>
      <c r="AB4" s="96">
        <v>5943</v>
      </c>
      <c r="AC4" s="96">
        <v>4039</v>
      </c>
      <c r="AD4" s="96">
        <v>3971</v>
      </c>
      <c r="AE4" s="96">
        <v>3431</v>
      </c>
      <c r="AF4" s="96">
        <v>4301</v>
      </c>
      <c r="AG4" s="96">
        <v>3327.82</v>
      </c>
      <c r="AH4" s="59"/>
    </row>
    <row r="5" spans="1:34" x14ac:dyDescent="0.3">
      <c r="A5" s="175"/>
      <c r="B5" s="102" t="s">
        <v>373</v>
      </c>
      <c r="C5" s="103">
        <f>16+16</f>
        <v>32</v>
      </c>
      <c r="D5" s="103">
        <v>48</v>
      </c>
      <c r="E5" s="103">
        <v>36</v>
      </c>
      <c r="F5" s="103">
        <v>389</v>
      </c>
      <c r="G5" s="103">
        <v>220</v>
      </c>
      <c r="H5" s="103">
        <v>318</v>
      </c>
      <c r="I5" s="103">
        <f>-311+152</f>
        <v>-159</v>
      </c>
      <c r="J5" s="103">
        <v>262</v>
      </c>
      <c r="K5" s="103">
        <v>454</v>
      </c>
      <c r="L5" s="103">
        <v>302</v>
      </c>
      <c r="M5" s="103">
        <v>562</v>
      </c>
      <c r="N5" s="103">
        <v>152</v>
      </c>
      <c r="O5" s="103">
        <v>122</v>
      </c>
      <c r="P5" s="103">
        <v>343</v>
      </c>
      <c r="Q5" s="103">
        <v>324</v>
      </c>
      <c r="R5" s="103"/>
      <c r="S5" s="103">
        <v>324</v>
      </c>
      <c r="T5" s="103">
        <v>166</v>
      </c>
      <c r="U5" s="103">
        <v>422</v>
      </c>
      <c r="V5" s="103">
        <v>362</v>
      </c>
      <c r="W5" s="103">
        <v>234</v>
      </c>
      <c r="X5" s="103">
        <v>275</v>
      </c>
      <c r="Y5" s="103">
        <v>166</v>
      </c>
      <c r="Z5" s="103">
        <v>174</v>
      </c>
      <c r="AA5" s="103">
        <v>82</v>
      </c>
      <c r="AB5" s="103">
        <v>225</v>
      </c>
      <c r="AC5" s="103">
        <v>32</v>
      </c>
      <c r="AD5" s="103">
        <v>215</v>
      </c>
      <c r="AE5" s="103">
        <v>40</v>
      </c>
      <c r="AF5" s="103">
        <f>AVERAGE(AA5:AE5)</f>
        <v>118.8</v>
      </c>
      <c r="AG5" s="103">
        <f>AVERAGE(AB5:AF5)</f>
        <v>126.16</v>
      </c>
      <c r="AH5" s="59"/>
    </row>
    <row r="6" spans="1:34" x14ac:dyDescent="0.3">
      <c r="A6" s="175"/>
      <c r="B6" s="99" t="s">
        <v>374</v>
      </c>
      <c r="C6" s="98">
        <f t="shared" ref="C6:H6" si="2">SUM(C4:C5)</f>
        <v>3917</v>
      </c>
      <c r="D6" s="98">
        <f t="shared" si="2"/>
        <v>3273</v>
      </c>
      <c r="E6" s="98">
        <f t="shared" si="2"/>
        <v>4256.49</v>
      </c>
      <c r="F6" s="98">
        <f t="shared" si="2"/>
        <v>3761</v>
      </c>
      <c r="G6" s="98">
        <f t="shared" si="2"/>
        <v>4008</v>
      </c>
      <c r="H6" s="98">
        <f t="shared" si="2"/>
        <v>3663</v>
      </c>
      <c r="I6" s="98">
        <f t="shared" ref="I6:J6" si="3">SUM(I4:I5)</f>
        <v>3563</v>
      </c>
      <c r="J6" s="98">
        <f t="shared" si="3"/>
        <v>4949</v>
      </c>
      <c r="K6" s="98">
        <f t="shared" ref="K6:L6" si="4">SUM(K4:K5)</f>
        <v>4955</v>
      </c>
      <c r="L6" s="98">
        <f t="shared" si="4"/>
        <v>4667</v>
      </c>
      <c r="M6" s="98">
        <f t="shared" ref="M6:N6" si="5">SUM(M4:M5)</f>
        <v>4736</v>
      </c>
      <c r="N6" s="98">
        <f t="shared" si="5"/>
        <v>5139</v>
      </c>
      <c r="O6" s="98">
        <f t="shared" ref="O6:P6" si="6">SUM(O4:O5)</f>
        <v>6585</v>
      </c>
      <c r="P6" s="98">
        <f t="shared" si="6"/>
        <v>3564</v>
      </c>
      <c r="Q6" s="98">
        <f t="shared" ref="Q6:R6" si="7">SUM(Q4:Q5)</f>
        <v>3135</v>
      </c>
      <c r="R6" s="98">
        <f t="shared" si="7"/>
        <v>3349</v>
      </c>
      <c r="S6" s="98">
        <f t="shared" ref="S6:W6" si="8">SUM(S4:S5)</f>
        <v>3074</v>
      </c>
      <c r="T6" s="98">
        <f t="shared" si="8"/>
        <v>3287</v>
      </c>
      <c r="U6" s="98">
        <f t="shared" si="8"/>
        <v>4504</v>
      </c>
      <c r="V6" s="98">
        <f t="shared" si="8"/>
        <v>3552</v>
      </c>
      <c r="W6" s="98">
        <f t="shared" si="8"/>
        <v>3594</v>
      </c>
      <c r="X6" s="98">
        <f t="shared" ref="X6:Y6" si="9">SUM(X4:X5)</f>
        <v>4046</v>
      </c>
      <c r="Y6" s="98">
        <f t="shared" si="9"/>
        <v>4789</v>
      </c>
      <c r="Z6" s="98">
        <f t="shared" ref="Z6:AA6" si="10">SUM(Z4:Z5)</f>
        <v>4084</v>
      </c>
      <c r="AA6" s="98">
        <f t="shared" si="10"/>
        <v>4024</v>
      </c>
      <c r="AB6" s="98">
        <f t="shared" ref="AB6" si="11">SUM(AB4:AB5)</f>
        <v>6168</v>
      </c>
      <c r="AC6" s="98">
        <f t="shared" ref="AC6:AD6" si="12">SUM(AC4:AC5)</f>
        <v>4071</v>
      </c>
      <c r="AD6" s="98">
        <f t="shared" si="12"/>
        <v>4186</v>
      </c>
      <c r="AE6" s="98">
        <f t="shared" ref="AE6:AF6" si="13">SUM(AE4:AE5)</f>
        <v>3471</v>
      </c>
      <c r="AF6" s="98">
        <f t="shared" si="13"/>
        <v>4419.8</v>
      </c>
      <c r="AG6" s="98">
        <f t="shared" ref="AG6" si="14">SUM(AG4:AG5)</f>
        <v>3453.98</v>
      </c>
      <c r="AH6" s="144">
        <f>SUM(AC6:AG6)</f>
        <v>19601.78</v>
      </c>
    </row>
    <row r="7" spans="1:34" ht="15" thickBot="1" x14ac:dyDescent="0.35">
      <c r="A7" s="175"/>
      <c r="B7" s="100" t="s">
        <v>378</v>
      </c>
      <c r="C7" s="101">
        <f t="shared" ref="C7:H7" si="15">(C3-C6)/C3</f>
        <v>0.69243654589830328</v>
      </c>
      <c r="D7" s="101">
        <f t="shared" si="15"/>
        <v>0.71375764872562542</v>
      </c>
      <c r="E7" s="101">
        <f t="shared" si="15"/>
        <v>0.67442574361556673</v>
      </c>
      <c r="F7" s="101">
        <f t="shared" si="15"/>
        <v>0.69661607130853309</v>
      </c>
      <c r="G7" s="101">
        <f t="shared" si="15"/>
        <v>0.61764086256583528</v>
      </c>
      <c r="H7" s="101">
        <f t="shared" si="15"/>
        <v>0.6579512559529368</v>
      </c>
      <c r="I7" s="101">
        <f t="shared" ref="I7:J7" si="16">(I3-I6)/I3</f>
        <v>0.65179007720624171</v>
      </c>
      <c r="J7" s="101">
        <f t="shared" si="16"/>
        <v>0.59477467580541166</v>
      </c>
      <c r="K7" s="101">
        <f t="shared" ref="K7:L7" si="17">(K3-K6)/K3</f>
        <v>0.63358383479844338</v>
      </c>
      <c r="L7" s="101">
        <f t="shared" si="17"/>
        <v>0.68657869111178271</v>
      </c>
      <c r="M7" s="101">
        <f t="shared" ref="M7:N7" si="18">(M3-M6)/M3</f>
        <v>0.73354775037917597</v>
      </c>
      <c r="N7" s="101">
        <f t="shared" si="18"/>
        <v>0.6562867509767748</v>
      </c>
      <c r="O7" s="101">
        <f t="shared" ref="O7:P7" si="19">(O3-O6)/O3</f>
        <v>0.70242780051892495</v>
      </c>
      <c r="P7" s="101">
        <f t="shared" si="19"/>
        <v>0.58079218984326753</v>
      </c>
      <c r="Q7" s="101">
        <f t="shared" ref="Q7:R7" si="20">(Q3-Q6)/Q3</f>
        <v>0.70803599492438973</v>
      </c>
      <c r="R7" s="101">
        <f t="shared" si="20"/>
        <v>0.65520140706104424</v>
      </c>
      <c r="S7" s="101">
        <f t="shared" ref="S7:W7" si="21">(S3-S6)/S3</f>
        <v>0.71978335017205886</v>
      </c>
      <c r="T7" s="101">
        <f t="shared" si="21"/>
        <v>0.67827735976020065</v>
      </c>
      <c r="U7" s="101">
        <f t="shared" si="21"/>
        <v>0.60508837433600515</v>
      </c>
      <c r="V7" s="101">
        <f t="shared" si="21"/>
        <v>0.69662547081984572</v>
      </c>
      <c r="W7" s="101">
        <f t="shared" si="21"/>
        <v>0.63954687612307293</v>
      </c>
      <c r="X7" s="101">
        <f t="shared" ref="X7:Y7" si="22">(X3-X6)/X3</f>
        <v>0.6212692068276382</v>
      </c>
      <c r="Y7" s="101">
        <f t="shared" si="22"/>
        <v>0.60081271164365724</v>
      </c>
      <c r="Z7" s="101">
        <f t="shared" ref="Z7" si="23">(Z3-Z6)/Z3</f>
        <v>0.63390173883227741</v>
      </c>
      <c r="AA7" s="101">
        <f t="shared" ref="AA7:AB7" si="24">(AA3-AA6)/AA3</f>
        <v>0.65224154693745273</v>
      </c>
      <c r="AB7" s="101">
        <f t="shared" si="24"/>
        <v>0.61831683168316831</v>
      </c>
      <c r="AC7" s="101">
        <f t="shared" ref="AC7:AD7" si="25">(AC3-AC6)/AC3</f>
        <v>0.72562840317775013</v>
      </c>
      <c r="AD7" s="101">
        <f t="shared" si="25"/>
        <v>0.66927479056440298</v>
      </c>
      <c r="AE7" s="101">
        <f t="shared" ref="AE7:AF7" si="26">(AE3-AE6)/AE3</f>
        <v>0.68992778977145841</v>
      </c>
      <c r="AF7" s="101">
        <f t="shared" si="26"/>
        <v>0.67197971426804393</v>
      </c>
      <c r="AG7" s="101">
        <f t="shared" ref="AG7" si="27">(AG3-AG6)/AG3</f>
        <v>0.73008400734575862</v>
      </c>
      <c r="AH7" s="145">
        <f t="shared" ref="AH7" si="28">(AH3-AH6)/AH3</f>
        <v>0.69824571216204379</v>
      </c>
    </row>
    <row r="8" spans="1:34" ht="15" thickTop="1" x14ac:dyDescent="0.3">
      <c r="A8" s="176" t="s">
        <v>123</v>
      </c>
      <c r="B8" s="99" t="s">
        <v>376</v>
      </c>
      <c r="C8" s="98">
        <f>SALES!FN27/1.2</f>
        <v>10154.375</v>
      </c>
      <c r="D8" s="98">
        <f>SALES!FO27/1.2</f>
        <v>9317.5</v>
      </c>
      <c r="E8" s="98">
        <f>SALES!FP27/1.2</f>
        <v>11552.083333333334</v>
      </c>
      <c r="F8" s="98">
        <f>SALES!FQ27/1.2</f>
        <v>10242.583333333334</v>
      </c>
      <c r="G8" s="98">
        <f>SALES!FR27/1.2</f>
        <v>9972.125</v>
      </c>
      <c r="H8" s="98">
        <f>SALES!FS27/1.2</f>
        <v>10168.958333333334</v>
      </c>
      <c r="I8" s="98">
        <f>SALES!FT27/1.2</f>
        <v>8561.875</v>
      </c>
      <c r="J8" s="98">
        <f>SALES!FU27/1.2</f>
        <v>9803.3333333333339</v>
      </c>
      <c r="K8" s="98">
        <f>SALES!FV27/1.2</f>
        <v>12537.875000000002</v>
      </c>
      <c r="L8" s="98">
        <f>SALES!FW27/1.2</f>
        <v>10922.708333333334</v>
      </c>
      <c r="M8" s="98">
        <f>SALES!FX27/1.2</f>
        <v>8246.6666666666679</v>
      </c>
      <c r="N8" s="98">
        <f>SALES!FY27/1.2</f>
        <v>7812.0833333333339</v>
      </c>
      <c r="O8" s="98">
        <f>SALES!FZ27/1.2</f>
        <v>12202.5</v>
      </c>
      <c r="P8" s="98">
        <f>SALES!GA27/1.2</f>
        <v>0</v>
      </c>
      <c r="Q8" s="98">
        <f>SALES!GB27/1.2</f>
        <v>0</v>
      </c>
      <c r="R8" s="98">
        <f>SALES!GC27/1.2</f>
        <v>6387.0833333333339</v>
      </c>
      <c r="S8" s="98">
        <f>SALES!GD27/1.2</f>
        <v>11842.708333333334</v>
      </c>
      <c r="T8" s="98">
        <f>SALES!GE27/1.2</f>
        <v>9935</v>
      </c>
      <c r="U8" s="98">
        <f>SALES!GF27/1.2</f>
        <v>8137.5</v>
      </c>
      <c r="V8" s="98">
        <f>SALES!GG27/1.2</f>
        <v>10634.933333333334</v>
      </c>
      <c r="W8" s="98">
        <f>SALES!GH27/1.2</f>
        <v>10691.875</v>
      </c>
      <c r="X8" s="98">
        <f>SALES!GI27/1.2</f>
        <v>11632.916666666668</v>
      </c>
      <c r="Y8" s="98">
        <f>SALES!GJ27/1.2</f>
        <v>12346.666666666668</v>
      </c>
      <c r="Z8" s="98">
        <f>SALES!GK27/1.2</f>
        <v>13714.583333333334</v>
      </c>
      <c r="AA8" s="98">
        <f>SALES!GL27/1.2</f>
        <v>12241.800000000001</v>
      </c>
      <c r="AB8" s="98">
        <f>SALES!GM27/1.2</f>
        <v>11061.875</v>
      </c>
      <c r="AC8" s="98">
        <f>SALES!GN27/1.2</f>
        <v>12768.333333333334</v>
      </c>
      <c r="AD8" s="98">
        <f>SALES!GO27/1.2</f>
        <v>12053.541666666668</v>
      </c>
      <c r="AE8" s="98">
        <f>SALES!GP27/1.2</f>
        <v>12496.283333333335</v>
      </c>
      <c r="AF8" s="98">
        <f>SALES!GQ27/1.2</f>
        <v>12697.5</v>
      </c>
      <c r="AG8" s="98">
        <f>SALES!GR27/1.2</f>
        <v>13072.708333333334</v>
      </c>
      <c r="AH8" s="144">
        <f>SUM(AC8:AG8)</f>
        <v>63088.366666666669</v>
      </c>
    </row>
    <row r="9" spans="1:34" x14ac:dyDescent="0.3">
      <c r="A9" s="176"/>
      <c r="B9" s="97" t="s">
        <v>372</v>
      </c>
      <c r="C9" s="96">
        <v>2079</v>
      </c>
      <c r="D9" s="96">
        <v>2542</v>
      </c>
      <c r="E9" s="96">
        <v>2112.37</v>
      </c>
      <c r="F9" s="96">
        <v>2294</v>
      </c>
      <c r="G9" s="96">
        <v>2105</v>
      </c>
      <c r="H9" s="96">
        <v>3291</v>
      </c>
      <c r="I9" s="96">
        <v>2558</v>
      </c>
      <c r="J9" s="96">
        <v>3449</v>
      </c>
      <c r="K9" s="96">
        <v>2878</v>
      </c>
      <c r="L9" s="96">
        <v>3259</v>
      </c>
      <c r="M9" s="96">
        <v>3097</v>
      </c>
      <c r="N9" s="96">
        <v>1588</v>
      </c>
      <c r="O9" s="96">
        <v>2542</v>
      </c>
      <c r="P9" s="96"/>
      <c r="Q9" s="96"/>
      <c r="R9" s="96">
        <v>2563</v>
      </c>
      <c r="S9" s="96">
        <v>2403</v>
      </c>
      <c r="T9" s="96">
        <v>2151</v>
      </c>
      <c r="U9" s="96">
        <v>2593</v>
      </c>
      <c r="V9" s="96">
        <v>2707</v>
      </c>
      <c r="W9" s="96">
        <v>2228</v>
      </c>
      <c r="X9" s="96">
        <v>2928</v>
      </c>
      <c r="Y9" s="96">
        <v>3232</v>
      </c>
      <c r="Z9" s="96">
        <v>2881</v>
      </c>
      <c r="AA9" s="96">
        <v>3446</v>
      </c>
      <c r="AB9" s="96">
        <v>3678</v>
      </c>
      <c r="AC9" s="96">
        <v>3382</v>
      </c>
      <c r="AD9" s="96">
        <v>3374</v>
      </c>
      <c r="AE9" s="96">
        <v>2916</v>
      </c>
      <c r="AF9" s="96">
        <v>3797</v>
      </c>
      <c r="AG9" s="96">
        <v>2190.13</v>
      </c>
      <c r="AH9" s="59"/>
    </row>
    <row r="10" spans="1:34" x14ac:dyDescent="0.3">
      <c r="A10" s="176"/>
      <c r="B10" s="102" t="s">
        <v>373</v>
      </c>
      <c r="C10" s="103">
        <f>90+45+60+120+105</f>
        <v>420</v>
      </c>
      <c r="D10" s="103">
        <v>630</v>
      </c>
      <c r="E10" s="103">
        <v>750</v>
      </c>
      <c r="F10" s="103">
        <v>450</v>
      </c>
      <c r="G10" s="103">
        <v>480</v>
      </c>
      <c r="H10" s="103">
        <v>585</v>
      </c>
      <c r="I10" s="103">
        <v>495</v>
      </c>
      <c r="J10" s="103">
        <v>465</v>
      </c>
      <c r="K10" s="103">
        <v>435</v>
      </c>
      <c r="L10" s="103">
        <v>435</v>
      </c>
      <c r="M10" s="103">
        <v>735</v>
      </c>
      <c r="N10" s="103">
        <v>100</v>
      </c>
      <c r="O10" s="103">
        <v>340</v>
      </c>
      <c r="P10" s="103"/>
      <c r="Q10" s="103"/>
      <c r="R10" s="103"/>
      <c r="S10" s="103">
        <v>435</v>
      </c>
      <c r="T10" s="103">
        <v>330</v>
      </c>
      <c r="U10" s="103">
        <v>115</v>
      </c>
      <c r="V10" s="103">
        <v>490</v>
      </c>
      <c r="W10" s="103">
        <v>270</v>
      </c>
      <c r="X10" s="103">
        <v>555</v>
      </c>
      <c r="Y10" s="103">
        <v>510</v>
      </c>
      <c r="Z10" s="103">
        <v>571</v>
      </c>
      <c r="AA10" s="103">
        <v>753</v>
      </c>
      <c r="AB10" s="103">
        <v>525</v>
      </c>
      <c r="AC10" s="103">
        <v>479</v>
      </c>
      <c r="AD10" s="103">
        <v>497</v>
      </c>
      <c r="AE10" s="103">
        <v>652</v>
      </c>
      <c r="AF10" s="103">
        <f>AVERAGE(AA10:AE10)</f>
        <v>581.20000000000005</v>
      </c>
      <c r="AG10" s="103">
        <f>AVERAGE(AB10:AF10)</f>
        <v>546.83999999999992</v>
      </c>
      <c r="AH10" s="59"/>
    </row>
    <row r="11" spans="1:34" x14ac:dyDescent="0.3">
      <c r="A11" s="176"/>
      <c r="B11" s="99" t="s">
        <v>374</v>
      </c>
      <c r="C11" s="98">
        <f t="shared" ref="C11:H11" si="29">SUM(C9:C10)</f>
        <v>2499</v>
      </c>
      <c r="D11" s="98">
        <f t="shared" si="29"/>
        <v>3172</v>
      </c>
      <c r="E11" s="98">
        <f t="shared" si="29"/>
        <v>2862.37</v>
      </c>
      <c r="F11" s="98">
        <f t="shared" si="29"/>
        <v>2744</v>
      </c>
      <c r="G11" s="98">
        <f t="shared" si="29"/>
        <v>2585</v>
      </c>
      <c r="H11" s="98">
        <f t="shared" si="29"/>
        <v>3876</v>
      </c>
      <c r="I11" s="98">
        <f t="shared" ref="I11:J11" si="30">SUM(I9:I10)</f>
        <v>3053</v>
      </c>
      <c r="J11" s="98">
        <f t="shared" si="30"/>
        <v>3914</v>
      </c>
      <c r="K11" s="98">
        <f t="shared" ref="K11:L11" si="31">SUM(K9:K10)</f>
        <v>3313</v>
      </c>
      <c r="L11" s="98">
        <f t="shared" si="31"/>
        <v>3694</v>
      </c>
      <c r="M11" s="98">
        <f t="shared" ref="M11:N11" si="32">SUM(M9:M10)</f>
        <v>3832</v>
      </c>
      <c r="N11" s="98">
        <f t="shared" si="32"/>
        <v>1688</v>
      </c>
      <c r="O11" s="98">
        <f t="shared" ref="O11:P11" si="33">SUM(O9:O10)</f>
        <v>2882</v>
      </c>
      <c r="P11" s="98">
        <f t="shared" si="33"/>
        <v>0</v>
      </c>
      <c r="Q11" s="98">
        <f t="shared" ref="Q11:R11" si="34">SUM(Q9:Q10)</f>
        <v>0</v>
      </c>
      <c r="R11" s="98">
        <f t="shared" si="34"/>
        <v>2563</v>
      </c>
      <c r="S11" s="98">
        <f t="shared" ref="S11:W11" si="35">SUM(S9:S10)</f>
        <v>2838</v>
      </c>
      <c r="T11" s="98">
        <f t="shared" si="35"/>
        <v>2481</v>
      </c>
      <c r="U11" s="98">
        <f t="shared" si="35"/>
        <v>2708</v>
      </c>
      <c r="V11" s="98">
        <f t="shared" si="35"/>
        <v>3197</v>
      </c>
      <c r="W11" s="98">
        <f t="shared" si="35"/>
        <v>2498</v>
      </c>
      <c r="X11" s="98">
        <f t="shared" ref="X11:Y11" si="36">SUM(X9:X10)</f>
        <v>3483</v>
      </c>
      <c r="Y11" s="98">
        <f t="shared" si="36"/>
        <v>3742</v>
      </c>
      <c r="Z11" s="98">
        <f t="shared" ref="Z11:AA11" si="37">SUM(Z9:Z10)</f>
        <v>3452</v>
      </c>
      <c r="AA11" s="98">
        <f t="shared" si="37"/>
        <v>4199</v>
      </c>
      <c r="AB11" s="98">
        <f t="shared" ref="AB11" si="38">SUM(AB9:AB10)</f>
        <v>4203</v>
      </c>
      <c r="AC11" s="98">
        <f t="shared" ref="AC11:AD11" si="39">SUM(AC9:AC10)</f>
        <v>3861</v>
      </c>
      <c r="AD11" s="98">
        <f t="shared" si="39"/>
        <v>3871</v>
      </c>
      <c r="AE11" s="98">
        <f t="shared" ref="AE11:AF11" si="40">SUM(AE9:AE10)</f>
        <v>3568</v>
      </c>
      <c r="AF11" s="98">
        <f t="shared" si="40"/>
        <v>4378.2</v>
      </c>
      <c r="AG11" s="98">
        <f t="shared" ref="AG11" si="41">SUM(AG9:AG10)</f>
        <v>2736.9700000000003</v>
      </c>
      <c r="AH11" s="144">
        <f>SUM(AC11:AG11)</f>
        <v>18415.170000000002</v>
      </c>
    </row>
    <row r="12" spans="1:34" ht="15" thickBot="1" x14ac:dyDescent="0.35">
      <c r="A12" s="176"/>
      <c r="B12" s="100" t="s">
        <v>378</v>
      </c>
      <c r="C12" s="101">
        <f t="shared" ref="C12:H12" si="42">(C8-C11)/C8</f>
        <v>0.75389918138733303</v>
      </c>
      <c r="D12" s="101">
        <f t="shared" si="42"/>
        <v>0.65956533404883289</v>
      </c>
      <c r="E12" s="101">
        <f t="shared" si="42"/>
        <v>0.75222045085662759</v>
      </c>
      <c r="F12" s="101">
        <f t="shared" si="42"/>
        <v>0.73209883574293599</v>
      </c>
      <c r="G12" s="101">
        <f t="shared" si="42"/>
        <v>0.74077741705002698</v>
      </c>
      <c r="H12" s="101">
        <f t="shared" si="42"/>
        <v>0.6188400155702608</v>
      </c>
      <c r="I12" s="101">
        <f t="shared" ref="I12:J12" si="43">(I8-I11)/I8</f>
        <v>0.64341922768085258</v>
      </c>
      <c r="J12" s="101">
        <f t="shared" si="43"/>
        <v>0.60074804488269296</v>
      </c>
      <c r="K12" s="101">
        <f t="shared" ref="K12:L12" si="44">(K8-K11)/K8</f>
        <v>0.73576064524490792</v>
      </c>
      <c r="L12" s="101">
        <f t="shared" si="44"/>
        <v>0.66180548932842509</v>
      </c>
      <c r="M12" s="101">
        <f t="shared" ref="M12:N12" si="45">(M8-M11)/M8</f>
        <v>0.53532740501212617</v>
      </c>
      <c r="N12" s="101">
        <f t="shared" si="45"/>
        <v>0.78392447597205184</v>
      </c>
      <c r="O12" s="101">
        <f t="shared" ref="O12:P12" si="46">(O8-O11)/O8</f>
        <v>0.7638188895718091</v>
      </c>
      <c r="P12" s="101" t="e">
        <f t="shared" si="46"/>
        <v>#DIV/0!</v>
      </c>
      <c r="Q12" s="101" t="e">
        <f t="shared" ref="Q12:R12" si="47">(Q8-Q11)/Q8</f>
        <v>#DIV/0!</v>
      </c>
      <c r="R12" s="101">
        <f t="shared" si="47"/>
        <v>0.59872137778067713</v>
      </c>
      <c r="S12" s="101">
        <f t="shared" ref="S12:U12" si="48">(S8-S11)/S8</f>
        <v>0.76035887061307061</v>
      </c>
      <c r="T12" s="101">
        <f t="shared" si="48"/>
        <v>0.75027679919476598</v>
      </c>
      <c r="U12" s="101">
        <f t="shared" si="48"/>
        <v>0.66721966205837169</v>
      </c>
      <c r="V12" s="101">
        <f t="shared" ref="V12:AB12" si="49">(V8-V11)/V8</f>
        <v>0.69938692610516284</v>
      </c>
      <c r="W12" s="101">
        <f t="shared" si="49"/>
        <v>0.76636464605132404</v>
      </c>
      <c r="X12" s="101">
        <f t="shared" si="49"/>
        <v>0.70059099537949066</v>
      </c>
      <c r="Y12" s="101">
        <f t="shared" si="49"/>
        <v>0.69692224622030241</v>
      </c>
      <c r="Z12" s="101">
        <f t="shared" si="49"/>
        <v>0.74829712896855538</v>
      </c>
      <c r="AA12" s="101">
        <f t="shared" si="49"/>
        <v>0.65699488637291903</v>
      </c>
      <c r="AB12" s="101">
        <f t="shared" si="49"/>
        <v>0.62004633030114698</v>
      </c>
      <c r="AC12" s="101">
        <f t="shared" ref="AC12:AD12" si="50">(AC8-AC11)/AC8</f>
        <v>0.69761127790105737</v>
      </c>
      <c r="AD12" s="101">
        <f t="shared" si="50"/>
        <v>0.67884957740636398</v>
      </c>
      <c r="AE12" s="101">
        <f t="shared" ref="AE12:AF12" si="51">(AE8-AE11)/AE8</f>
        <v>0.71447510393090219</v>
      </c>
      <c r="AF12" s="101">
        <f t="shared" si="51"/>
        <v>0.65519196692262249</v>
      </c>
      <c r="AG12" s="101">
        <f t="shared" ref="AG12" si="52">(AG8-AG11)/AG8</f>
        <v>0.79063481489744858</v>
      </c>
      <c r="AH12" s="145">
        <f t="shared" ref="AH12" si="53">(AH8-AH11)/AH8</f>
        <v>0.70810513929932151</v>
      </c>
    </row>
    <row r="13" spans="1:34" ht="15" thickTop="1" x14ac:dyDescent="0.3">
      <c r="A13" s="175" t="s">
        <v>370</v>
      </c>
      <c r="B13" s="99" t="s">
        <v>376</v>
      </c>
      <c r="C13" s="98">
        <f>SALES!FN69/1.2</f>
        <v>9458.5416666666679</v>
      </c>
      <c r="D13" s="98">
        <f>SALES!FO69/1.2</f>
        <v>9685.4166666666679</v>
      </c>
      <c r="E13" s="98">
        <f>SALES!FP69/1.2</f>
        <v>8407.0833333333339</v>
      </c>
      <c r="F13" s="98">
        <f>SALES!FQ69/1.2</f>
        <v>11074.375</v>
      </c>
      <c r="G13" s="98">
        <f>SALES!FR69/1.2</f>
        <v>10078.958333333334</v>
      </c>
      <c r="H13" s="98">
        <f>SALES!FS69/1.2</f>
        <v>10452.083333333334</v>
      </c>
      <c r="I13" s="98">
        <f>SALES!FT69/1.2</f>
        <v>10590.833333333334</v>
      </c>
      <c r="J13" s="98">
        <f>SALES!FU69/1.2</f>
        <v>10012.5</v>
      </c>
      <c r="K13" s="98">
        <f>SALES!FV69/1.2</f>
        <v>9652.0833333333339</v>
      </c>
      <c r="L13" s="98">
        <f>SALES!FW69/1.2</f>
        <v>9915.4166666666679</v>
      </c>
      <c r="M13" s="98">
        <f>SALES!FX69/1.2</f>
        <v>11914.583333333334</v>
      </c>
      <c r="N13" s="98">
        <f>SALES!FY69/1.2</f>
        <v>9989.7916666666679</v>
      </c>
      <c r="O13" s="98">
        <f>SALES!FZ69/1.2</f>
        <v>15814.791666666668</v>
      </c>
      <c r="P13" s="98">
        <f>SALES!GA69/1.2</f>
        <v>9060.0083333333332</v>
      </c>
      <c r="Q13" s="98">
        <f>SALES!GB69/1.2</f>
        <v>10709.166666666668</v>
      </c>
      <c r="R13" s="98">
        <f>SALES!GC69/1.2</f>
        <v>10760.833333333334</v>
      </c>
      <c r="S13" s="98">
        <f>SALES!GD69/1.2</f>
        <v>8902.0833333333339</v>
      </c>
      <c r="T13" s="98">
        <f>SALES!GE69/1.2</f>
        <v>8822.5</v>
      </c>
      <c r="U13" s="98">
        <f>SALES!GF69/1.2</f>
        <v>10188.75</v>
      </c>
      <c r="V13" s="98">
        <f>SALES!GG69/1.2</f>
        <v>11868</v>
      </c>
      <c r="W13" s="98">
        <f>SALES!GH69/1.2</f>
        <v>9036.25</v>
      </c>
      <c r="X13" s="98">
        <f>SALES!GI69/1.2</f>
        <v>9565.4166666666679</v>
      </c>
      <c r="Y13" s="98">
        <f>SALES!GJ69/1.2</f>
        <v>12619.166666666668</v>
      </c>
      <c r="Z13" s="98">
        <f>SALES!GK69/1.2</f>
        <v>10270.958333333334</v>
      </c>
      <c r="AA13" s="98">
        <f>SALES!GL69/1.2</f>
        <v>10129.583333333334</v>
      </c>
      <c r="AB13" s="98">
        <f>SALES!GM69/1.2</f>
        <v>12814.791666666668</v>
      </c>
      <c r="AC13" s="98">
        <f>SALES!GN69/1.2</f>
        <v>13337.291666666668</v>
      </c>
      <c r="AD13" s="98">
        <f>SALES!GO69/1.2</f>
        <v>10582.708333333334</v>
      </c>
      <c r="AE13" s="98">
        <f>SALES!GP69/1.2</f>
        <v>9220.7916666666679</v>
      </c>
      <c r="AF13" s="98">
        <f>SALES!GQ69/1.2</f>
        <v>10048.75</v>
      </c>
      <c r="AG13" s="98">
        <f>SALES!GR69/1.2</f>
        <v>9113.3333333333339</v>
      </c>
      <c r="AH13" s="144">
        <f>SUM(AC13:AG13)</f>
        <v>52302.875000000007</v>
      </c>
    </row>
    <row r="14" spans="1:34" x14ac:dyDescent="0.3">
      <c r="A14" s="175"/>
      <c r="B14" s="97" t="s">
        <v>372</v>
      </c>
      <c r="C14" s="96">
        <v>3025</v>
      </c>
      <c r="D14" s="96">
        <v>2619</v>
      </c>
      <c r="E14" s="96">
        <v>2530.38</v>
      </c>
      <c r="F14" s="96">
        <v>3403</v>
      </c>
      <c r="G14" s="96">
        <v>2564</v>
      </c>
      <c r="H14" s="96">
        <v>3034</v>
      </c>
      <c r="I14" s="96">
        <v>2818</v>
      </c>
      <c r="J14" s="96">
        <v>3339</v>
      </c>
      <c r="K14" s="96">
        <v>2711</v>
      </c>
      <c r="L14" s="96">
        <v>3226</v>
      </c>
      <c r="M14" s="96">
        <v>4236</v>
      </c>
      <c r="N14" s="96">
        <v>1983</v>
      </c>
      <c r="O14" s="96">
        <v>4257</v>
      </c>
      <c r="P14" s="96">
        <v>2354</v>
      </c>
      <c r="Q14" s="96">
        <v>2747</v>
      </c>
      <c r="R14" s="96">
        <v>2035</v>
      </c>
      <c r="S14" s="96">
        <v>3196</v>
      </c>
      <c r="T14" s="96">
        <v>2099</v>
      </c>
      <c r="U14" s="96">
        <v>2721</v>
      </c>
      <c r="V14" s="96">
        <v>2669</v>
      </c>
      <c r="W14" s="96">
        <v>2859</v>
      </c>
      <c r="X14" s="96">
        <v>2990</v>
      </c>
      <c r="Y14" s="96">
        <v>3713</v>
      </c>
      <c r="Z14" s="96">
        <v>2905</v>
      </c>
      <c r="AA14" s="96">
        <v>3041</v>
      </c>
      <c r="AB14" s="96">
        <v>4068</v>
      </c>
      <c r="AC14" s="96">
        <v>3678</v>
      </c>
      <c r="AD14" s="96">
        <v>3865</v>
      </c>
      <c r="AE14" s="96">
        <v>2920</v>
      </c>
      <c r="AF14" s="96">
        <v>2923</v>
      </c>
      <c r="AG14" s="96">
        <v>3024.82</v>
      </c>
      <c r="AH14" s="59"/>
    </row>
    <row r="15" spans="1:34" x14ac:dyDescent="0.3">
      <c r="A15" s="175"/>
      <c r="B15" s="102" t="s">
        <v>373</v>
      </c>
      <c r="C15" s="103">
        <f>32+64+48+80</f>
        <v>224</v>
      </c>
      <c r="D15" s="103">
        <v>136</v>
      </c>
      <c r="E15" s="103">
        <v>262</v>
      </c>
      <c r="F15" s="103">
        <v>290</v>
      </c>
      <c r="G15" s="103">
        <v>288</v>
      </c>
      <c r="H15" s="103">
        <v>394</v>
      </c>
      <c r="I15" s="103">
        <v>224</v>
      </c>
      <c r="J15" s="103">
        <v>394</v>
      </c>
      <c r="K15" s="103">
        <v>462</v>
      </c>
      <c r="L15" s="103">
        <v>424</v>
      </c>
      <c r="M15" s="103">
        <v>428</v>
      </c>
      <c r="N15" s="103">
        <v>204</v>
      </c>
      <c r="O15" s="103">
        <v>610</v>
      </c>
      <c r="P15" s="103">
        <v>188</v>
      </c>
      <c r="Q15" s="103">
        <v>386</v>
      </c>
      <c r="R15" s="103"/>
      <c r="S15" s="103">
        <v>486</v>
      </c>
      <c r="T15" s="103">
        <v>346</v>
      </c>
      <c r="U15" s="103">
        <v>370</v>
      </c>
      <c r="V15" s="103">
        <v>338</v>
      </c>
      <c r="W15" s="103">
        <v>244</v>
      </c>
      <c r="X15" s="103">
        <v>411</v>
      </c>
      <c r="Y15" s="103">
        <v>380</v>
      </c>
      <c r="Z15" s="103">
        <v>275</v>
      </c>
      <c r="AA15" s="103">
        <v>352</v>
      </c>
      <c r="AB15" s="103">
        <v>420</v>
      </c>
      <c r="AC15" s="103">
        <v>301</v>
      </c>
      <c r="AD15" s="103">
        <v>257</v>
      </c>
      <c r="AE15" s="103">
        <v>224</v>
      </c>
      <c r="AF15" s="103">
        <f>AVERAGE(AA15:AE15)</f>
        <v>310.8</v>
      </c>
      <c r="AG15" s="103">
        <f>AVERAGE(AB15:AF15)</f>
        <v>302.56</v>
      </c>
      <c r="AH15" s="59"/>
    </row>
    <row r="16" spans="1:34" x14ac:dyDescent="0.3">
      <c r="A16" s="175"/>
      <c r="B16" s="99" t="s">
        <v>374</v>
      </c>
      <c r="C16" s="98">
        <f t="shared" ref="C16:H16" si="54">SUM(C14:C15)</f>
        <v>3249</v>
      </c>
      <c r="D16" s="98">
        <f t="shared" si="54"/>
        <v>2755</v>
      </c>
      <c r="E16" s="98">
        <f t="shared" si="54"/>
        <v>2792.38</v>
      </c>
      <c r="F16" s="98">
        <f t="shared" si="54"/>
        <v>3693</v>
      </c>
      <c r="G16" s="98">
        <f t="shared" si="54"/>
        <v>2852</v>
      </c>
      <c r="H16" s="98">
        <f t="shared" si="54"/>
        <v>3428</v>
      </c>
      <c r="I16" s="98">
        <f t="shared" ref="I16:J16" si="55">SUM(I14:I15)</f>
        <v>3042</v>
      </c>
      <c r="J16" s="98">
        <f t="shared" si="55"/>
        <v>3733</v>
      </c>
      <c r="K16" s="98">
        <f t="shared" ref="K16:L16" si="56">SUM(K14:K15)</f>
        <v>3173</v>
      </c>
      <c r="L16" s="98">
        <f t="shared" si="56"/>
        <v>3650</v>
      </c>
      <c r="M16" s="98">
        <f t="shared" ref="M16:N16" si="57">SUM(M14:M15)</f>
        <v>4664</v>
      </c>
      <c r="N16" s="98">
        <f t="shared" si="57"/>
        <v>2187</v>
      </c>
      <c r="O16" s="98">
        <f t="shared" ref="O16:P16" si="58">SUM(O14:O15)</f>
        <v>4867</v>
      </c>
      <c r="P16" s="98">
        <f t="shared" si="58"/>
        <v>2542</v>
      </c>
      <c r="Q16" s="98">
        <f t="shared" ref="Q16:R16" si="59">SUM(Q14:Q15)</f>
        <v>3133</v>
      </c>
      <c r="R16" s="98">
        <f t="shared" si="59"/>
        <v>2035</v>
      </c>
      <c r="S16" s="98">
        <f t="shared" ref="S16:W16" si="60">SUM(S14:S15)</f>
        <v>3682</v>
      </c>
      <c r="T16" s="98">
        <f t="shared" si="60"/>
        <v>2445</v>
      </c>
      <c r="U16" s="98">
        <f t="shared" si="60"/>
        <v>3091</v>
      </c>
      <c r="V16" s="98">
        <f t="shared" si="60"/>
        <v>3007</v>
      </c>
      <c r="W16" s="98">
        <f t="shared" si="60"/>
        <v>3103</v>
      </c>
      <c r="X16" s="98">
        <f t="shared" ref="X16:Y16" si="61">SUM(X14:X15)</f>
        <v>3401</v>
      </c>
      <c r="Y16" s="98">
        <f t="shared" si="61"/>
        <v>4093</v>
      </c>
      <c r="Z16" s="98">
        <f t="shared" ref="Z16:AA16" si="62">SUM(Z14:Z15)</f>
        <v>3180</v>
      </c>
      <c r="AA16" s="98">
        <f t="shared" si="62"/>
        <v>3393</v>
      </c>
      <c r="AB16" s="98">
        <f t="shared" ref="AB16" si="63">SUM(AB14:AB15)</f>
        <v>4488</v>
      </c>
      <c r="AC16" s="98">
        <f t="shared" ref="AC16:AD16" si="64">SUM(AC14:AC15)</f>
        <v>3979</v>
      </c>
      <c r="AD16" s="98">
        <f t="shared" si="64"/>
        <v>4122</v>
      </c>
      <c r="AE16" s="98">
        <f t="shared" ref="AE16:AF16" si="65">SUM(AE14:AE15)</f>
        <v>3144</v>
      </c>
      <c r="AF16" s="98">
        <f t="shared" si="65"/>
        <v>3233.8</v>
      </c>
      <c r="AG16" s="98">
        <f t="shared" ref="AG16" si="66">SUM(AG14:AG15)</f>
        <v>3327.38</v>
      </c>
      <c r="AH16" s="144">
        <f>SUM(AC16:AG16)</f>
        <v>17806.18</v>
      </c>
    </row>
    <row r="17" spans="1:34" ht="15" thickBot="1" x14ac:dyDescent="0.35">
      <c r="A17" s="175"/>
      <c r="B17" s="100" t="s">
        <v>378</v>
      </c>
      <c r="C17" s="101">
        <f t="shared" ref="C17:H17" si="67">(C13-C16)/C13</f>
        <v>0.65650095812867559</v>
      </c>
      <c r="D17" s="101">
        <f t="shared" si="67"/>
        <v>0.71555173155517315</v>
      </c>
      <c r="E17" s="101">
        <f t="shared" si="67"/>
        <v>0.66785389304653819</v>
      </c>
      <c r="F17" s="101">
        <f t="shared" si="67"/>
        <v>0.66652745640273148</v>
      </c>
      <c r="G17" s="101">
        <f t="shared" si="67"/>
        <v>0.71703425039789992</v>
      </c>
      <c r="H17" s="101">
        <f t="shared" si="67"/>
        <v>0.67202710783336661</v>
      </c>
      <c r="I17" s="101">
        <f t="shared" ref="I17:J17" si="68">(I13-I16)/I13</f>
        <v>0.71277047761428913</v>
      </c>
      <c r="J17" s="101">
        <f t="shared" si="68"/>
        <v>0.6271660424469413</v>
      </c>
      <c r="K17" s="101">
        <f t="shared" ref="K17:L17" si="69">(K13-K16)/K13</f>
        <v>0.67126268076840068</v>
      </c>
      <c r="L17" s="101">
        <f t="shared" si="69"/>
        <v>0.631886372231794</v>
      </c>
      <c r="M17" s="101">
        <f t="shared" ref="M17:N17" si="70">(M13-M16)/M13</f>
        <v>0.608546948767267</v>
      </c>
      <c r="N17" s="101">
        <f t="shared" si="70"/>
        <v>0.78107651560968494</v>
      </c>
      <c r="O17" s="101">
        <f t="shared" ref="O17:P17" si="71">(O13-O16)/O13</f>
        <v>0.69225013502654431</v>
      </c>
      <c r="P17" s="101">
        <f t="shared" si="71"/>
        <v>0.71942630663511165</v>
      </c>
      <c r="Q17" s="101">
        <f t="shared" ref="Q17:R17" si="72">(Q13-Q16)/Q13</f>
        <v>0.70744689129250649</v>
      </c>
      <c r="R17" s="101">
        <f t="shared" si="72"/>
        <v>0.81088825214899718</v>
      </c>
      <c r="S17" s="101">
        <f t="shared" ref="S17:W17" si="73">(S13-S16)/S13</f>
        <v>0.58638895389655987</v>
      </c>
      <c r="T17" s="101">
        <f t="shared" si="73"/>
        <v>0.72286766789458767</v>
      </c>
      <c r="U17" s="101">
        <f t="shared" si="73"/>
        <v>0.69662618083670713</v>
      </c>
      <c r="V17" s="101">
        <f t="shared" si="73"/>
        <v>0.74662959218065383</v>
      </c>
      <c r="W17" s="101">
        <f t="shared" si="73"/>
        <v>0.65660533960437129</v>
      </c>
      <c r="X17" s="101">
        <f t="shared" ref="X17:Y17" si="74">(X13-X16)/X13</f>
        <v>0.64444831641765044</v>
      </c>
      <c r="Y17" s="101">
        <f t="shared" si="74"/>
        <v>0.6756521164894671</v>
      </c>
      <c r="Z17" s="101">
        <f t="shared" ref="Z17" si="75">(Z13-Z16)/Z13</f>
        <v>0.69038916362072678</v>
      </c>
      <c r="AA17" s="101">
        <f t="shared" ref="AA17:AB17" si="76">(AA13-AA16)/AA13</f>
        <v>0.66504051663855868</v>
      </c>
      <c r="AB17" s="101">
        <f t="shared" si="76"/>
        <v>0.64977971419746061</v>
      </c>
      <c r="AC17" s="101">
        <f t="shared" ref="AC17:AD17" si="77">(AC13-AC16)/AC13</f>
        <v>0.70166356862806356</v>
      </c>
      <c r="AD17" s="101">
        <f t="shared" si="77"/>
        <v>0.61049668287497294</v>
      </c>
      <c r="AE17" s="101">
        <f t="shared" ref="AE17:AF17" si="78">(AE13-AE16)/AE13</f>
        <v>0.65903144614300113</v>
      </c>
      <c r="AF17" s="101">
        <f t="shared" si="78"/>
        <v>0.67818882945640002</v>
      </c>
      <c r="AG17" s="101">
        <f t="shared" ref="AG17" si="79">(AG13-AG16)/AG13</f>
        <v>0.63488880760790056</v>
      </c>
      <c r="AH17" s="145">
        <f t="shared" ref="AH17" si="80">(AH13-AH16)/AH13</f>
        <v>0.65955638193885135</v>
      </c>
    </row>
    <row r="18" spans="1:34" ht="15" thickTop="1" x14ac:dyDescent="0.3">
      <c r="A18" s="176" t="s">
        <v>121</v>
      </c>
      <c r="B18" s="99" t="s">
        <v>376</v>
      </c>
      <c r="C18" s="98">
        <f>SALES!FN13/1.2</f>
        <v>11857.666666666668</v>
      </c>
      <c r="D18" s="98">
        <f>SALES!FO13/1.2</f>
        <v>10873.083333333334</v>
      </c>
      <c r="E18" s="98">
        <f>SALES!FP13/1.2</f>
        <v>13976.583333333336</v>
      </c>
      <c r="F18" s="98">
        <f>SALES!FQ13/1.2</f>
        <v>13080.25</v>
      </c>
      <c r="G18" s="98">
        <f>SALES!FR13/1.2</f>
        <v>9203.5833333333339</v>
      </c>
      <c r="H18" s="98">
        <f>SALES!FS13/1.2</f>
        <v>13843.250000000002</v>
      </c>
      <c r="I18" s="98">
        <f>SALES!FT13/1.2</f>
        <v>14615.541666666668</v>
      </c>
      <c r="J18" s="98">
        <f>SALES!FU13/1.2</f>
        <v>12556.5</v>
      </c>
      <c r="K18" s="98">
        <f>SALES!FV13/1.2</f>
        <v>10863.500000000002</v>
      </c>
      <c r="L18" s="98">
        <f>SALES!FW13/1.2</f>
        <v>11909.291666666666</v>
      </c>
      <c r="M18" s="98">
        <f>SALES!FX13/1.2</f>
        <v>12409.800000000001</v>
      </c>
      <c r="N18" s="98">
        <f>SALES!FY13/1.2</f>
        <v>14147.666666666668</v>
      </c>
      <c r="O18" s="98">
        <f>SALES!FZ13/1.2</f>
        <v>22346.291666666668</v>
      </c>
      <c r="P18" s="98">
        <f>SALES!GA13/1.2</f>
        <v>10681.75</v>
      </c>
      <c r="Q18" s="98">
        <f>SALES!GB13/1.2</f>
        <v>10900.983333333334</v>
      </c>
      <c r="R18" s="98">
        <f>SALES!GC13/1.2</f>
        <v>12016.833333333334</v>
      </c>
      <c r="S18" s="98">
        <f>SALES!GD13/1.2</f>
        <v>11697.666666666668</v>
      </c>
      <c r="T18" s="98">
        <f>SALES!GE13/1.2</f>
        <v>12093.166666666666</v>
      </c>
      <c r="U18" s="98">
        <f>SALES!GF13/1.2</f>
        <v>11770.416666666668</v>
      </c>
      <c r="V18" s="98">
        <f>SALES!GG13/1.2</f>
        <v>13003.125</v>
      </c>
      <c r="W18" s="98">
        <f>SALES!GH13/1.2</f>
        <v>10184.583333333334</v>
      </c>
      <c r="X18" s="98">
        <f>SALES!GI13/1.2</f>
        <v>11054.375</v>
      </c>
      <c r="Y18" s="98">
        <f>SALES!GJ13/1.2</f>
        <v>13689.791666666668</v>
      </c>
      <c r="Z18" s="98">
        <f>SALES!GK13/1.2</f>
        <v>11457.291666666668</v>
      </c>
      <c r="AA18" s="98">
        <f>SALES!GL13/1.2</f>
        <v>10550</v>
      </c>
      <c r="AB18" s="98">
        <f>SALES!GM13/1.2</f>
        <v>15814.775</v>
      </c>
      <c r="AC18" s="98">
        <f>SALES!GN13/1.2</f>
        <v>16178.391666666666</v>
      </c>
      <c r="AD18" s="98">
        <f>SALES!GO13/1.2</f>
        <v>12047.5</v>
      </c>
      <c r="AE18" s="98">
        <f>SALES!GP13/1.2</f>
        <v>12234.525000000001</v>
      </c>
      <c r="AF18" s="98">
        <f>SALES!GQ13/1.2</f>
        <v>14950.666666666666</v>
      </c>
      <c r="AG18" s="98">
        <f>SALES!GR13/1.2</f>
        <v>11658.891666666666</v>
      </c>
      <c r="AH18" s="144">
        <f>SUM(AC18:AG18)</f>
        <v>67069.975000000006</v>
      </c>
    </row>
    <row r="19" spans="1:34" x14ac:dyDescent="0.3">
      <c r="A19" s="176"/>
      <c r="B19" s="97" t="s">
        <v>372</v>
      </c>
      <c r="C19" s="96">
        <v>3258</v>
      </c>
      <c r="D19" s="96">
        <v>3053</v>
      </c>
      <c r="E19" s="96">
        <v>3653.26</v>
      </c>
      <c r="F19" s="96">
        <v>4332</v>
      </c>
      <c r="G19" s="96">
        <v>3062</v>
      </c>
      <c r="H19" s="96">
        <v>3539</v>
      </c>
      <c r="I19" s="96">
        <v>4612</v>
      </c>
      <c r="J19" s="96">
        <v>3097</v>
      </c>
      <c r="K19" s="96">
        <v>4242</v>
      </c>
      <c r="L19" s="96">
        <v>3822</v>
      </c>
      <c r="M19" s="96">
        <v>4539</v>
      </c>
      <c r="N19" s="96">
        <v>2840</v>
      </c>
      <c r="O19" s="96">
        <v>5119</v>
      </c>
      <c r="P19" s="96">
        <v>3332</v>
      </c>
      <c r="Q19" s="96">
        <v>2933</v>
      </c>
      <c r="R19" s="96">
        <v>3043</v>
      </c>
      <c r="S19" s="96">
        <v>4484</v>
      </c>
      <c r="T19" s="96">
        <v>3580</v>
      </c>
      <c r="U19" s="96">
        <v>4018</v>
      </c>
      <c r="V19" s="96">
        <v>3993</v>
      </c>
      <c r="W19" s="96">
        <v>2917</v>
      </c>
      <c r="X19" s="96">
        <v>3167</v>
      </c>
      <c r="Y19" s="96">
        <v>3795</v>
      </c>
      <c r="Z19" s="96">
        <v>4325</v>
      </c>
      <c r="AA19" s="96">
        <v>3393</v>
      </c>
      <c r="AB19" s="96">
        <v>4234</v>
      </c>
      <c r="AC19" s="96">
        <v>5519</v>
      </c>
      <c r="AD19" s="96">
        <v>3851</v>
      </c>
      <c r="AE19" s="96">
        <v>3747</v>
      </c>
      <c r="AF19" s="96">
        <v>4624</v>
      </c>
      <c r="AG19" s="96">
        <v>3788.91</v>
      </c>
      <c r="AH19" s="59"/>
    </row>
    <row r="20" spans="1:34" x14ac:dyDescent="0.3">
      <c r="A20" s="176"/>
      <c r="B20" s="102" t="s">
        <v>373</v>
      </c>
      <c r="C20" s="103">
        <f>16+150+90+30</f>
        <v>286</v>
      </c>
      <c r="D20" s="103">
        <v>140</v>
      </c>
      <c r="E20" s="103">
        <v>237</v>
      </c>
      <c r="F20" s="103">
        <v>364</v>
      </c>
      <c r="G20" s="103">
        <v>422</v>
      </c>
      <c r="H20" s="103">
        <v>280</v>
      </c>
      <c r="I20" s="103">
        <v>301</v>
      </c>
      <c r="J20" s="103">
        <v>343</v>
      </c>
      <c r="K20" s="103">
        <v>391</v>
      </c>
      <c r="L20" s="103">
        <v>380</v>
      </c>
      <c r="M20" s="103">
        <v>375</v>
      </c>
      <c r="N20" s="103">
        <v>210</v>
      </c>
      <c r="O20" s="103">
        <v>386</v>
      </c>
      <c r="P20" s="103">
        <v>363</v>
      </c>
      <c r="Q20" s="103">
        <v>410</v>
      </c>
      <c r="R20" s="103"/>
      <c r="S20" s="103">
        <v>220</v>
      </c>
      <c r="T20" s="103">
        <v>588</v>
      </c>
      <c r="U20" s="103">
        <v>451</v>
      </c>
      <c r="V20" s="103">
        <v>459</v>
      </c>
      <c r="W20" s="103">
        <v>346</v>
      </c>
      <c r="X20" s="103">
        <v>474</v>
      </c>
      <c r="Y20" s="103">
        <v>391</v>
      </c>
      <c r="Z20" s="103">
        <v>374</v>
      </c>
      <c r="AA20" s="103">
        <v>324</v>
      </c>
      <c r="AB20" s="103">
        <v>585</v>
      </c>
      <c r="AC20" s="103">
        <v>304</v>
      </c>
      <c r="AD20" s="103">
        <v>375</v>
      </c>
      <c r="AE20" s="103">
        <v>387</v>
      </c>
      <c r="AF20" s="103">
        <f>AVERAGE(AA20:AE20)</f>
        <v>395</v>
      </c>
      <c r="AG20" s="103">
        <f>AVERAGE(AB20:AF20)</f>
        <v>409.2</v>
      </c>
      <c r="AH20" s="59"/>
    </row>
    <row r="21" spans="1:34" x14ac:dyDescent="0.3">
      <c r="A21" s="176"/>
      <c r="B21" s="99" t="s">
        <v>374</v>
      </c>
      <c r="C21" s="98">
        <f t="shared" ref="C21:H21" si="81">SUM(C19:C20)</f>
        <v>3544</v>
      </c>
      <c r="D21" s="98">
        <f t="shared" si="81"/>
        <v>3193</v>
      </c>
      <c r="E21" s="98">
        <f t="shared" si="81"/>
        <v>3890.26</v>
      </c>
      <c r="F21" s="98">
        <f t="shared" si="81"/>
        <v>4696</v>
      </c>
      <c r="G21" s="98">
        <f t="shared" si="81"/>
        <v>3484</v>
      </c>
      <c r="H21" s="98">
        <f t="shared" si="81"/>
        <v>3819</v>
      </c>
      <c r="I21" s="98">
        <f t="shared" ref="I21:J21" si="82">SUM(I19:I20)</f>
        <v>4913</v>
      </c>
      <c r="J21" s="98">
        <f t="shared" si="82"/>
        <v>3440</v>
      </c>
      <c r="K21" s="98">
        <f t="shared" ref="K21:L21" si="83">SUM(K19:K20)</f>
        <v>4633</v>
      </c>
      <c r="L21" s="98">
        <f t="shared" si="83"/>
        <v>4202</v>
      </c>
      <c r="M21" s="98">
        <f t="shared" ref="M21:N21" si="84">SUM(M19:M20)</f>
        <v>4914</v>
      </c>
      <c r="N21" s="98">
        <f t="shared" si="84"/>
        <v>3050</v>
      </c>
      <c r="O21" s="98">
        <f t="shared" ref="O21:P21" si="85">SUM(O19:O20)</f>
        <v>5505</v>
      </c>
      <c r="P21" s="98">
        <f t="shared" si="85"/>
        <v>3695</v>
      </c>
      <c r="Q21" s="98">
        <f t="shared" ref="Q21:R21" si="86">SUM(Q19:Q20)</f>
        <v>3343</v>
      </c>
      <c r="R21" s="98">
        <f t="shared" si="86"/>
        <v>3043</v>
      </c>
      <c r="S21" s="98">
        <f t="shared" ref="S21:W21" si="87">SUM(S19:S20)</f>
        <v>4704</v>
      </c>
      <c r="T21" s="98">
        <f t="shared" si="87"/>
        <v>4168</v>
      </c>
      <c r="U21" s="98">
        <f t="shared" si="87"/>
        <v>4469</v>
      </c>
      <c r="V21" s="98">
        <f t="shared" si="87"/>
        <v>4452</v>
      </c>
      <c r="W21" s="98">
        <f t="shared" si="87"/>
        <v>3263</v>
      </c>
      <c r="X21" s="98">
        <f t="shared" ref="X21:Y21" si="88">SUM(X19:X20)</f>
        <v>3641</v>
      </c>
      <c r="Y21" s="98">
        <f t="shared" si="88"/>
        <v>4186</v>
      </c>
      <c r="Z21" s="98">
        <f t="shared" ref="Z21:AA21" si="89">SUM(Z19:Z20)</f>
        <v>4699</v>
      </c>
      <c r="AA21" s="98">
        <f t="shared" si="89"/>
        <v>3717</v>
      </c>
      <c r="AB21" s="98">
        <f t="shared" ref="AB21" si="90">SUM(AB19:AB20)</f>
        <v>4819</v>
      </c>
      <c r="AC21" s="98">
        <f t="shared" ref="AC21:AD21" si="91">SUM(AC19:AC20)</f>
        <v>5823</v>
      </c>
      <c r="AD21" s="98">
        <f t="shared" si="91"/>
        <v>4226</v>
      </c>
      <c r="AE21" s="98">
        <f t="shared" ref="AE21:AF21" si="92">SUM(AE19:AE20)</f>
        <v>4134</v>
      </c>
      <c r="AF21" s="98">
        <f t="shared" si="92"/>
        <v>5019</v>
      </c>
      <c r="AG21" s="98">
        <f t="shared" ref="AG21" si="93">SUM(AG19:AG20)</f>
        <v>4198.1099999999997</v>
      </c>
      <c r="AH21" s="144">
        <f>SUM(AC21:AG21)</f>
        <v>23400.11</v>
      </c>
    </row>
    <row r="22" spans="1:34" ht="15" thickBot="1" x14ac:dyDescent="0.35">
      <c r="A22" s="176"/>
      <c r="B22" s="100" t="s">
        <v>378</v>
      </c>
      <c r="C22" s="101">
        <f t="shared" ref="C22:H22" si="94">(C18-C21)/C18</f>
        <v>0.70112163719675036</v>
      </c>
      <c r="D22" s="101">
        <f t="shared" si="94"/>
        <v>0.70633904826137939</v>
      </c>
      <c r="E22" s="101">
        <f t="shared" si="94"/>
        <v>0.72165872679899123</v>
      </c>
      <c r="F22" s="101">
        <f t="shared" si="94"/>
        <v>0.64098545517096384</v>
      </c>
      <c r="G22" s="101">
        <f t="shared" si="94"/>
        <v>0.62145178961093051</v>
      </c>
      <c r="H22" s="101">
        <f t="shared" si="94"/>
        <v>0.72412547631517166</v>
      </c>
      <c r="I22" s="101">
        <f t="shared" ref="I22:J22" si="95">(I18-I21)/I18</f>
        <v>0.66385098054867397</v>
      </c>
      <c r="J22" s="101">
        <f t="shared" si="95"/>
        <v>0.72603830685302428</v>
      </c>
      <c r="K22" s="101">
        <f t="shared" ref="K22:L22" si="96">(K18-K21)/K18</f>
        <v>0.57352602752335813</v>
      </c>
      <c r="L22" s="101">
        <f t="shared" si="96"/>
        <v>0.64716625324064192</v>
      </c>
      <c r="M22" s="101">
        <f t="shared" ref="M22:N22" si="97">(M18-M21)/M18</f>
        <v>0.60402262727844125</v>
      </c>
      <c r="N22" s="101">
        <f t="shared" si="97"/>
        <v>0.78441674716678844</v>
      </c>
      <c r="O22" s="101">
        <f t="shared" ref="O22:P22" si="98">(O18-O21)/O18</f>
        <v>0.75365040060711042</v>
      </c>
      <c r="P22" s="101">
        <f t="shared" si="98"/>
        <v>0.65408289840147915</v>
      </c>
      <c r="Q22" s="101">
        <f t="shared" ref="Q22:R22" si="99">(Q18-Q21)/Q18</f>
        <v>0.69333041820386232</v>
      </c>
      <c r="R22" s="101">
        <f t="shared" si="99"/>
        <v>0.74677188943287887</v>
      </c>
      <c r="S22" s="101">
        <f t="shared" ref="S22:W22" si="100">(S18-S21)/S18</f>
        <v>0.59786852078762154</v>
      </c>
      <c r="T22" s="101">
        <f t="shared" si="100"/>
        <v>0.65534254882233767</v>
      </c>
      <c r="U22" s="101">
        <f t="shared" si="100"/>
        <v>0.62031930333817131</v>
      </c>
      <c r="V22" s="101">
        <f t="shared" si="100"/>
        <v>0.65762076423936555</v>
      </c>
      <c r="W22" s="101">
        <f t="shared" si="100"/>
        <v>0.67961379536063493</v>
      </c>
      <c r="X22" s="101">
        <f t="shared" ref="X22:Y22" si="101">(X18-X21)/X18</f>
        <v>0.67062814496522871</v>
      </c>
      <c r="Y22" s="101">
        <f t="shared" si="101"/>
        <v>0.69422471123556184</v>
      </c>
      <c r="Z22" s="101">
        <f t="shared" ref="Z22" si="102">(Z18-Z21)/Z18</f>
        <v>0.58986816983362134</v>
      </c>
      <c r="AA22" s="101">
        <f t="shared" ref="AA22:AB22" si="103">(AA18-AA21)/AA18</f>
        <v>0.64767772511848343</v>
      </c>
      <c r="AB22" s="101">
        <f t="shared" si="103"/>
        <v>0.69528494714594424</v>
      </c>
      <c r="AC22" s="101">
        <f t="shared" ref="AC22:AD22" si="104">(AC18-AC21)/AC18</f>
        <v>0.6400754710372426</v>
      </c>
      <c r="AD22" s="101">
        <f t="shared" si="104"/>
        <v>0.64922183025523972</v>
      </c>
      <c r="AE22" s="101">
        <f t="shared" ref="AE22:AF22" si="105">(AE18-AE21)/AE18</f>
        <v>0.66210375964739132</v>
      </c>
      <c r="AF22" s="101">
        <f t="shared" si="105"/>
        <v>0.66429590653705517</v>
      </c>
      <c r="AG22" s="101">
        <f t="shared" ref="AG22" si="106">(AG18-AG21)/AG18</f>
        <v>0.63992203375535273</v>
      </c>
      <c r="AH22" s="145">
        <f t="shared" ref="AH22" si="107">(AH18-AH21)/AH18</f>
        <v>0.65110900965745111</v>
      </c>
    </row>
    <row r="23" spans="1:34" ht="15" thickTop="1" x14ac:dyDescent="0.3">
      <c r="A23" s="175" t="s">
        <v>126</v>
      </c>
      <c r="B23" s="99" t="s">
        <v>376</v>
      </c>
      <c r="C23" s="98">
        <f>SALES!FN55/1.2</f>
        <v>9934.7916666666679</v>
      </c>
      <c r="D23" s="98">
        <f>SALES!FO55/1.2</f>
        <v>8826.875</v>
      </c>
      <c r="E23" s="98">
        <f>SALES!FP55/1.2</f>
        <v>10918.333333333334</v>
      </c>
      <c r="F23" s="98">
        <f>SALES!FQ55/1.2</f>
        <v>9834.1666666666679</v>
      </c>
      <c r="G23" s="98">
        <f>SALES!FR55/1.2</f>
        <v>9243.125</v>
      </c>
      <c r="H23" s="98">
        <f>SALES!FS55/1.2</f>
        <v>9442.7083333333339</v>
      </c>
      <c r="I23" s="98">
        <f>SALES!FT55/1.2</f>
        <v>10297.5</v>
      </c>
      <c r="J23" s="98">
        <f>SALES!FU55/1.2</f>
        <v>13481.041666666668</v>
      </c>
      <c r="K23" s="98">
        <f>SALES!FV55/1.2</f>
        <v>11312.708333333334</v>
      </c>
      <c r="L23" s="98">
        <f>SALES!FW55/1.2</f>
        <v>14183.958333333334</v>
      </c>
      <c r="M23" s="98">
        <f>SALES!FX55/1.2</f>
        <v>14973.875000000002</v>
      </c>
      <c r="N23" s="98">
        <f>SALES!FY55/1.2</f>
        <v>13343.541666666668</v>
      </c>
      <c r="O23" s="98">
        <f>SALES!FZ55/1.2</f>
        <v>18819.791666666668</v>
      </c>
      <c r="P23" s="98">
        <f>SALES!GA55/1.2</f>
        <v>7409.791666666667</v>
      </c>
      <c r="Q23" s="98">
        <f>SALES!GB55/1.2</f>
        <v>9808.75</v>
      </c>
      <c r="R23" s="98">
        <f>SALES!GC55/1.2</f>
        <v>10165.208333333334</v>
      </c>
      <c r="S23" s="98">
        <f>SALES!GD55/1.2</f>
        <v>10257.5</v>
      </c>
      <c r="T23" s="98">
        <f>SALES!GE55/1.2</f>
        <v>9862.0833333333339</v>
      </c>
      <c r="U23" s="98">
        <f>SALES!GF55/1.2</f>
        <v>10833.75</v>
      </c>
      <c r="V23" s="98">
        <f>SALES!GG55/1.2</f>
        <v>12455.208333333334</v>
      </c>
      <c r="W23" s="98">
        <f>SALES!GH55/1.2</f>
        <v>10191.041666666668</v>
      </c>
      <c r="X23" s="98">
        <f>SALES!GI55/1.2</f>
        <v>9686.0416666666679</v>
      </c>
      <c r="Y23" s="98">
        <f>SALES!GJ55/1.2</f>
        <v>12622.916666666668</v>
      </c>
      <c r="Z23" s="98">
        <f>SALES!GK55/1.2</f>
        <v>9947.5166666666682</v>
      </c>
      <c r="AA23" s="98">
        <f>SALES!GL55/1.2</f>
        <v>10963.333333333334</v>
      </c>
      <c r="AB23" s="98">
        <f>SALES!GM55/1.2</f>
        <v>12782.291666666668</v>
      </c>
      <c r="AC23" s="98">
        <f>SALES!GN55/1.2</f>
        <v>10965.208333333334</v>
      </c>
      <c r="AD23" s="98">
        <f>SALES!GO55/1.2</f>
        <v>11372.083333333334</v>
      </c>
      <c r="AE23" s="98">
        <f>SALES!GP55/1.2</f>
        <v>8620</v>
      </c>
      <c r="AF23" s="98">
        <f>SALES!GQ55/1.2</f>
        <v>9218.3333333333339</v>
      </c>
      <c r="AG23" s="98">
        <f>SALES!GR55/1.2</f>
        <v>9727.2916666666679</v>
      </c>
      <c r="AH23" s="144">
        <f>SUM(AC23:AG23)</f>
        <v>49902.916666666672</v>
      </c>
    </row>
    <row r="24" spans="1:34" x14ac:dyDescent="0.3">
      <c r="A24" s="175"/>
      <c r="B24" s="97" t="s">
        <v>372</v>
      </c>
      <c r="C24" s="96">
        <v>2777</v>
      </c>
      <c r="D24" s="96">
        <v>2401</v>
      </c>
      <c r="E24" s="96">
        <v>1967</v>
      </c>
      <c r="F24" s="96">
        <v>2438</v>
      </c>
      <c r="G24" s="96">
        <v>1837</v>
      </c>
      <c r="H24" s="96">
        <v>1849</v>
      </c>
      <c r="I24" s="96">
        <v>2536</v>
      </c>
      <c r="J24" s="96">
        <v>2987</v>
      </c>
      <c r="K24" s="96">
        <v>3026</v>
      </c>
      <c r="L24" s="96">
        <v>3873</v>
      </c>
      <c r="M24" s="96">
        <v>4365</v>
      </c>
      <c r="N24" s="96">
        <v>1809</v>
      </c>
      <c r="O24" s="96">
        <v>4422</v>
      </c>
      <c r="P24" s="96">
        <v>1533</v>
      </c>
      <c r="Q24" s="96">
        <v>2694</v>
      </c>
      <c r="R24" s="96">
        <v>2282</v>
      </c>
      <c r="S24" s="96">
        <v>2603</v>
      </c>
      <c r="T24" s="96">
        <v>2939</v>
      </c>
      <c r="U24" s="96">
        <v>3043</v>
      </c>
      <c r="V24" s="96">
        <v>2707</v>
      </c>
      <c r="W24" s="96">
        <v>2330</v>
      </c>
      <c r="X24" s="96">
        <v>2722</v>
      </c>
      <c r="Y24" s="96">
        <v>2662</v>
      </c>
      <c r="Z24" s="96">
        <v>3204</v>
      </c>
      <c r="AA24" s="96">
        <v>2035</v>
      </c>
      <c r="AB24" s="96">
        <v>3476</v>
      </c>
      <c r="AC24" s="96">
        <v>2637</v>
      </c>
      <c r="AD24" s="96">
        <v>2403</v>
      </c>
      <c r="AE24" s="96">
        <v>2479</v>
      </c>
      <c r="AF24" s="96">
        <v>2574</v>
      </c>
      <c r="AG24" s="96">
        <v>2301.69</v>
      </c>
      <c r="AH24" s="59"/>
    </row>
    <row r="25" spans="1:34" x14ac:dyDescent="0.3">
      <c r="A25" s="175"/>
      <c r="B25" s="102" t="s">
        <v>373</v>
      </c>
      <c r="C25" s="103">
        <f>90+30+30</f>
        <v>150</v>
      </c>
      <c r="D25" s="103">
        <v>120</v>
      </c>
      <c r="E25" s="103">
        <v>240</v>
      </c>
      <c r="F25" s="103">
        <v>270</v>
      </c>
      <c r="G25" s="103">
        <v>180</v>
      </c>
      <c r="H25" s="103">
        <v>330</v>
      </c>
      <c r="I25" s="103">
        <v>270</v>
      </c>
      <c r="J25" s="103">
        <v>440</v>
      </c>
      <c r="K25" s="103">
        <v>492</v>
      </c>
      <c r="L25" s="103">
        <v>327</v>
      </c>
      <c r="M25" s="103">
        <v>404</v>
      </c>
      <c r="N25" s="103">
        <v>118</v>
      </c>
      <c r="O25" s="103">
        <v>380</v>
      </c>
      <c r="P25" s="103">
        <v>256</v>
      </c>
      <c r="Q25" s="103">
        <v>381</v>
      </c>
      <c r="R25" s="103"/>
      <c r="S25" s="103">
        <v>287</v>
      </c>
      <c r="T25" s="103">
        <v>387</v>
      </c>
      <c r="U25" s="103">
        <v>467</v>
      </c>
      <c r="V25" s="103">
        <v>399</v>
      </c>
      <c r="W25" s="103">
        <v>410</v>
      </c>
      <c r="X25" s="103">
        <v>380</v>
      </c>
      <c r="Y25" s="103">
        <v>301</v>
      </c>
      <c r="Z25" s="103">
        <v>351</v>
      </c>
      <c r="AA25" s="103">
        <v>271</v>
      </c>
      <c r="AB25" s="103">
        <v>375</v>
      </c>
      <c r="AC25" s="103">
        <v>300</v>
      </c>
      <c r="AD25" s="103">
        <v>367</v>
      </c>
      <c r="AE25" s="103">
        <v>266</v>
      </c>
      <c r="AF25" s="103">
        <f>AVERAGE(AA25:AE25)</f>
        <v>315.8</v>
      </c>
      <c r="AG25" s="103">
        <f>AVERAGE(AB25:AF25)</f>
        <v>324.76</v>
      </c>
      <c r="AH25" s="59"/>
    </row>
    <row r="26" spans="1:34" x14ac:dyDescent="0.3">
      <c r="A26" s="175"/>
      <c r="B26" s="99" t="s">
        <v>374</v>
      </c>
      <c r="C26" s="98">
        <f t="shared" ref="C26:H26" si="108">SUM(C24:C25)</f>
        <v>2927</v>
      </c>
      <c r="D26" s="98">
        <f t="shared" si="108"/>
        <v>2521</v>
      </c>
      <c r="E26" s="98">
        <f t="shared" si="108"/>
        <v>2207</v>
      </c>
      <c r="F26" s="98">
        <f t="shared" si="108"/>
        <v>2708</v>
      </c>
      <c r="G26" s="98">
        <f t="shared" si="108"/>
        <v>2017</v>
      </c>
      <c r="H26" s="98">
        <f t="shared" si="108"/>
        <v>2179</v>
      </c>
      <c r="I26" s="98">
        <f t="shared" ref="I26:J26" si="109">SUM(I24:I25)</f>
        <v>2806</v>
      </c>
      <c r="J26" s="98">
        <f t="shared" si="109"/>
        <v>3427</v>
      </c>
      <c r="K26" s="98">
        <f t="shared" ref="K26:L26" si="110">SUM(K24:K25)</f>
        <v>3518</v>
      </c>
      <c r="L26" s="98">
        <f t="shared" si="110"/>
        <v>4200</v>
      </c>
      <c r="M26" s="98">
        <f t="shared" ref="M26:N26" si="111">SUM(M24:M25)</f>
        <v>4769</v>
      </c>
      <c r="N26" s="98">
        <f t="shared" si="111"/>
        <v>1927</v>
      </c>
      <c r="O26" s="98">
        <f t="shared" ref="O26:P26" si="112">SUM(O24:O25)</f>
        <v>4802</v>
      </c>
      <c r="P26" s="98">
        <f t="shared" si="112"/>
        <v>1789</v>
      </c>
      <c r="Q26" s="98">
        <f t="shared" ref="Q26:R26" si="113">SUM(Q24:Q25)</f>
        <v>3075</v>
      </c>
      <c r="R26" s="98">
        <f t="shared" si="113"/>
        <v>2282</v>
      </c>
      <c r="S26" s="98">
        <f t="shared" ref="S26:W26" si="114">SUM(S24:S25)</f>
        <v>2890</v>
      </c>
      <c r="T26" s="98">
        <f t="shared" si="114"/>
        <v>3326</v>
      </c>
      <c r="U26" s="98">
        <f t="shared" si="114"/>
        <v>3510</v>
      </c>
      <c r="V26" s="98">
        <f t="shared" si="114"/>
        <v>3106</v>
      </c>
      <c r="W26" s="98">
        <f t="shared" si="114"/>
        <v>2740</v>
      </c>
      <c r="X26" s="98">
        <f t="shared" ref="X26:Y26" si="115">SUM(X24:X25)</f>
        <v>3102</v>
      </c>
      <c r="Y26" s="98">
        <f t="shared" si="115"/>
        <v>2963</v>
      </c>
      <c r="Z26" s="98">
        <f t="shared" ref="Z26:AA26" si="116">SUM(Z24:Z25)</f>
        <v>3555</v>
      </c>
      <c r="AA26" s="98">
        <f t="shared" si="116"/>
        <v>2306</v>
      </c>
      <c r="AB26" s="98">
        <f t="shared" ref="AB26" si="117">SUM(AB24:AB25)</f>
        <v>3851</v>
      </c>
      <c r="AC26" s="98">
        <f t="shared" ref="AC26:AD26" si="118">SUM(AC24:AC25)</f>
        <v>2937</v>
      </c>
      <c r="AD26" s="98">
        <f t="shared" si="118"/>
        <v>2770</v>
      </c>
      <c r="AE26" s="98">
        <f t="shared" ref="AE26:AF26" si="119">SUM(AE24:AE25)</f>
        <v>2745</v>
      </c>
      <c r="AF26" s="98">
        <f t="shared" si="119"/>
        <v>2889.8</v>
      </c>
      <c r="AG26" s="98">
        <f t="shared" ref="AG26" si="120">SUM(AG24:AG25)</f>
        <v>2626.45</v>
      </c>
      <c r="AH26" s="144">
        <f>SUM(AC26:AG26)</f>
        <v>13968.25</v>
      </c>
    </row>
    <row r="27" spans="1:34" ht="15" thickBot="1" x14ac:dyDescent="0.35">
      <c r="A27" s="175"/>
      <c r="B27" s="100" t="s">
        <v>378</v>
      </c>
      <c r="C27" s="101">
        <f t="shared" ref="C27:H27" si="121">(C23-C26)/C23</f>
        <v>0.70537882441755617</v>
      </c>
      <c r="D27" s="101">
        <f t="shared" si="121"/>
        <v>0.71439495857820579</v>
      </c>
      <c r="E27" s="101">
        <f t="shared" si="121"/>
        <v>0.79786292169134487</v>
      </c>
      <c r="F27" s="101">
        <f t="shared" si="121"/>
        <v>0.72463350563511575</v>
      </c>
      <c r="G27" s="101">
        <f t="shared" si="121"/>
        <v>0.78178375819866119</v>
      </c>
      <c r="H27" s="101">
        <f t="shared" si="121"/>
        <v>0.76923993381136235</v>
      </c>
      <c r="I27" s="101">
        <f t="shared" ref="I27:J27" si="122">(I23-I26)/I23</f>
        <v>0.72750667637776156</v>
      </c>
      <c r="J27" s="101">
        <f t="shared" si="122"/>
        <v>0.74579115733514656</v>
      </c>
      <c r="K27" s="101">
        <f t="shared" ref="K27:L27" si="123">(K23-K26)/K23</f>
        <v>0.68902230161507161</v>
      </c>
      <c r="L27" s="101">
        <f t="shared" si="123"/>
        <v>0.70389083912283534</v>
      </c>
      <c r="M27" s="101">
        <f t="shared" ref="M27:N27" si="124">(M23-M26)/M23</f>
        <v>0.68151196667529279</v>
      </c>
      <c r="N27" s="101">
        <f t="shared" si="124"/>
        <v>0.85558556730003588</v>
      </c>
      <c r="O27" s="101">
        <f t="shared" ref="O27:P27" si="125">(O23-O26)/O23</f>
        <v>0.74484308407593958</v>
      </c>
      <c r="P27" s="101">
        <f t="shared" si="125"/>
        <v>0.75856271262687325</v>
      </c>
      <c r="Q27" s="101">
        <f t="shared" ref="Q27:R27" si="126">(Q23-Q26)/Q23</f>
        <v>0.6865043965846821</v>
      </c>
      <c r="R27" s="101">
        <f t="shared" si="126"/>
        <v>0.77550878199741768</v>
      </c>
      <c r="S27" s="101">
        <f t="shared" ref="S27:W27" si="127">(S23-S26)/S23</f>
        <v>0.71825493541311236</v>
      </c>
      <c r="T27" s="101">
        <f t="shared" si="127"/>
        <v>0.66274874308166798</v>
      </c>
      <c r="U27" s="101">
        <f t="shared" si="127"/>
        <v>0.67601246105919</v>
      </c>
      <c r="V27" s="101">
        <f t="shared" si="127"/>
        <v>0.7506264113071841</v>
      </c>
      <c r="W27" s="101">
        <f t="shared" si="127"/>
        <v>0.73113641474334079</v>
      </c>
      <c r="X27" s="101">
        <f t="shared" ref="X27:Y27" si="128">(X23-X26)/X23</f>
        <v>0.67974533800787218</v>
      </c>
      <c r="Y27" s="101">
        <f t="shared" si="128"/>
        <v>0.76526819607195906</v>
      </c>
      <c r="Z27" s="101">
        <f t="shared" ref="Z27" si="129">(Z23-Z26)/Z23</f>
        <v>0.64262437358737778</v>
      </c>
      <c r="AA27" s="101">
        <f t="shared" ref="AA27:AB27" si="130">(AA23-AA26)/AA23</f>
        <v>0.7896625114016419</v>
      </c>
      <c r="AB27" s="101">
        <f t="shared" si="130"/>
        <v>0.69872382038953629</v>
      </c>
      <c r="AC27" s="101">
        <f t="shared" ref="AC27:AD27" si="131">(AC23-AC26)/AC23</f>
        <v>0.73215283187353941</v>
      </c>
      <c r="AD27" s="101">
        <f t="shared" si="131"/>
        <v>0.75642106034514345</v>
      </c>
      <c r="AE27" s="101">
        <f t="shared" ref="AE27:AF27" si="132">(AE23-AE26)/AE23</f>
        <v>0.68155452436194897</v>
      </c>
      <c r="AF27" s="101">
        <f t="shared" si="132"/>
        <v>0.68651600072319652</v>
      </c>
      <c r="AG27" s="101">
        <f t="shared" ref="AG27" si="133">(AG23-AG26)/AG23</f>
        <v>0.72999164721252496</v>
      </c>
      <c r="AH27" s="145">
        <f t="shared" ref="AH27" si="134">(AH23-AH26)/AH23</f>
        <v>0.72009151101722513</v>
      </c>
    </row>
    <row r="28" spans="1:34" ht="15" thickTop="1" x14ac:dyDescent="0.3">
      <c r="A28" s="176" t="s">
        <v>128</v>
      </c>
      <c r="B28" s="99" t="s">
        <v>376</v>
      </c>
      <c r="C28" s="98">
        <f>SALES!FN62/1.2</f>
        <v>11222.708333333334</v>
      </c>
      <c r="D28" s="98">
        <f>SALES!FO62/1.2</f>
        <v>10948.758333333333</v>
      </c>
      <c r="E28" s="98">
        <f>SALES!FP62/1.2</f>
        <v>11033.291666666668</v>
      </c>
      <c r="F28" s="98">
        <f>SALES!FQ62/1.2</f>
        <v>11866.458333333334</v>
      </c>
      <c r="G28" s="98">
        <f>SALES!FR62/1.2</f>
        <v>12339.583333333334</v>
      </c>
      <c r="H28" s="98">
        <f>SALES!FS62/1.2</f>
        <v>12138.041666666666</v>
      </c>
      <c r="I28" s="98">
        <f>SALES!FT62/1.2</f>
        <v>11304.166666666668</v>
      </c>
      <c r="J28" s="98">
        <f>SALES!FU62/1.2</f>
        <v>11731.458333333334</v>
      </c>
      <c r="K28" s="98">
        <f>SALES!FV62/1.2</f>
        <v>13302.708333333334</v>
      </c>
      <c r="L28" s="98">
        <f>SALES!FW62/1.2</f>
        <v>14908.75</v>
      </c>
      <c r="M28" s="98">
        <f>SALES!FX62/1.2</f>
        <v>13103.75</v>
      </c>
      <c r="N28" s="98">
        <f>SALES!FY62/1.2</f>
        <v>13560.625</v>
      </c>
      <c r="O28" s="98">
        <f>SALES!FZ62/1.2</f>
        <v>20074.041666666668</v>
      </c>
      <c r="P28" s="98">
        <f>SALES!GA62/1.2</f>
        <v>10150</v>
      </c>
      <c r="Q28" s="98">
        <f>SALES!GB62/1.2</f>
        <v>10734.266666666668</v>
      </c>
      <c r="R28" s="98">
        <f>SALES!GC62/1.2</f>
        <v>9824.375</v>
      </c>
      <c r="S28" s="98">
        <f>SALES!GD62/1.2</f>
        <v>11658.333333333334</v>
      </c>
      <c r="T28" s="98">
        <f>SALES!GE62/1.2</f>
        <v>10863.333333333334</v>
      </c>
      <c r="U28" s="98">
        <f>SALES!GF62/1.2</f>
        <v>14157.708333333334</v>
      </c>
      <c r="V28" s="98">
        <f>SALES!GG62/1.2</f>
        <v>11986.666666666668</v>
      </c>
      <c r="W28" s="98">
        <f>SALES!GH62/1.2</f>
        <v>13766.666666666668</v>
      </c>
      <c r="X28" s="98">
        <f>SALES!GI62/1.2</f>
        <v>12191.666666666668</v>
      </c>
      <c r="Y28" s="98">
        <f>SALES!GJ62/1.2</f>
        <v>16658.183333333334</v>
      </c>
      <c r="Z28" s="98">
        <f>SALES!GK62/1.2</f>
        <v>13041.666666666668</v>
      </c>
      <c r="AA28" s="98">
        <f>SALES!GL62/1.2</f>
        <v>12317.291666666668</v>
      </c>
      <c r="AB28" s="98">
        <f>SALES!GM62/1.2</f>
        <v>17666.041666666668</v>
      </c>
      <c r="AC28" s="98">
        <f>SALES!GN62/1.2</f>
        <v>14288.958333333334</v>
      </c>
      <c r="AD28" s="98">
        <f>SALES!GO62/1.2</f>
        <v>12942.35</v>
      </c>
      <c r="AE28" s="98">
        <f>SALES!GP62/1.2</f>
        <v>13473.125</v>
      </c>
      <c r="AF28" s="98">
        <f>SALES!GQ62/1.2</f>
        <v>14293.75</v>
      </c>
      <c r="AG28" s="98">
        <f>SALES!GR62/1.2</f>
        <v>13362.041666666668</v>
      </c>
      <c r="AH28" s="144">
        <f>SUM(AC28:AG28)</f>
        <v>68360.225000000006</v>
      </c>
    </row>
    <row r="29" spans="1:34" x14ac:dyDescent="0.3">
      <c r="A29" s="176"/>
      <c r="B29" s="97" t="s">
        <v>372</v>
      </c>
      <c r="C29" s="96">
        <v>3423</v>
      </c>
      <c r="D29" s="96">
        <v>3351</v>
      </c>
      <c r="E29" s="96">
        <v>3012.66</v>
      </c>
      <c r="F29" s="96">
        <v>2762</v>
      </c>
      <c r="G29" s="96">
        <v>4419</v>
      </c>
      <c r="H29" s="96">
        <v>3034</v>
      </c>
      <c r="I29" s="96">
        <v>3965</v>
      </c>
      <c r="J29" s="96">
        <v>3266</v>
      </c>
      <c r="K29" s="96">
        <v>3893</v>
      </c>
      <c r="L29" s="96">
        <v>4174</v>
      </c>
      <c r="M29" s="96">
        <v>3660</v>
      </c>
      <c r="N29" s="96">
        <v>3131</v>
      </c>
      <c r="O29" s="96">
        <v>6869</v>
      </c>
      <c r="P29" s="96">
        <v>3111</v>
      </c>
      <c r="Q29" s="96">
        <v>3630</v>
      </c>
      <c r="R29" s="96">
        <v>2801</v>
      </c>
      <c r="S29" s="96">
        <v>3609</v>
      </c>
      <c r="T29" s="96">
        <v>3356</v>
      </c>
      <c r="U29" s="96">
        <v>3612</v>
      </c>
      <c r="V29" s="96">
        <v>4172</v>
      </c>
      <c r="W29" s="96">
        <v>3214</v>
      </c>
      <c r="X29" s="96">
        <v>3415</v>
      </c>
      <c r="Y29" s="96">
        <v>5875</v>
      </c>
      <c r="Z29" s="96">
        <v>4485</v>
      </c>
      <c r="AA29" s="96">
        <v>3602</v>
      </c>
      <c r="AB29" s="96">
        <v>5963</v>
      </c>
      <c r="AC29" s="96">
        <v>3141</v>
      </c>
      <c r="AD29" s="96">
        <v>4130</v>
      </c>
      <c r="AE29" s="96">
        <v>3878</v>
      </c>
      <c r="AF29" s="96">
        <v>4525</v>
      </c>
      <c r="AG29" s="96">
        <v>3099.86</v>
      </c>
      <c r="AH29" s="59"/>
    </row>
    <row r="30" spans="1:34" x14ac:dyDescent="0.3">
      <c r="A30" s="176"/>
      <c r="B30" s="102" t="s">
        <v>373</v>
      </c>
      <c r="C30" s="103">
        <f>8+60</f>
        <v>68</v>
      </c>
      <c r="D30" s="103">
        <v>168</v>
      </c>
      <c r="E30" s="103">
        <v>171</v>
      </c>
      <c r="F30" s="103">
        <v>578</v>
      </c>
      <c r="G30" s="103">
        <v>405</v>
      </c>
      <c r="H30" s="103">
        <v>403</v>
      </c>
      <c r="I30" s="103">
        <v>276</v>
      </c>
      <c r="J30" s="103">
        <v>473</v>
      </c>
      <c r="K30" s="103">
        <v>182</v>
      </c>
      <c r="L30" s="103">
        <v>468</v>
      </c>
      <c r="M30" s="103">
        <v>588</v>
      </c>
      <c r="N30" s="103">
        <v>106</v>
      </c>
      <c r="O30" s="103">
        <v>665</v>
      </c>
      <c r="P30" s="103">
        <v>256</v>
      </c>
      <c r="Q30" s="103">
        <v>385</v>
      </c>
      <c r="R30" s="103"/>
      <c r="S30" s="103">
        <v>314</v>
      </c>
      <c r="T30" s="103">
        <v>400</v>
      </c>
      <c r="U30" s="103">
        <v>445</v>
      </c>
      <c r="V30" s="103">
        <v>404</v>
      </c>
      <c r="W30" s="103">
        <v>419</v>
      </c>
      <c r="X30" s="103">
        <v>457</v>
      </c>
      <c r="Y30" s="103">
        <v>440</v>
      </c>
      <c r="Z30" s="103">
        <v>530</v>
      </c>
      <c r="AA30" s="103">
        <v>281</v>
      </c>
      <c r="AB30" s="103">
        <v>235</v>
      </c>
      <c r="AC30" s="103">
        <v>393</v>
      </c>
      <c r="AD30" s="103">
        <v>390</v>
      </c>
      <c r="AE30" s="103">
        <v>404</v>
      </c>
      <c r="AF30" s="103">
        <f>AVERAGE(AA30:AE30)</f>
        <v>340.6</v>
      </c>
      <c r="AG30" s="103">
        <f>AVERAGE(AB30:AF30)</f>
        <v>352.52</v>
      </c>
      <c r="AH30" s="59"/>
    </row>
    <row r="31" spans="1:34" x14ac:dyDescent="0.3">
      <c r="A31" s="176"/>
      <c r="B31" s="99" t="s">
        <v>374</v>
      </c>
      <c r="C31" s="98">
        <f t="shared" ref="C31:H31" si="135">SUM(C29:C30)</f>
        <v>3491</v>
      </c>
      <c r="D31" s="98">
        <f t="shared" si="135"/>
        <v>3519</v>
      </c>
      <c r="E31" s="98">
        <f t="shared" si="135"/>
        <v>3183.66</v>
      </c>
      <c r="F31" s="98">
        <f t="shared" si="135"/>
        <v>3340</v>
      </c>
      <c r="G31" s="98">
        <f t="shared" si="135"/>
        <v>4824</v>
      </c>
      <c r="H31" s="98">
        <f t="shared" si="135"/>
        <v>3437</v>
      </c>
      <c r="I31" s="98">
        <f t="shared" ref="I31:J31" si="136">SUM(I29:I30)</f>
        <v>4241</v>
      </c>
      <c r="J31" s="98">
        <f t="shared" si="136"/>
        <v>3739</v>
      </c>
      <c r="K31" s="98">
        <f t="shared" ref="K31:L31" si="137">SUM(K29:K30)</f>
        <v>4075</v>
      </c>
      <c r="L31" s="98">
        <f t="shared" si="137"/>
        <v>4642</v>
      </c>
      <c r="M31" s="98">
        <f t="shared" ref="M31:N31" si="138">SUM(M29:M30)</f>
        <v>4248</v>
      </c>
      <c r="N31" s="98">
        <f t="shared" si="138"/>
        <v>3237</v>
      </c>
      <c r="O31" s="98">
        <f t="shared" ref="O31:P31" si="139">SUM(O29:O30)</f>
        <v>7534</v>
      </c>
      <c r="P31" s="98">
        <f t="shared" si="139"/>
        <v>3367</v>
      </c>
      <c r="Q31" s="98">
        <f t="shared" ref="Q31:R31" si="140">SUM(Q29:Q30)</f>
        <v>4015</v>
      </c>
      <c r="R31" s="98">
        <f t="shared" si="140"/>
        <v>2801</v>
      </c>
      <c r="S31" s="98">
        <f t="shared" ref="S31:W31" si="141">SUM(S29:S30)</f>
        <v>3923</v>
      </c>
      <c r="T31" s="98">
        <f t="shared" si="141"/>
        <v>3756</v>
      </c>
      <c r="U31" s="98">
        <f t="shared" si="141"/>
        <v>4057</v>
      </c>
      <c r="V31" s="98">
        <f t="shared" si="141"/>
        <v>4576</v>
      </c>
      <c r="W31" s="98">
        <f t="shared" si="141"/>
        <v>3633</v>
      </c>
      <c r="X31" s="98">
        <f t="shared" ref="X31:Y31" si="142">SUM(X29:X30)</f>
        <v>3872</v>
      </c>
      <c r="Y31" s="98">
        <f t="shared" si="142"/>
        <v>6315</v>
      </c>
      <c r="Z31" s="98">
        <f t="shared" ref="Z31:AA31" si="143">SUM(Z29:Z30)</f>
        <v>5015</v>
      </c>
      <c r="AA31" s="98">
        <f t="shared" si="143"/>
        <v>3883</v>
      </c>
      <c r="AB31" s="98">
        <f t="shared" ref="AB31" si="144">SUM(AB29:AB30)</f>
        <v>6198</v>
      </c>
      <c r="AC31" s="98">
        <f t="shared" ref="AC31:AD31" si="145">SUM(AC29:AC30)</f>
        <v>3534</v>
      </c>
      <c r="AD31" s="98">
        <f t="shared" si="145"/>
        <v>4520</v>
      </c>
      <c r="AE31" s="98">
        <f t="shared" ref="AE31:AF31" si="146">SUM(AE29:AE30)</f>
        <v>4282</v>
      </c>
      <c r="AF31" s="98">
        <f t="shared" si="146"/>
        <v>4865.6000000000004</v>
      </c>
      <c r="AG31" s="98">
        <f t="shared" ref="AG31" si="147">SUM(AG29:AG30)</f>
        <v>3452.38</v>
      </c>
      <c r="AH31" s="144">
        <f>SUM(AC31:AG31)</f>
        <v>20653.98</v>
      </c>
    </row>
    <row r="32" spans="1:34" ht="15" thickBot="1" x14ac:dyDescent="0.35">
      <c r="A32" s="176"/>
      <c r="B32" s="100" t="s">
        <v>378</v>
      </c>
      <c r="C32" s="101">
        <f t="shared" ref="C32:H32" si="148">(C28-C31)/C28</f>
        <v>0.68893426646123002</v>
      </c>
      <c r="D32" s="101">
        <f t="shared" si="148"/>
        <v>0.6785936913698738</v>
      </c>
      <c r="E32" s="101">
        <f t="shared" si="148"/>
        <v>0.71144966559541389</v>
      </c>
      <c r="F32" s="101">
        <f t="shared" si="148"/>
        <v>0.71853438438174833</v>
      </c>
      <c r="G32" s="101">
        <f t="shared" si="148"/>
        <v>0.60906297484382921</v>
      </c>
      <c r="H32" s="101">
        <f t="shared" si="148"/>
        <v>0.71684064906131895</v>
      </c>
      <c r="I32" s="101">
        <f t="shared" ref="I32:J32" si="149">(I28-I31)/I28</f>
        <v>0.62482860302248433</v>
      </c>
      <c r="J32" s="101">
        <f t="shared" si="149"/>
        <v>0.68128429614107366</v>
      </c>
      <c r="K32" s="101">
        <f t="shared" ref="K32:L32" si="150">(K28-K31)/K28</f>
        <v>0.69367140150032103</v>
      </c>
      <c r="L32" s="101">
        <f t="shared" si="150"/>
        <v>0.6886392219334283</v>
      </c>
      <c r="M32" s="101">
        <f t="shared" ref="M32:N32" si="151">(M28-M31)/M28</f>
        <v>0.67581799103310125</v>
      </c>
      <c r="N32" s="101">
        <f t="shared" si="151"/>
        <v>0.76129418813660876</v>
      </c>
      <c r="O32" s="101">
        <f t="shared" ref="O32:P32" si="152">(O28-O31)/O28</f>
        <v>0.62468943100231022</v>
      </c>
      <c r="P32" s="101">
        <f t="shared" si="152"/>
        <v>0.6682758620689655</v>
      </c>
      <c r="Q32" s="101">
        <f t="shared" ref="Q32:W32" si="153">(Q28-Q31)/Q28</f>
        <v>0.62596420187064483</v>
      </c>
      <c r="R32" s="101">
        <f t="shared" si="153"/>
        <v>0.71489280488580698</v>
      </c>
      <c r="S32" s="101">
        <f t="shared" si="153"/>
        <v>0.66350250178699077</v>
      </c>
      <c r="T32" s="101">
        <f t="shared" si="153"/>
        <v>0.65424976986805772</v>
      </c>
      <c r="U32" s="101">
        <f t="shared" si="153"/>
        <v>0.71344232382241712</v>
      </c>
      <c r="V32" s="101">
        <f t="shared" si="153"/>
        <v>0.6182424916573972</v>
      </c>
      <c r="W32" s="101">
        <f t="shared" si="153"/>
        <v>0.73610169491525423</v>
      </c>
      <c r="X32" s="101">
        <f t="shared" ref="X32:Y32" si="154">(X28-X31)/X28</f>
        <v>0.68240601503759402</v>
      </c>
      <c r="Y32" s="101">
        <f t="shared" si="154"/>
        <v>0.62090704168421729</v>
      </c>
      <c r="Z32" s="101">
        <f t="shared" ref="Z32" si="155">(Z28-Z31)/Z28</f>
        <v>0.61546325878594255</v>
      </c>
      <c r="AA32" s="101">
        <f t="shared" ref="AA32:AB32" si="156">(AA28-AA31)/AA28</f>
        <v>0.68475212692184095</v>
      </c>
      <c r="AB32" s="101">
        <f t="shared" si="156"/>
        <v>0.6491573994363008</v>
      </c>
      <c r="AC32" s="101">
        <f t="shared" ref="AC32:AD32" si="157">(AC28-AC31)/AC28</f>
        <v>0.75267616312129126</v>
      </c>
      <c r="AD32" s="101">
        <f t="shared" si="157"/>
        <v>0.65075894254134681</v>
      </c>
      <c r="AE32" s="101">
        <f t="shared" ref="AE32:AF32" si="158">(AE28-AE31)/AE28</f>
        <v>0.68218212181657933</v>
      </c>
      <c r="AF32" s="101">
        <f t="shared" si="158"/>
        <v>0.65959947529514651</v>
      </c>
      <c r="AG32" s="101">
        <f t="shared" ref="AG32" si="159">(AG28-AG31)/AG28</f>
        <v>0.74162780762670366</v>
      </c>
      <c r="AH32" s="145">
        <f t="shared" ref="AH32" si="160">(AH28-AH31)/AH28</f>
        <v>0.69786553511197491</v>
      </c>
    </row>
    <row r="33" spans="1:34" ht="15" thickTop="1" x14ac:dyDescent="0.3">
      <c r="A33" s="175" t="s">
        <v>120</v>
      </c>
      <c r="B33" s="99" t="s">
        <v>376</v>
      </c>
      <c r="C33" s="98">
        <f>SALES!FN6/1.2</f>
        <v>23502.333333333332</v>
      </c>
      <c r="D33" s="98">
        <f>SALES!FO6/1.2</f>
        <v>26071.625</v>
      </c>
      <c r="E33" s="98">
        <f>SALES!FP6/1.2</f>
        <v>28507.433333333334</v>
      </c>
      <c r="F33" s="98">
        <f>SALES!FQ6/1.2</f>
        <v>25382.333333333332</v>
      </c>
      <c r="G33" s="98">
        <f>SALES!FR6/1.2</f>
        <v>25477.541666666668</v>
      </c>
      <c r="H33" s="98">
        <f>SALES!FS6/1.2</f>
        <v>24621.375000000004</v>
      </c>
      <c r="I33" s="98">
        <f>SALES!FT6/1.2</f>
        <v>25282.833333333336</v>
      </c>
      <c r="J33" s="98">
        <f>SALES!FU6/1.2</f>
        <v>24108.958333333336</v>
      </c>
      <c r="K33" s="98">
        <f>SALES!FV6/1.2</f>
        <v>27199.916666666668</v>
      </c>
      <c r="L33" s="98">
        <f>SALES!FW6/1.2</f>
        <v>31612.916666666668</v>
      </c>
      <c r="M33" s="98">
        <f>SALES!FX6/1.2</f>
        <v>36038.15</v>
      </c>
      <c r="N33" s="98">
        <f>SALES!FY6/1.2</f>
        <v>22602.666666666668</v>
      </c>
      <c r="O33" s="98">
        <f>SALES!FZ6/1.2</f>
        <v>36469.316666666666</v>
      </c>
      <c r="P33" s="98">
        <f>SALES!GA6/1.2</f>
        <v>22827.841666666667</v>
      </c>
      <c r="Q33" s="98">
        <f>SALES!GB6/1.2</f>
        <v>27406.725000000002</v>
      </c>
      <c r="R33" s="98">
        <f>SALES!GC6/1.2</f>
        <v>15710.708333333332</v>
      </c>
      <c r="S33" s="98">
        <f>SALES!GD6/1.2</f>
        <v>25881.291666666668</v>
      </c>
      <c r="T33" s="98">
        <f>SALES!GE6/1.2</f>
        <v>24665.25</v>
      </c>
      <c r="U33" s="98">
        <f>SALES!GF6/1.2</f>
        <v>26605.041666666668</v>
      </c>
      <c r="V33" s="98">
        <f>SALES!GG6/1.2</f>
        <v>25568.625</v>
      </c>
      <c r="W33" s="98">
        <f>SALES!GH6/1.2</f>
        <v>25484.658333333333</v>
      </c>
      <c r="X33" s="98">
        <f>SALES!GI6/1.2</f>
        <v>26404.941666666669</v>
      </c>
      <c r="Y33" s="98">
        <f>SALES!GJ6/1.2</f>
        <v>33832.025000000001</v>
      </c>
      <c r="Z33" s="98">
        <f>SALES!GK6/1.2</f>
        <v>27783.833333333332</v>
      </c>
      <c r="AA33" s="98">
        <f>SALES!GL6/1.2</f>
        <v>25701.158333333333</v>
      </c>
      <c r="AB33" s="98">
        <f>SALES!GM6/1.2</f>
        <v>32928.433333333334</v>
      </c>
      <c r="AC33" s="98">
        <f>SALES!GN6/1.2</f>
        <v>32849.308333333334</v>
      </c>
      <c r="AD33" s="98">
        <f>SALES!GO6/1.2</f>
        <v>26368.683333333334</v>
      </c>
      <c r="AE33" s="98">
        <f>SALES!GP6/1.2</f>
        <v>28448.766666666666</v>
      </c>
      <c r="AF33" s="98">
        <f>SALES!GQ6/1.2</f>
        <v>30045.608333333337</v>
      </c>
      <c r="AG33" s="98">
        <f>SALES!GR6/1.2</f>
        <v>30914.850000000002</v>
      </c>
      <c r="AH33" s="144">
        <f>SUM(AC33:AG33)</f>
        <v>148627.21666666667</v>
      </c>
    </row>
    <row r="34" spans="1:34" x14ac:dyDescent="0.3">
      <c r="A34" s="175"/>
      <c r="B34" s="97" t="s">
        <v>372</v>
      </c>
      <c r="C34" s="96">
        <v>7813</v>
      </c>
      <c r="D34" s="96">
        <v>10390</v>
      </c>
      <c r="E34" s="96">
        <v>9800.4500000000007</v>
      </c>
      <c r="F34" s="96">
        <v>9133</v>
      </c>
      <c r="G34" s="96">
        <v>9016</v>
      </c>
      <c r="H34" s="96">
        <v>7954</v>
      </c>
      <c r="I34" s="96">
        <v>7783</v>
      </c>
      <c r="J34" s="96">
        <v>9396</v>
      </c>
      <c r="K34" s="96">
        <f>10510+K59</f>
        <v>12410</v>
      </c>
      <c r="L34" s="96">
        <v>8265</v>
      </c>
      <c r="M34" s="96">
        <v>15010</v>
      </c>
      <c r="N34" s="96">
        <f>10167-1500</f>
        <v>8667</v>
      </c>
      <c r="O34" s="96">
        <v>9023</v>
      </c>
      <c r="P34" s="96">
        <v>5747</v>
      </c>
      <c r="Q34" s="96">
        <v>7648</v>
      </c>
      <c r="R34" s="96">
        <v>6677</v>
      </c>
      <c r="S34" s="96">
        <v>8274</v>
      </c>
      <c r="T34" s="96">
        <v>8044</v>
      </c>
      <c r="U34" s="96">
        <v>7104</v>
      </c>
      <c r="V34" s="96">
        <v>8962</v>
      </c>
      <c r="W34" s="96">
        <v>8848</v>
      </c>
      <c r="X34" s="96">
        <v>7974</v>
      </c>
      <c r="Y34" s="96">
        <v>10842</v>
      </c>
      <c r="Z34" s="96">
        <v>10563</v>
      </c>
      <c r="AA34" s="96">
        <v>8694</v>
      </c>
      <c r="AB34" s="96">
        <v>13849</v>
      </c>
      <c r="AC34" s="96">
        <v>8354</v>
      </c>
      <c r="AD34" s="96">
        <v>7583</v>
      </c>
      <c r="AE34" s="96">
        <v>8606</v>
      </c>
      <c r="AF34" s="96">
        <v>13274</v>
      </c>
      <c r="AG34" s="96">
        <v>8125.33</v>
      </c>
      <c r="AH34" s="59"/>
    </row>
    <row r="35" spans="1:34" x14ac:dyDescent="0.3">
      <c r="A35" s="175"/>
      <c r="B35" s="102" t="s">
        <v>373</v>
      </c>
      <c r="C35" s="128">
        <f t="shared" ref="C35:H35" si="161">-SUM(C50,C45,C40,C30,C25,C20,C15,C10,C5)*0.5</f>
        <v>-1380</v>
      </c>
      <c r="D35" s="128">
        <f t="shared" si="161"/>
        <v>-1148.5</v>
      </c>
      <c r="E35" s="128">
        <f t="shared" si="161"/>
        <v>-1449.5</v>
      </c>
      <c r="F35" s="128">
        <f t="shared" si="161"/>
        <v>-1993.5</v>
      </c>
      <c r="G35" s="128">
        <f t="shared" si="161"/>
        <v>-1338.5</v>
      </c>
      <c r="H35" s="128">
        <f t="shared" si="161"/>
        <v>-1281</v>
      </c>
      <c r="I35" s="128">
        <f t="shared" ref="I35:J35" si="162">-SUM(I50,I45,I40,I30,I25,I20,I15,I10,I5)*0.5</f>
        <v>-509</v>
      </c>
      <c r="J35" s="128">
        <f t="shared" si="162"/>
        <v>-1957</v>
      </c>
      <c r="K35" s="128">
        <f t="shared" ref="K35:P35" si="163">-SUM(K50,K45,K40,K30,K25,K20,K15,K10,K5)*0.5</f>
        <v>-1931</v>
      </c>
      <c r="L35" s="128">
        <f t="shared" si="163"/>
        <v>-1117.5</v>
      </c>
      <c r="M35" s="128">
        <f t="shared" si="163"/>
        <v>-1322</v>
      </c>
      <c r="N35" s="128">
        <f t="shared" si="163"/>
        <v>-929</v>
      </c>
      <c r="O35" s="128">
        <f t="shared" si="163"/>
        <v>-1911.5</v>
      </c>
      <c r="P35" s="128">
        <f t="shared" si="163"/>
        <v>-108.5</v>
      </c>
      <c r="Q35" s="128">
        <f t="shared" ref="Q35:W35" si="164">-SUM(Q50,Q45,Q40,Q30,Q25,Q20,Q15,Q10,Q5)*0.5</f>
        <v>-1355</v>
      </c>
      <c r="R35" s="128">
        <f>Q35</f>
        <v>-1355</v>
      </c>
      <c r="S35" s="128">
        <f t="shared" si="164"/>
        <v>-1549</v>
      </c>
      <c r="T35" s="128">
        <f t="shared" si="164"/>
        <v>-1480.5</v>
      </c>
      <c r="U35" s="128">
        <f t="shared" si="164"/>
        <v>-1615</v>
      </c>
      <c r="V35" s="128">
        <f t="shared" si="164"/>
        <v>-2059.5</v>
      </c>
      <c r="W35" s="128">
        <f t="shared" si="164"/>
        <v>-1653</v>
      </c>
      <c r="X35" s="128">
        <f t="shared" ref="X35:Y35" si="165">-SUM(X50,X45,X40,X30,X25,X20,X15,X10,X5)*0.5</f>
        <v>-1876.5</v>
      </c>
      <c r="Y35" s="128">
        <f t="shared" si="165"/>
        <v>-1474</v>
      </c>
      <c r="Z35" s="128">
        <f t="shared" ref="Z35:AA35" si="166">-SUM(Z50,Z45,Z40,Z30,Z25,Z20,Z15,Z10,Z5)*0.5</f>
        <v>-1914</v>
      </c>
      <c r="AA35" s="128">
        <f t="shared" si="166"/>
        <v>-1693</v>
      </c>
      <c r="AB35" s="128">
        <f t="shared" ref="AB35" si="167">-SUM(AB50,AB45,AB40,AB30,AB25,AB20,AB15,AB10,AB5)*0.5</f>
        <v>-2349.5</v>
      </c>
      <c r="AC35" s="128">
        <f t="shared" ref="AC35:AD35" si="168">-SUM(AC50,AC45,AC40,AC30,AC25,AC20,AC15,AC10,AC5)*0.5</f>
        <v>-1807.5</v>
      </c>
      <c r="AD35" s="128">
        <f t="shared" si="168"/>
        <v>-1848</v>
      </c>
      <c r="AE35" s="128">
        <f t="shared" ref="AE35:AF35" si="169">-SUM(AE50,AE45,AE40,AE30,AE25,AE20,AE15,AE10,AE5)*0.5</f>
        <v>-1743</v>
      </c>
      <c r="AF35" s="128">
        <f t="shared" si="169"/>
        <v>-1913.2250000000004</v>
      </c>
      <c r="AG35" s="128">
        <f t="shared" ref="AG35" si="170">-SUM(AG50,AG45,AG40,AG30,AG25,AG20,AG15,AG10,AG5)*0.5</f>
        <v>-1932.2449999999994</v>
      </c>
      <c r="AH35" s="59"/>
    </row>
    <row r="36" spans="1:34" x14ac:dyDescent="0.3">
      <c r="A36" s="175"/>
      <c r="B36" s="99" t="s">
        <v>374</v>
      </c>
      <c r="C36" s="98">
        <f t="shared" ref="C36:H36" si="171">(C34+C35)</f>
        <v>6433</v>
      </c>
      <c r="D36" s="98">
        <f t="shared" si="171"/>
        <v>9241.5</v>
      </c>
      <c r="E36" s="98">
        <f t="shared" si="171"/>
        <v>8350.9500000000007</v>
      </c>
      <c r="F36" s="98">
        <f t="shared" si="171"/>
        <v>7139.5</v>
      </c>
      <c r="G36" s="98">
        <f t="shared" si="171"/>
        <v>7677.5</v>
      </c>
      <c r="H36" s="98">
        <f t="shared" si="171"/>
        <v>6673</v>
      </c>
      <c r="I36" s="98">
        <f t="shared" ref="I36:J36" si="172">(I34+I35)</f>
        <v>7274</v>
      </c>
      <c r="J36" s="98">
        <f t="shared" si="172"/>
        <v>7439</v>
      </c>
      <c r="K36" s="98">
        <f t="shared" ref="K36:L36" si="173">(K34+K35)</f>
        <v>10479</v>
      </c>
      <c r="L36" s="98">
        <f t="shared" si="173"/>
        <v>7147.5</v>
      </c>
      <c r="M36" s="98">
        <f t="shared" ref="M36:N36" si="174">(M34+M35)</f>
        <v>13688</v>
      </c>
      <c r="N36" s="98">
        <f t="shared" si="174"/>
        <v>7738</v>
      </c>
      <c r="O36" s="98">
        <f t="shared" ref="O36:P36" si="175">(O34+O35)</f>
        <v>7111.5</v>
      </c>
      <c r="P36" s="98">
        <f t="shared" si="175"/>
        <v>5638.5</v>
      </c>
      <c r="Q36" s="98">
        <f t="shared" ref="Q36:R36" si="176">(Q34+Q35)</f>
        <v>6293</v>
      </c>
      <c r="R36" s="98">
        <f t="shared" si="176"/>
        <v>5322</v>
      </c>
      <c r="S36" s="98">
        <f t="shared" ref="S36:W36" si="177">(S34+S35)</f>
        <v>6725</v>
      </c>
      <c r="T36" s="98">
        <f t="shared" si="177"/>
        <v>6563.5</v>
      </c>
      <c r="U36" s="98">
        <f t="shared" si="177"/>
        <v>5489</v>
      </c>
      <c r="V36" s="98">
        <f t="shared" si="177"/>
        <v>6902.5</v>
      </c>
      <c r="W36" s="98">
        <f t="shared" si="177"/>
        <v>7195</v>
      </c>
      <c r="X36" s="98">
        <f t="shared" ref="X36:Y36" si="178">(X34+X35)</f>
        <v>6097.5</v>
      </c>
      <c r="Y36" s="98">
        <f t="shared" si="178"/>
        <v>9368</v>
      </c>
      <c r="Z36" s="98">
        <f t="shared" ref="Z36:AA36" si="179">(Z34+Z35)</f>
        <v>8649</v>
      </c>
      <c r="AA36" s="98">
        <f t="shared" si="179"/>
        <v>7001</v>
      </c>
      <c r="AB36" s="98">
        <f t="shared" ref="AB36" si="180">(AB34+AB35)</f>
        <v>11499.5</v>
      </c>
      <c r="AC36" s="98">
        <f t="shared" ref="AC36:AD36" si="181">(AC34+AC35)</f>
        <v>6546.5</v>
      </c>
      <c r="AD36" s="98">
        <f t="shared" si="181"/>
        <v>5735</v>
      </c>
      <c r="AE36" s="98">
        <f t="shared" ref="AE36:AF36" si="182">(AE34+AE35)</f>
        <v>6863</v>
      </c>
      <c r="AF36" s="98">
        <f t="shared" si="182"/>
        <v>11360.775</v>
      </c>
      <c r="AG36" s="98">
        <f t="shared" ref="AG36" si="183">(AG34+AG35)</f>
        <v>6193.0850000000009</v>
      </c>
      <c r="AH36" s="144">
        <f>SUM(AC36:AG36)</f>
        <v>36698.36</v>
      </c>
    </row>
    <row r="37" spans="1:34" ht="15" thickBot="1" x14ac:dyDescent="0.35">
      <c r="A37" s="175"/>
      <c r="B37" s="100" t="s">
        <v>378</v>
      </c>
      <c r="C37" s="101">
        <f t="shared" ref="C37:H37" si="184">(C33-C36)/C33</f>
        <v>0.72628249677336998</v>
      </c>
      <c r="D37" s="101">
        <f t="shared" si="184"/>
        <v>0.64553417748222441</v>
      </c>
      <c r="E37" s="101">
        <f t="shared" si="184"/>
        <v>0.70706061459993474</v>
      </c>
      <c r="F37" s="101">
        <f t="shared" si="184"/>
        <v>0.7187216830603963</v>
      </c>
      <c r="G37" s="101">
        <f t="shared" si="184"/>
        <v>0.69865616940409936</v>
      </c>
      <c r="H37" s="101">
        <f t="shared" si="184"/>
        <v>0.72897533139396153</v>
      </c>
      <c r="I37" s="101">
        <f t="shared" ref="I37:J37" si="185">(I33-I36)/I33</f>
        <v>0.71229490365663128</v>
      </c>
      <c r="J37" s="101">
        <f t="shared" si="185"/>
        <v>0.69144249630583376</v>
      </c>
      <c r="K37" s="101">
        <f t="shared" ref="K37:L37" si="186">(K33-K36)/K33</f>
        <v>0.6147414667324349</v>
      </c>
      <c r="L37" s="101">
        <f t="shared" si="186"/>
        <v>0.77390570837342332</v>
      </c>
      <c r="M37" s="101">
        <f t="shared" ref="M37:N37" si="187">(M33-M36)/M33</f>
        <v>0.62018028117425561</v>
      </c>
      <c r="N37" s="101">
        <f t="shared" si="187"/>
        <v>0.65765101462954223</v>
      </c>
      <c r="O37" s="101">
        <f t="shared" ref="O37:P37" si="188">(O33-O36)/O33</f>
        <v>0.80500045929020692</v>
      </c>
      <c r="P37" s="101">
        <f t="shared" si="188"/>
        <v>0.75299898771273821</v>
      </c>
      <c r="Q37" s="101">
        <f t="shared" ref="Q37:R37" si="189">(Q33-Q36)/Q33</f>
        <v>0.7703848234329348</v>
      </c>
      <c r="R37" s="101">
        <f t="shared" si="189"/>
        <v>0.66125015581198598</v>
      </c>
      <c r="S37" s="101">
        <f t="shared" ref="S37:W37" si="190">(S33-S36)/S33</f>
        <v>0.74015980011301596</v>
      </c>
      <c r="T37" s="101">
        <f t="shared" si="190"/>
        <v>0.73389687921265745</v>
      </c>
      <c r="U37" s="101">
        <f t="shared" si="190"/>
        <v>0.79368572059493736</v>
      </c>
      <c r="V37" s="101">
        <f t="shared" si="190"/>
        <v>0.73004023485815139</v>
      </c>
      <c r="W37" s="101">
        <f t="shared" si="190"/>
        <v>0.71767327990467467</v>
      </c>
      <c r="X37" s="101">
        <f t="shared" ref="X37:Y37" si="191">(X33-X36)/X33</f>
        <v>0.76907731602007579</v>
      </c>
      <c r="Y37" s="101">
        <f t="shared" si="191"/>
        <v>0.72310259288351797</v>
      </c>
      <c r="Z37" s="101">
        <f t="shared" ref="Z37" si="192">(Z33-Z36)/Z33</f>
        <v>0.68870386255796234</v>
      </c>
      <c r="AA37" s="101">
        <f t="shared" ref="AA37:AB37" si="193">(AA33-AA36)/AA33</f>
        <v>0.72759982607787776</v>
      </c>
      <c r="AB37" s="101">
        <f t="shared" si="193"/>
        <v>0.65077293888868082</v>
      </c>
      <c r="AC37" s="101">
        <f t="shared" ref="AC37:AD37" si="194">(AC33-AC36)/AC33</f>
        <v>0.80071117682082094</v>
      </c>
      <c r="AD37" s="101">
        <f t="shared" si="194"/>
        <v>0.78250715337196086</v>
      </c>
      <c r="AE37" s="101">
        <f t="shared" ref="AE37:AF37" si="195">(AE33-AE36)/AE33</f>
        <v>0.75875931352618686</v>
      </c>
      <c r="AF37" s="101">
        <f t="shared" si="195"/>
        <v>0.62188234386999985</v>
      </c>
      <c r="AG37" s="101">
        <f t="shared" ref="AG37" si="196">(AG33-AG36)/AG33</f>
        <v>0.79967281096301612</v>
      </c>
      <c r="AH37" s="145">
        <f>(AH33-AH36)/AH33</f>
        <v>0.75308452366227674</v>
      </c>
    </row>
    <row r="38" spans="1:34" ht="15" thickTop="1" x14ac:dyDescent="0.3">
      <c r="A38" s="176" t="s">
        <v>124</v>
      </c>
      <c r="B38" s="99" t="s">
        <v>376</v>
      </c>
      <c r="C38" s="98">
        <f>SALES!FN34/1.2</f>
        <v>6696.3333333333339</v>
      </c>
      <c r="D38" s="98">
        <f>SALES!FO34/1.2</f>
        <v>4263.041666666667</v>
      </c>
      <c r="E38" s="98">
        <f>SALES!FP34/1.2</f>
        <v>9129.875</v>
      </c>
      <c r="F38" s="98">
        <f>SALES!FQ34/1.2</f>
        <v>7016.875</v>
      </c>
      <c r="G38" s="98">
        <f>SALES!FR34/1.2</f>
        <v>6159</v>
      </c>
      <c r="H38" s="98">
        <f>SALES!FS34/1.2</f>
        <v>8100.5000000000009</v>
      </c>
      <c r="I38" s="98">
        <f>SALES!FT34/1.2</f>
        <v>7283.5000000000009</v>
      </c>
      <c r="J38" s="98">
        <f>SALES!FU34/1.2</f>
        <v>7325.5000000000009</v>
      </c>
      <c r="K38" s="98">
        <f>SALES!FV34/1.2</f>
        <v>8325.3333333333339</v>
      </c>
      <c r="L38" s="98">
        <f>SALES!FW34/1.2</f>
        <v>7432.333333333333</v>
      </c>
      <c r="M38" s="98">
        <f>SALES!FX34/1.2</f>
        <v>6113.291666666667</v>
      </c>
      <c r="N38" s="98">
        <f>SALES!FY34/1.2</f>
        <v>7922.166666666667</v>
      </c>
      <c r="O38" s="98">
        <f>SALES!FZ34/1.2</f>
        <v>13685.683333333334</v>
      </c>
      <c r="P38" s="98">
        <f>SALES!GA34/1.2</f>
        <v>0</v>
      </c>
      <c r="Q38" s="98">
        <f>SALES!GB34/1.2</f>
        <v>0</v>
      </c>
      <c r="R38" s="98">
        <f>SALES!GC34/1.2</f>
        <v>0</v>
      </c>
      <c r="S38" s="98">
        <f>SALES!GD34/1.2</f>
        <v>0</v>
      </c>
      <c r="T38" s="98">
        <f>SALES!GE34/1.2</f>
        <v>0</v>
      </c>
      <c r="U38" s="98">
        <f>SALES!GF34/1.2</f>
        <v>0</v>
      </c>
      <c r="V38" s="98">
        <f>SALES!GG34/1.2</f>
        <v>0</v>
      </c>
      <c r="W38" s="98">
        <f>SALES!GH34/1.2</f>
        <v>0</v>
      </c>
      <c r="X38" s="98">
        <f>SALES!GI34/1.2</f>
        <v>0</v>
      </c>
      <c r="Y38" s="98">
        <f>SALES!GJ34/1.2</f>
        <v>0</v>
      </c>
      <c r="Z38" s="98">
        <f>SALES!GK34/1.2</f>
        <v>0</v>
      </c>
      <c r="AA38" s="98"/>
      <c r="AB38" s="98">
        <f>SALES!GM34/1.2</f>
        <v>10916.25</v>
      </c>
      <c r="AC38" s="98">
        <f>SALES!GN34/1.2</f>
        <v>9396.0416666666679</v>
      </c>
      <c r="AD38" s="98">
        <f>SALES!GO34/1.2</f>
        <v>8743.625</v>
      </c>
      <c r="AE38" s="98">
        <f>SALES!GP34/1.2</f>
        <v>9692.2916666666679</v>
      </c>
      <c r="AF38" s="98">
        <f>SALES!GQ34/1.2</f>
        <v>11524.725</v>
      </c>
      <c r="AG38" s="98">
        <f>SALES!GR34/1.2</f>
        <v>10673.541666666668</v>
      </c>
      <c r="AH38" s="144">
        <f>SUM(AC38:AG38)</f>
        <v>50030.225000000006</v>
      </c>
    </row>
    <row r="39" spans="1:34" x14ac:dyDescent="0.3">
      <c r="A39" s="176"/>
      <c r="B39" s="97" t="s">
        <v>372</v>
      </c>
      <c r="C39" s="96">
        <v>2091</v>
      </c>
      <c r="D39" s="96">
        <v>1169</v>
      </c>
      <c r="E39" s="96">
        <v>2010.87</v>
      </c>
      <c r="F39" s="96">
        <f>275+1835</f>
        <v>2110</v>
      </c>
      <c r="G39" s="96">
        <v>1675</v>
      </c>
      <c r="H39" s="96">
        <v>1300</v>
      </c>
      <c r="I39" s="96">
        <f>250+2723</f>
        <v>2973</v>
      </c>
      <c r="J39" s="96">
        <v>2416</v>
      </c>
      <c r="K39" s="96">
        <v>1930</v>
      </c>
      <c r="L39" s="96">
        <v>1949</v>
      </c>
      <c r="M39" s="96">
        <v>2185</v>
      </c>
      <c r="N39" s="96">
        <v>1662</v>
      </c>
      <c r="O39" s="96">
        <v>3346</v>
      </c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>
        <v>4098</v>
      </c>
      <c r="AC39" s="96">
        <v>2350</v>
      </c>
      <c r="AD39" s="96">
        <v>2350</v>
      </c>
      <c r="AE39" s="96">
        <v>2835</v>
      </c>
      <c r="AF39" s="96">
        <v>3365</v>
      </c>
      <c r="AG39" s="96">
        <v>2596.21</v>
      </c>
      <c r="AH39" s="59"/>
    </row>
    <row r="40" spans="1:34" x14ac:dyDescent="0.3">
      <c r="A40" s="176"/>
      <c r="B40" s="102" t="s">
        <v>373</v>
      </c>
      <c r="C40" s="103">
        <f>15+60+45+0+30+30+150</f>
        <v>330</v>
      </c>
      <c r="D40" s="103">
        <v>236</v>
      </c>
      <c r="E40" s="103">
        <v>275</v>
      </c>
      <c r="F40" s="103">
        <v>496</v>
      </c>
      <c r="G40" s="103">
        <v>254</v>
      </c>
      <c r="H40" s="103">
        <v>138</v>
      </c>
      <c r="I40" s="103">
        <v>140</v>
      </c>
      <c r="J40" s="103">
        <v>578</v>
      </c>
      <c r="K40" s="103">
        <v>494</v>
      </c>
      <c r="L40" s="103">
        <f>292+470</f>
        <v>762</v>
      </c>
      <c r="M40" s="103">
        <v>184</v>
      </c>
      <c r="N40" s="103">
        <v>64</v>
      </c>
      <c r="O40" s="103">
        <v>330</v>
      </c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>
        <v>314</v>
      </c>
      <c r="AC40" s="103">
        <v>239</v>
      </c>
      <c r="AD40" s="103">
        <v>267</v>
      </c>
      <c r="AE40" s="103">
        <v>181</v>
      </c>
      <c r="AF40" s="103">
        <f>AVERAGE(AA40:AE40)</f>
        <v>250.25</v>
      </c>
      <c r="AG40" s="103">
        <f>AVERAGE(AB40:AF40)</f>
        <v>250.25</v>
      </c>
      <c r="AH40" s="59"/>
    </row>
    <row r="41" spans="1:34" x14ac:dyDescent="0.3">
      <c r="A41" s="176"/>
      <c r="B41" s="99" t="s">
        <v>374</v>
      </c>
      <c r="C41" s="98">
        <f t="shared" ref="C41:H41" si="197">SUM(C39:C40)</f>
        <v>2421</v>
      </c>
      <c r="D41" s="98">
        <f t="shared" si="197"/>
        <v>1405</v>
      </c>
      <c r="E41" s="98">
        <f t="shared" si="197"/>
        <v>2285.87</v>
      </c>
      <c r="F41" s="98">
        <f t="shared" si="197"/>
        <v>2606</v>
      </c>
      <c r="G41" s="98">
        <f t="shared" si="197"/>
        <v>1929</v>
      </c>
      <c r="H41" s="98">
        <f t="shared" si="197"/>
        <v>1438</v>
      </c>
      <c r="I41" s="98">
        <f t="shared" ref="I41:J41" si="198">SUM(I39:I40)</f>
        <v>3113</v>
      </c>
      <c r="J41" s="98">
        <f t="shared" si="198"/>
        <v>2994</v>
      </c>
      <c r="K41" s="98">
        <f t="shared" ref="K41:L41" si="199">SUM(K39:K40)</f>
        <v>2424</v>
      </c>
      <c r="L41" s="98">
        <f t="shared" si="199"/>
        <v>2711</v>
      </c>
      <c r="M41" s="98">
        <f t="shared" ref="M41:N41" si="200">SUM(M39:M40)</f>
        <v>2369</v>
      </c>
      <c r="N41" s="98">
        <f t="shared" si="200"/>
        <v>1726</v>
      </c>
      <c r="O41" s="98">
        <f t="shared" ref="O41:P41" si="201">SUM(O39:O40)</f>
        <v>3676</v>
      </c>
      <c r="P41" s="98">
        <f t="shared" si="201"/>
        <v>0</v>
      </c>
      <c r="Q41" s="98">
        <f t="shared" ref="Q41:R41" si="202">SUM(Q39:Q40)</f>
        <v>0</v>
      </c>
      <c r="R41" s="98">
        <f t="shared" si="202"/>
        <v>0</v>
      </c>
      <c r="S41" s="98">
        <f t="shared" ref="S41:W41" si="203">SUM(S39:S40)</f>
        <v>0</v>
      </c>
      <c r="T41" s="98">
        <f t="shared" si="203"/>
        <v>0</v>
      </c>
      <c r="U41" s="98">
        <f t="shared" si="203"/>
        <v>0</v>
      </c>
      <c r="V41" s="98">
        <f t="shared" si="203"/>
        <v>0</v>
      </c>
      <c r="W41" s="98">
        <f t="shared" si="203"/>
        <v>0</v>
      </c>
      <c r="X41" s="98">
        <f t="shared" ref="X41:Y41" si="204">SUM(X39:X40)</f>
        <v>0</v>
      </c>
      <c r="Y41" s="98">
        <f t="shared" si="204"/>
        <v>0</v>
      </c>
      <c r="Z41" s="98">
        <f t="shared" ref="Z41" si="205">SUM(Z39:Z40)</f>
        <v>0</v>
      </c>
      <c r="AA41" s="98"/>
      <c r="AB41" s="98">
        <f t="shared" ref="AB41" si="206">SUM(AB39:AB40)</f>
        <v>4412</v>
      </c>
      <c r="AC41" s="98">
        <f t="shared" ref="AC41:AD41" si="207">SUM(AC39:AC40)</f>
        <v>2589</v>
      </c>
      <c r="AD41" s="98">
        <f t="shared" si="207"/>
        <v>2617</v>
      </c>
      <c r="AE41" s="98">
        <f t="shared" ref="AE41:AF41" si="208">SUM(AE39:AE40)</f>
        <v>3016</v>
      </c>
      <c r="AF41" s="98">
        <f t="shared" si="208"/>
        <v>3615.25</v>
      </c>
      <c r="AG41" s="98">
        <f t="shared" ref="AG41" si="209">SUM(AG39:AG40)</f>
        <v>2846.46</v>
      </c>
      <c r="AH41" s="144">
        <f>SUM(AC41:AG41)</f>
        <v>14683.71</v>
      </c>
    </row>
    <row r="42" spans="1:34" ht="15" thickBot="1" x14ac:dyDescent="0.35">
      <c r="A42" s="176"/>
      <c r="B42" s="100" t="s">
        <v>378</v>
      </c>
      <c r="C42" s="101">
        <f t="shared" ref="C42:H42" si="210">(C38-C41)/C38</f>
        <v>0.63845885808153724</v>
      </c>
      <c r="D42" s="101">
        <f t="shared" si="210"/>
        <v>0.67042311338735061</v>
      </c>
      <c r="E42" s="101">
        <f t="shared" si="210"/>
        <v>0.74962745930256436</v>
      </c>
      <c r="F42" s="101">
        <f t="shared" si="210"/>
        <v>0.62860960185267656</v>
      </c>
      <c r="G42" s="101">
        <f t="shared" si="210"/>
        <v>0.68679980516317585</v>
      </c>
      <c r="H42" s="101">
        <f t="shared" si="210"/>
        <v>0.82248009382136911</v>
      </c>
      <c r="I42" s="101">
        <f t="shared" ref="I42:J42" si="211">(I38-I41)/I38</f>
        <v>0.57259559277819738</v>
      </c>
      <c r="J42" s="101">
        <f t="shared" si="211"/>
        <v>0.59129069688075908</v>
      </c>
      <c r="K42" s="101">
        <f t="shared" ref="K42:L42" si="212">(K38-K41)/K38</f>
        <v>0.70884048686739276</v>
      </c>
      <c r="L42" s="101">
        <f t="shared" si="212"/>
        <v>0.6352424092927299</v>
      </c>
      <c r="M42" s="101">
        <f t="shared" ref="M42:N42" si="213">(M38-M41)/M38</f>
        <v>0.61248372739726964</v>
      </c>
      <c r="N42" s="101">
        <f t="shared" si="213"/>
        <v>0.78213030946921092</v>
      </c>
      <c r="O42" s="101">
        <f t="shared" ref="O42:P42" si="214">(O38-O41)/O38</f>
        <v>0.73139813990532687</v>
      </c>
      <c r="P42" s="101" t="e">
        <f t="shared" si="214"/>
        <v>#DIV/0!</v>
      </c>
      <c r="Q42" s="101" t="e">
        <f t="shared" ref="Q42:R42" si="215">(Q38-Q41)/Q38</f>
        <v>#DIV/0!</v>
      </c>
      <c r="R42" s="101" t="e">
        <f t="shared" si="215"/>
        <v>#DIV/0!</v>
      </c>
      <c r="S42" s="101" t="e">
        <f t="shared" ref="S42:W42" si="216">(S38-S41)/S38</f>
        <v>#DIV/0!</v>
      </c>
      <c r="T42" s="101" t="e">
        <f t="shared" si="216"/>
        <v>#DIV/0!</v>
      </c>
      <c r="U42" s="101" t="e">
        <f t="shared" si="216"/>
        <v>#DIV/0!</v>
      </c>
      <c r="V42" s="101" t="e">
        <f t="shared" si="216"/>
        <v>#DIV/0!</v>
      </c>
      <c r="W42" s="101" t="e">
        <f t="shared" si="216"/>
        <v>#DIV/0!</v>
      </c>
      <c r="X42" s="101" t="e">
        <f t="shared" ref="X42:Y42" si="217">(X38-X41)/X38</f>
        <v>#DIV/0!</v>
      </c>
      <c r="Y42" s="101" t="e">
        <f t="shared" si="217"/>
        <v>#DIV/0!</v>
      </c>
      <c r="Z42" s="101" t="e">
        <f t="shared" ref="Z42:AA42" si="218">(Z38-Z41)/Z38</f>
        <v>#DIV/0!</v>
      </c>
      <c r="AA42" s="101" t="e">
        <f t="shared" si="218"/>
        <v>#DIV/0!</v>
      </c>
      <c r="AB42" s="101">
        <f t="shared" ref="AB42" si="219">(AB38-AB41)/AB38</f>
        <v>0.59583190198099167</v>
      </c>
      <c r="AC42" s="101">
        <f t="shared" ref="AC42:AD42" si="220">(AC38-AC41)/AC38</f>
        <v>0.72445843772865348</v>
      </c>
      <c r="AD42" s="101">
        <f t="shared" si="220"/>
        <v>0.70069622153283107</v>
      </c>
      <c r="AE42" s="101">
        <f t="shared" ref="AE42:AF42" si="221">(AE38-AE41)/AE38</f>
        <v>0.6888248823162737</v>
      </c>
      <c r="AF42" s="101">
        <f t="shared" si="221"/>
        <v>0.68630487929213058</v>
      </c>
      <c r="AG42" s="101">
        <f t="shared" ref="AG42" si="222">(AG38-AG41)/AG38</f>
        <v>0.73331626100364999</v>
      </c>
      <c r="AH42" s="145">
        <f t="shared" ref="AH42" si="223">(AH38-AH41)/AH38</f>
        <v>0.70650321880423295</v>
      </c>
    </row>
    <row r="43" spans="1:34" ht="15" thickTop="1" x14ac:dyDescent="0.3">
      <c r="A43" s="175" t="s">
        <v>125</v>
      </c>
      <c r="B43" s="99" t="s">
        <v>376</v>
      </c>
      <c r="C43" s="98">
        <f>SALES!FN41/1.2</f>
        <v>8804.6666666666679</v>
      </c>
      <c r="D43" s="98">
        <f>SALES!FO41/1.2</f>
        <v>7847.5416666666661</v>
      </c>
      <c r="E43" s="98">
        <f>SALES!FP41/1.2</f>
        <v>9167.2500000000018</v>
      </c>
      <c r="F43" s="98">
        <f>SALES!FQ41/1.2</f>
        <v>9283.375</v>
      </c>
      <c r="G43" s="98">
        <f>SALES!FR41/1.2</f>
        <v>8930.3333333333339</v>
      </c>
      <c r="H43" s="98">
        <f>SALES!FS41/1.2</f>
        <v>8193.1666666666661</v>
      </c>
      <c r="I43" s="98">
        <f>SALES!FT41/1.2</f>
        <v>8877.8333333333339</v>
      </c>
      <c r="J43" s="98">
        <f>SALES!FU41/1.2</f>
        <v>9178.7916666666661</v>
      </c>
      <c r="K43" s="98">
        <f>SALES!FV41/1.2</f>
        <v>6586.041666666667</v>
      </c>
      <c r="L43" s="98">
        <f>SALES!FW41/1.2</f>
        <v>11390.625</v>
      </c>
      <c r="M43" s="98">
        <f>SALES!FX41/1.2</f>
        <v>10795.166666666668</v>
      </c>
      <c r="N43" s="98">
        <f>SALES!FY41/1.2</f>
        <v>9366.9583333333339</v>
      </c>
      <c r="O43" s="98">
        <f>SALES!FZ41/1.2</f>
        <v>14708.125</v>
      </c>
      <c r="P43" s="98">
        <f>SALES!GA41/1.2</f>
        <v>8274.0416666666679</v>
      </c>
      <c r="Q43" s="98">
        <f>SALES!GB41/1.2</f>
        <v>9663.2916666666679</v>
      </c>
      <c r="R43" s="98">
        <f>SALES!GC41/1.2</f>
        <v>9925.4166666666679</v>
      </c>
      <c r="S43" s="98">
        <f>SALES!GD41/1.2</f>
        <v>9956.2083333333339</v>
      </c>
      <c r="T43" s="98">
        <f>SALES!GE41/1.2</f>
        <v>7557.2166666666672</v>
      </c>
      <c r="U43" s="98">
        <f>SALES!GF41/1.2</f>
        <v>11091.125</v>
      </c>
      <c r="V43" s="98">
        <f>SALES!GG41/1.2</f>
        <v>10289.125000000002</v>
      </c>
      <c r="W43" s="98">
        <f>SALES!GH41/1.2</f>
        <v>8896.4583333333339</v>
      </c>
      <c r="X43" s="98">
        <f>SALES!GI41/1.2</f>
        <v>10393.300000000001</v>
      </c>
      <c r="Y43" s="98">
        <f>SALES!GJ41/1.2</f>
        <v>12376.283333333335</v>
      </c>
      <c r="Z43" s="98">
        <f>SALES!GK41/1.2</f>
        <v>9424.7916666666679</v>
      </c>
      <c r="AA43" s="98">
        <f>SALES!GL41/1.2</f>
        <v>9314.8583333333336</v>
      </c>
      <c r="AB43" s="98">
        <f>SALES!GM41/1.2</f>
        <v>14595.166666666668</v>
      </c>
      <c r="AC43" s="98">
        <f>SALES!GN41/1.2</f>
        <v>11689.016666666666</v>
      </c>
      <c r="AD43" s="98">
        <f>SALES!GO41/1.2</f>
        <v>11302.4</v>
      </c>
      <c r="AE43" s="98">
        <f>SALES!GP41/1.2</f>
        <v>10787.083333333334</v>
      </c>
      <c r="AF43" s="98">
        <f>SALES!GQ41/1.2</f>
        <v>11299.841666666667</v>
      </c>
      <c r="AG43" s="98">
        <f>SALES!GR41/1.2</f>
        <v>11838.150000000001</v>
      </c>
      <c r="AH43" s="144">
        <f>SUM(AC43:AG43)</f>
        <v>56916.491666666669</v>
      </c>
    </row>
    <row r="44" spans="1:34" x14ac:dyDescent="0.3">
      <c r="A44" s="175"/>
      <c r="B44" s="97" t="s">
        <v>372</v>
      </c>
      <c r="C44" s="96">
        <v>2776</v>
      </c>
      <c r="D44" s="96">
        <v>2213</v>
      </c>
      <c r="E44" s="96">
        <v>2413.12</v>
      </c>
      <c r="F44" s="96">
        <f>3431-924</f>
        <v>2507</v>
      </c>
      <c r="G44" s="96">
        <v>3460</v>
      </c>
      <c r="H44" s="96"/>
      <c r="I44" s="96">
        <f>92+3615</f>
        <v>3707</v>
      </c>
      <c r="J44" s="96"/>
      <c r="K44" s="96">
        <f>3804-K59</f>
        <v>1904</v>
      </c>
      <c r="L44" s="96">
        <v>6150</v>
      </c>
      <c r="M44" s="96">
        <v>4914</v>
      </c>
      <c r="N44" s="96">
        <v>2269</v>
      </c>
      <c r="O44" s="96">
        <v>6639</v>
      </c>
      <c r="P44" s="96">
        <v>4439</v>
      </c>
      <c r="Q44" s="96">
        <v>2700</v>
      </c>
      <c r="R44" s="96">
        <v>3109</v>
      </c>
      <c r="S44" s="96">
        <v>2960</v>
      </c>
      <c r="T44" s="96">
        <v>2242</v>
      </c>
      <c r="U44" s="96">
        <v>3002</v>
      </c>
      <c r="V44" s="96">
        <v>2949</v>
      </c>
      <c r="W44" s="96">
        <v>2787</v>
      </c>
      <c r="X44" s="96">
        <v>2739</v>
      </c>
      <c r="Y44" s="96">
        <v>4720</v>
      </c>
      <c r="Z44" s="96">
        <v>2669</v>
      </c>
      <c r="AA44" s="96">
        <v>3239</v>
      </c>
      <c r="AB44" s="96">
        <v>3769</v>
      </c>
      <c r="AC44" s="96">
        <v>3374</v>
      </c>
      <c r="AD44" s="96">
        <v>2197</v>
      </c>
      <c r="AE44" s="96">
        <v>3027</v>
      </c>
      <c r="AF44" s="96">
        <v>3272</v>
      </c>
      <c r="AG44" s="96">
        <v>2554.1</v>
      </c>
      <c r="AH44" s="59"/>
    </row>
    <row r="45" spans="1:34" x14ac:dyDescent="0.3">
      <c r="A45" s="175"/>
      <c r="B45" s="102" t="s">
        <v>373</v>
      </c>
      <c r="C45" s="103">
        <f>30+8+60+12+60+8</f>
        <v>178</v>
      </c>
      <c r="D45" s="103">
        <v>163</v>
      </c>
      <c r="E45" s="103">
        <v>152</v>
      </c>
      <c r="F45" s="103">
        <v>110</v>
      </c>
      <c r="G45" s="103">
        <v>-484</v>
      </c>
      <c r="H45" s="103">
        <v>114</v>
      </c>
      <c r="I45" s="103">
        <v>-1513</v>
      </c>
      <c r="J45" s="103"/>
      <c r="K45" s="103">
        <v>72</v>
      </c>
      <c r="L45" s="103">
        <f>-2461+318</f>
        <v>-2143</v>
      </c>
      <c r="M45" s="103">
        <f>-2370+178</f>
        <v>-2192</v>
      </c>
      <c r="N45" s="103">
        <v>152</v>
      </c>
      <c r="O45" s="103">
        <v>490</v>
      </c>
      <c r="P45" s="103">
        <v>-2101</v>
      </c>
      <c r="Q45" s="103"/>
      <c r="R45" s="103"/>
      <c r="S45" s="103"/>
      <c r="T45" s="103"/>
      <c r="U45" s="103"/>
      <c r="V45" s="103">
        <v>347</v>
      </c>
      <c r="W45" s="103">
        <v>343</v>
      </c>
      <c r="X45" s="103">
        <v>289</v>
      </c>
      <c r="Y45" s="103">
        <v>-200</v>
      </c>
      <c r="Z45" s="103">
        <v>273</v>
      </c>
      <c r="AA45" s="103">
        <v>331</v>
      </c>
      <c r="AB45" s="103">
        <f>1544-724</f>
        <v>820</v>
      </c>
      <c r="AC45" s="103">
        <v>327</v>
      </c>
      <c r="AD45" s="103">
        <v>296</v>
      </c>
      <c r="AE45" s="103">
        <v>212</v>
      </c>
      <c r="AF45" s="103">
        <f>AVERAGE(AA45:AE45)</f>
        <v>397.2</v>
      </c>
      <c r="AG45" s="103">
        <f>AVERAGE(AB45:AF45)</f>
        <v>410.43999999999994</v>
      </c>
      <c r="AH45" s="59"/>
    </row>
    <row r="46" spans="1:34" x14ac:dyDescent="0.3">
      <c r="A46" s="175"/>
      <c r="B46" s="99" t="s">
        <v>374</v>
      </c>
      <c r="C46" s="98">
        <f t="shared" ref="C46:H46" si="224">SUM(C44:C45)</f>
        <v>2954</v>
      </c>
      <c r="D46" s="98">
        <f t="shared" si="224"/>
        <v>2376</v>
      </c>
      <c r="E46" s="98">
        <f t="shared" si="224"/>
        <v>2565.12</v>
      </c>
      <c r="F46" s="98">
        <f t="shared" si="224"/>
        <v>2617</v>
      </c>
      <c r="G46" s="98">
        <f t="shared" si="224"/>
        <v>2976</v>
      </c>
      <c r="H46" s="98">
        <f t="shared" si="224"/>
        <v>114</v>
      </c>
      <c r="I46" s="98">
        <f t="shared" ref="I46:J46" si="225">SUM(I44:I45)</f>
        <v>2194</v>
      </c>
      <c r="J46" s="98">
        <f t="shared" si="225"/>
        <v>0</v>
      </c>
      <c r="K46" s="98">
        <f t="shared" ref="K46:L46" si="226">SUM(K44:K45)</f>
        <v>1976</v>
      </c>
      <c r="L46" s="98">
        <f t="shared" si="226"/>
        <v>4007</v>
      </c>
      <c r="M46" s="98">
        <f t="shared" ref="M46:N46" si="227">SUM(M44:M45)</f>
        <v>2722</v>
      </c>
      <c r="N46" s="98">
        <f t="shared" si="227"/>
        <v>2421</v>
      </c>
      <c r="O46" s="98">
        <f t="shared" ref="O46:P46" si="228">SUM(O44:O45)</f>
        <v>7129</v>
      </c>
      <c r="P46" s="98">
        <f t="shared" si="228"/>
        <v>2338</v>
      </c>
      <c r="Q46" s="98">
        <f t="shared" ref="Q46:R46" si="229">SUM(Q44:Q45)</f>
        <v>2700</v>
      </c>
      <c r="R46" s="98">
        <f t="shared" si="229"/>
        <v>3109</v>
      </c>
      <c r="S46" s="98">
        <f t="shared" ref="S46:W46" si="230">SUM(S44:S45)</f>
        <v>2960</v>
      </c>
      <c r="T46" s="98">
        <f t="shared" si="230"/>
        <v>2242</v>
      </c>
      <c r="U46" s="98">
        <f t="shared" si="230"/>
        <v>3002</v>
      </c>
      <c r="V46" s="98">
        <f t="shared" si="230"/>
        <v>3296</v>
      </c>
      <c r="W46" s="98">
        <f t="shared" si="230"/>
        <v>3130</v>
      </c>
      <c r="X46" s="98">
        <f t="shared" ref="X46:Y46" si="231">SUM(X44:X45)</f>
        <v>3028</v>
      </c>
      <c r="Y46" s="98">
        <f t="shared" si="231"/>
        <v>4520</v>
      </c>
      <c r="Z46" s="98">
        <f t="shared" ref="Z46:AA46" si="232">SUM(Z44:Z45)</f>
        <v>2942</v>
      </c>
      <c r="AA46" s="98">
        <f t="shared" si="232"/>
        <v>3570</v>
      </c>
      <c r="AB46" s="98">
        <f t="shared" ref="AB46" si="233">SUM(AB44:AB45)</f>
        <v>4589</v>
      </c>
      <c r="AC46" s="98">
        <f t="shared" ref="AC46:AD46" si="234">SUM(AC44:AC45)</f>
        <v>3701</v>
      </c>
      <c r="AD46" s="98">
        <f t="shared" si="234"/>
        <v>2493</v>
      </c>
      <c r="AE46" s="98">
        <f t="shared" ref="AE46:AF46" si="235">SUM(AE44:AE45)</f>
        <v>3239</v>
      </c>
      <c r="AF46" s="98">
        <f t="shared" si="235"/>
        <v>3669.2</v>
      </c>
      <c r="AG46" s="98">
        <f t="shared" ref="AG46" si="236">SUM(AG44:AG45)</f>
        <v>2964.54</v>
      </c>
      <c r="AH46" s="144">
        <f>SUM(AC46:AG46)</f>
        <v>16066.740000000002</v>
      </c>
    </row>
    <row r="47" spans="1:34" ht="15" thickBot="1" x14ac:dyDescent="0.35">
      <c r="A47" s="175"/>
      <c r="B47" s="100" t="s">
        <v>378</v>
      </c>
      <c r="C47" s="101">
        <f t="shared" ref="C47:H47" si="237">(C43-C46)/C43</f>
        <v>0.66449610055273722</v>
      </c>
      <c r="D47" s="101">
        <f t="shared" si="237"/>
        <v>0.69723002426449898</v>
      </c>
      <c r="E47" s="101">
        <f t="shared" si="237"/>
        <v>0.72018653358422657</v>
      </c>
      <c r="F47" s="101">
        <f t="shared" si="237"/>
        <v>0.71809821320371092</v>
      </c>
      <c r="G47" s="101">
        <f t="shared" si="237"/>
        <v>0.66675376059124336</v>
      </c>
      <c r="H47" s="101">
        <f t="shared" si="237"/>
        <v>0.98608596594723241</v>
      </c>
      <c r="I47" s="101">
        <f t="shared" ref="I47:J47" si="238">(I43-I46)/I43</f>
        <v>0.75286762911371019</v>
      </c>
      <c r="J47" s="101">
        <f t="shared" si="238"/>
        <v>1</v>
      </c>
      <c r="K47" s="101">
        <f t="shared" ref="K47:L47" si="239">(K43-K46)/K43</f>
        <v>0.69997153069939588</v>
      </c>
      <c r="L47" s="101">
        <f t="shared" si="239"/>
        <v>0.64821947873799723</v>
      </c>
      <c r="M47" s="101">
        <f t="shared" ref="M47:N47" si="240">(M43-M46)/M43</f>
        <v>0.74785011810841273</v>
      </c>
      <c r="N47" s="101">
        <f t="shared" si="240"/>
        <v>0.74153829729501308</v>
      </c>
      <c r="O47" s="101">
        <f t="shared" ref="O47:P47" si="241">(O43-O46)/O43</f>
        <v>0.51530191645774015</v>
      </c>
      <c r="P47" s="101">
        <f t="shared" si="241"/>
        <v>0.71742951097055552</v>
      </c>
      <c r="Q47" s="101">
        <f t="shared" ref="Q47:R47" si="242">(Q43-Q46)/Q43</f>
        <v>0.72059210327743739</v>
      </c>
      <c r="R47" s="101">
        <f t="shared" si="242"/>
        <v>0.68676377985810844</v>
      </c>
      <c r="S47" s="101">
        <f t="shared" ref="S47:W47" si="243">(S43-S46)/S43</f>
        <v>0.70269806527752787</v>
      </c>
      <c r="T47" s="101">
        <f t="shared" si="243"/>
        <v>0.70332992966987407</v>
      </c>
      <c r="U47" s="101">
        <f t="shared" si="243"/>
        <v>0.72933313798194499</v>
      </c>
      <c r="V47" s="101">
        <f t="shared" si="243"/>
        <v>0.67966177881987055</v>
      </c>
      <c r="W47" s="101">
        <f t="shared" si="243"/>
        <v>0.64817460131606686</v>
      </c>
      <c r="X47" s="101">
        <f t="shared" ref="X47:Y47" si="244">(X43-X46)/X43</f>
        <v>0.70865846266344668</v>
      </c>
      <c r="Y47" s="101">
        <f t="shared" si="244"/>
        <v>0.63478534885944493</v>
      </c>
      <c r="Z47" s="101">
        <f t="shared" ref="Z47" si="245">(Z43-Z46)/Z43</f>
        <v>0.68784455889829577</v>
      </c>
      <c r="AA47" s="101">
        <f t="shared" ref="AA47:AB47" si="246">(AA43-AA46)/AA43</f>
        <v>0.61674135319646117</v>
      </c>
      <c r="AB47" s="101">
        <f t="shared" si="246"/>
        <v>0.68558084297313038</v>
      </c>
      <c r="AC47" s="101">
        <f t="shared" ref="AC47:AD47" si="247">(AC43-AC46)/AC43</f>
        <v>0.68337798588703635</v>
      </c>
      <c r="AD47" s="101">
        <f t="shared" si="247"/>
        <v>0.77942737825594566</v>
      </c>
      <c r="AE47" s="101">
        <f t="shared" ref="AE47:AF47" si="248">(AE43-AE46)/AE43</f>
        <v>0.69973347753872306</v>
      </c>
      <c r="AF47" s="101">
        <f t="shared" si="248"/>
        <v>0.67528748559161234</v>
      </c>
      <c r="AG47" s="101">
        <f t="shared" ref="AG47" si="249">(AG43-AG46)/AG43</f>
        <v>0.74957742552679252</v>
      </c>
      <c r="AH47" s="145">
        <f t="shared" ref="AH47" si="250">(AH43-AH46)/AH43</f>
        <v>0.71771380263394657</v>
      </c>
    </row>
    <row r="48" spans="1:34" ht="15" thickTop="1" x14ac:dyDescent="0.3">
      <c r="A48" s="176" t="s">
        <v>112</v>
      </c>
      <c r="B48" s="99" t="s">
        <v>376</v>
      </c>
      <c r="C48" s="98">
        <f>SALES!FN48/1.2</f>
        <v>12184.625</v>
      </c>
      <c r="D48" s="98">
        <f>SALES!FO48/1.2</f>
        <v>9487.2916666666679</v>
      </c>
      <c r="E48" s="98">
        <f>SALES!FP48/1.2</f>
        <v>7596.041666666667</v>
      </c>
      <c r="F48" s="98">
        <f>SALES!FQ48/1.2</f>
        <v>10391.375</v>
      </c>
      <c r="G48" s="98">
        <f>SALES!FR48/1.2</f>
        <v>10449.216666666667</v>
      </c>
      <c r="H48" s="98">
        <f>SALES!FS48/1.2</f>
        <v>10020.833333333334</v>
      </c>
      <c r="I48" s="98">
        <f>SALES!FT48/1.2</f>
        <v>10779.225</v>
      </c>
      <c r="J48" s="98">
        <f>SALES!FU48/1.2</f>
        <v>11398.916666666668</v>
      </c>
      <c r="K48" s="98">
        <f>SALES!FV48/1.2</f>
        <v>11518.033333333333</v>
      </c>
      <c r="L48" s="98">
        <f>SALES!FW48/1.2</f>
        <v>13292.674999999999</v>
      </c>
      <c r="M48" s="98">
        <f>SALES!FX48/1.2</f>
        <v>15697.008333333333</v>
      </c>
      <c r="N48" s="98">
        <f>SALES!FY48/1.2</f>
        <v>11790.666666666666</v>
      </c>
      <c r="O48" s="98">
        <f>SALES!FZ48/1.2</f>
        <v>14671.666666666668</v>
      </c>
      <c r="P48" s="98">
        <f>SALES!GA48/1.2</f>
        <v>10943.708333333334</v>
      </c>
      <c r="Q48" s="98">
        <f>SALES!GB48/1.2</f>
        <v>11511.3</v>
      </c>
      <c r="R48" s="98">
        <f>SALES!GC48/1.2</f>
        <v>10412.466666666667</v>
      </c>
      <c r="S48" s="98">
        <f>SALES!GD48/1.2</f>
        <v>11987.625</v>
      </c>
      <c r="T48" s="98">
        <f>SALES!GE48/1.2</f>
        <v>9135.4333333333343</v>
      </c>
      <c r="U48" s="98">
        <f>SALES!GF48/1.2</f>
        <v>13056.233333333334</v>
      </c>
      <c r="V48" s="98">
        <f>SALES!GG48/1.2</f>
        <v>12656.25</v>
      </c>
      <c r="W48" s="98">
        <f>SALES!GH48/1.2</f>
        <v>10203.791666666666</v>
      </c>
      <c r="X48" s="98">
        <f>SALES!GI48/1.2</f>
        <v>10858.924999999999</v>
      </c>
      <c r="Y48" s="98">
        <f>SALES!GJ48/1.2</f>
        <v>12361.541666666668</v>
      </c>
      <c r="Z48" s="98">
        <f>SALES!GK48/1.2</f>
        <v>13480.958333333334</v>
      </c>
      <c r="AA48" s="98">
        <f>SALES!GL48/1.2</f>
        <v>12782.958333333334</v>
      </c>
      <c r="AB48" s="98">
        <f>SALES!GM48/1.2</f>
        <v>14466.458333333334</v>
      </c>
      <c r="AC48" s="98">
        <f>SALES!GN48/1.2</f>
        <v>14307.366666666667</v>
      </c>
      <c r="AD48" s="98">
        <f>SALES!GO48/1.2</f>
        <v>12635.291666666668</v>
      </c>
      <c r="AE48" s="98">
        <f>SALES!GP48/1.2</f>
        <v>14844.041666666666</v>
      </c>
      <c r="AF48" s="98">
        <f>SALES!GQ48/1.2</f>
        <v>16636.916666666668</v>
      </c>
      <c r="AG48" s="98">
        <f>SALES!GR48/1.2</f>
        <v>14398.208333333332</v>
      </c>
      <c r="AH48" s="144">
        <f>SUM(AC48:AG48)</f>
        <v>72821.824999999997</v>
      </c>
    </row>
    <row r="49" spans="1:34" x14ac:dyDescent="0.3">
      <c r="A49" s="176"/>
      <c r="B49" s="97" t="s">
        <v>372</v>
      </c>
      <c r="C49" s="96">
        <v>2101</v>
      </c>
      <c r="D49" s="96">
        <v>1572</v>
      </c>
      <c r="E49" s="96">
        <v>1320.48</v>
      </c>
      <c r="F49" s="96">
        <v>1999</v>
      </c>
      <c r="G49" s="96">
        <v>2157</v>
      </c>
      <c r="H49" s="96"/>
      <c r="I49" s="96">
        <v>2563</v>
      </c>
      <c r="J49" s="96">
        <v>2318</v>
      </c>
      <c r="K49" s="96">
        <v>2129</v>
      </c>
      <c r="L49" s="96">
        <v>3322</v>
      </c>
      <c r="M49" s="96">
        <v>3648</v>
      </c>
      <c r="N49" s="96">
        <v>1608</v>
      </c>
      <c r="O49" s="96">
        <v>2820</v>
      </c>
      <c r="P49" s="96">
        <v>2000</v>
      </c>
      <c r="Q49" s="96">
        <v>1832</v>
      </c>
      <c r="R49" s="96">
        <v>2012</v>
      </c>
      <c r="S49" s="96">
        <v>1746</v>
      </c>
      <c r="T49" s="96">
        <v>1746</v>
      </c>
      <c r="U49" s="96">
        <v>1692</v>
      </c>
      <c r="V49" s="96">
        <v>2147</v>
      </c>
      <c r="W49" s="96">
        <v>2338</v>
      </c>
      <c r="X49" s="96">
        <v>2006</v>
      </c>
      <c r="Y49" s="96">
        <v>2258</v>
      </c>
      <c r="Z49" s="96">
        <v>3117</v>
      </c>
      <c r="AA49" s="96">
        <v>2281</v>
      </c>
      <c r="AB49" s="96">
        <v>2600</v>
      </c>
      <c r="AC49" s="96">
        <v>2115</v>
      </c>
      <c r="AD49" s="96">
        <v>1833</v>
      </c>
      <c r="AE49" s="96">
        <v>2338</v>
      </c>
      <c r="AF49" s="96">
        <v>3693</v>
      </c>
      <c r="AG49" s="96">
        <v>2870.9</v>
      </c>
      <c r="AH49" s="59"/>
    </row>
    <row r="50" spans="1:34" x14ac:dyDescent="0.3">
      <c r="A50" s="176"/>
      <c r="B50" s="102" t="s">
        <v>373</v>
      </c>
      <c r="C50" s="103">
        <f>112+88+112+280+320+160</f>
        <v>1072</v>
      </c>
      <c r="D50" s="103">
        <v>656</v>
      </c>
      <c r="E50" s="103">
        <v>776</v>
      </c>
      <c r="F50" s="103">
        <v>1040</v>
      </c>
      <c r="G50" s="103">
        <v>912</v>
      </c>
      <c r="H50" s="103"/>
      <c r="I50" s="103">
        <v>984</v>
      </c>
      <c r="J50" s="103">
        <v>959</v>
      </c>
      <c r="K50" s="103">
        <v>880</v>
      </c>
      <c r="L50" s="103">
        <v>1280</v>
      </c>
      <c r="M50" s="103">
        <v>1560</v>
      </c>
      <c r="N50" s="103">
        <v>752</v>
      </c>
      <c r="O50" s="103">
        <v>500</v>
      </c>
      <c r="P50" s="103">
        <v>912</v>
      </c>
      <c r="Q50" s="103">
        <v>824</v>
      </c>
      <c r="R50" s="103"/>
      <c r="S50" s="103">
        <v>1032</v>
      </c>
      <c r="T50" s="103">
        <v>744</v>
      </c>
      <c r="U50" s="103">
        <v>960</v>
      </c>
      <c r="V50" s="103">
        <v>1320</v>
      </c>
      <c r="W50" s="103">
        <v>1040</v>
      </c>
      <c r="X50" s="103">
        <v>912</v>
      </c>
      <c r="Y50" s="103">
        <v>960</v>
      </c>
      <c r="Z50" s="103">
        <v>1280</v>
      </c>
      <c r="AA50" s="103">
        <v>992</v>
      </c>
      <c r="AB50" s="103">
        <v>1200</v>
      </c>
      <c r="AC50" s="103">
        <v>1240</v>
      </c>
      <c r="AD50" s="103">
        <v>1032</v>
      </c>
      <c r="AE50" s="103">
        <v>1120</v>
      </c>
      <c r="AF50" s="103">
        <f>AVERAGE(AA50:AE50)</f>
        <v>1116.8</v>
      </c>
      <c r="AG50" s="103">
        <f>AVERAGE(AB50:AF50)</f>
        <v>1141.76</v>
      </c>
      <c r="AH50" s="59"/>
    </row>
    <row r="51" spans="1:34" x14ac:dyDescent="0.3">
      <c r="A51" s="176"/>
      <c r="B51" s="99" t="s">
        <v>374</v>
      </c>
      <c r="C51" s="98">
        <f t="shared" ref="C51:H51" si="251">SUM(C49:C50)</f>
        <v>3173</v>
      </c>
      <c r="D51" s="98">
        <f t="shared" si="251"/>
        <v>2228</v>
      </c>
      <c r="E51" s="98">
        <f t="shared" si="251"/>
        <v>2096.48</v>
      </c>
      <c r="F51" s="98">
        <f t="shared" si="251"/>
        <v>3039</v>
      </c>
      <c r="G51" s="98">
        <f t="shared" si="251"/>
        <v>3069</v>
      </c>
      <c r="H51" s="98">
        <f t="shared" si="251"/>
        <v>0</v>
      </c>
      <c r="I51" s="98">
        <f t="shared" ref="I51:J51" si="252">SUM(I49:I50)</f>
        <v>3547</v>
      </c>
      <c r="J51" s="98">
        <f t="shared" si="252"/>
        <v>3277</v>
      </c>
      <c r="K51" s="98">
        <f t="shared" ref="K51:L51" si="253">SUM(K49:K50)</f>
        <v>3009</v>
      </c>
      <c r="L51" s="98">
        <f t="shared" si="253"/>
        <v>4602</v>
      </c>
      <c r="M51" s="98">
        <f t="shared" ref="M51:N51" si="254">SUM(M49:M50)</f>
        <v>5208</v>
      </c>
      <c r="N51" s="98">
        <f t="shared" si="254"/>
        <v>2360</v>
      </c>
      <c r="O51" s="98">
        <f t="shared" ref="O51" si="255">SUM(O49:O50)</f>
        <v>3320</v>
      </c>
      <c r="P51" s="98">
        <f t="shared" ref="P51:W51" si="256">SUM(P49:P50)</f>
        <v>2912</v>
      </c>
      <c r="Q51" s="98">
        <f t="shared" si="256"/>
        <v>2656</v>
      </c>
      <c r="R51" s="98">
        <f t="shared" si="256"/>
        <v>2012</v>
      </c>
      <c r="S51" s="98">
        <f t="shared" si="256"/>
        <v>2778</v>
      </c>
      <c r="T51" s="98">
        <f t="shared" si="256"/>
        <v>2490</v>
      </c>
      <c r="U51" s="98">
        <f t="shared" si="256"/>
        <v>2652</v>
      </c>
      <c r="V51" s="98">
        <f t="shared" si="256"/>
        <v>3467</v>
      </c>
      <c r="W51" s="98">
        <f t="shared" si="256"/>
        <v>3378</v>
      </c>
      <c r="X51" s="98">
        <f t="shared" ref="X51:Y51" si="257">SUM(X49:X50)</f>
        <v>2918</v>
      </c>
      <c r="Y51" s="98">
        <f t="shared" si="257"/>
        <v>3218</v>
      </c>
      <c r="Z51" s="98">
        <f t="shared" ref="Z51:AA51" si="258">SUM(Z49:Z50)</f>
        <v>4397</v>
      </c>
      <c r="AA51" s="98">
        <f t="shared" si="258"/>
        <v>3273</v>
      </c>
      <c r="AB51" s="98">
        <f t="shared" ref="AB51" si="259">SUM(AB49:AB50)</f>
        <v>3800</v>
      </c>
      <c r="AC51" s="98">
        <f t="shared" ref="AC51:AD51" si="260">SUM(AC49:AC50)</f>
        <v>3355</v>
      </c>
      <c r="AD51" s="98">
        <f t="shared" si="260"/>
        <v>2865</v>
      </c>
      <c r="AE51" s="98">
        <f t="shared" ref="AE51:AF51" si="261">SUM(AE49:AE50)</f>
        <v>3458</v>
      </c>
      <c r="AF51" s="98">
        <f t="shared" si="261"/>
        <v>4809.8</v>
      </c>
      <c r="AG51" s="98">
        <f t="shared" ref="AG51" si="262">SUM(AG49:AG50)</f>
        <v>4012.66</v>
      </c>
      <c r="AH51" s="144">
        <f>SUM(AC51:AG51)</f>
        <v>18500.46</v>
      </c>
    </row>
    <row r="52" spans="1:34" ht="15" thickBot="1" x14ac:dyDescent="0.35">
      <c r="A52" s="176"/>
      <c r="B52" s="100" t="s">
        <v>378</v>
      </c>
      <c r="C52" s="101">
        <f t="shared" ref="C52:H52" si="263">(C48-C51)/C48</f>
        <v>0.73958985196507898</v>
      </c>
      <c r="D52" s="101">
        <f t="shared" si="263"/>
        <v>0.76515953358659616</v>
      </c>
      <c r="E52" s="101">
        <f t="shared" si="263"/>
        <v>0.7240036203066289</v>
      </c>
      <c r="F52" s="101">
        <f t="shared" si="263"/>
        <v>0.7075459214973957</v>
      </c>
      <c r="G52" s="101">
        <f t="shared" si="263"/>
        <v>0.70629377321745013</v>
      </c>
      <c r="H52" s="101">
        <f t="shared" si="263"/>
        <v>1</v>
      </c>
      <c r="I52" s="101">
        <f t="shared" ref="I52:J52" si="264">(I48-I51)/I48</f>
        <v>0.67094109270378899</v>
      </c>
      <c r="J52" s="101">
        <f t="shared" si="264"/>
        <v>0.71251654031450362</v>
      </c>
      <c r="K52" s="101">
        <f t="shared" ref="K52:L52" si="265">(K48-K51)/K48</f>
        <v>0.73875748464002822</v>
      </c>
      <c r="L52" s="101">
        <f t="shared" si="265"/>
        <v>0.65379428895989711</v>
      </c>
      <c r="M52" s="101">
        <f t="shared" ref="M52:N52" si="266">(M48-M51)/M48</f>
        <v>0.66821703286348089</v>
      </c>
      <c r="N52" s="101">
        <f t="shared" si="266"/>
        <v>0.79984168268687095</v>
      </c>
      <c r="O52" s="101">
        <f t="shared" ref="O52:P52" si="267">(O48-O51)/O48</f>
        <v>0.77371350675905948</v>
      </c>
      <c r="P52" s="101">
        <f t="shared" si="267"/>
        <v>0.73391103716366712</v>
      </c>
      <c r="Q52" s="101">
        <f t="shared" ref="Q52:R52" si="268">(Q48-Q51)/Q48</f>
        <v>0.76927019537324193</v>
      </c>
      <c r="R52" s="101">
        <f t="shared" si="268"/>
        <v>0.80677008970016717</v>
      </c>
      <c r="S52" s="101">
        <f t="shared" ref="S52:W52" si="269">(S48-S51)/S48</f>
        <v>0.76826101917602529</v>
      </c>
      <c r="T52" s="101">
        <f t="shared" si="269"/>
        <v>0.72743493284390814</v>
      </c>
      <c r="U52" s="101">
        <f t="shared" si="269"/>
        <v>0.79687863013069105</v>
      </c>
      <c r="V52" s="101">
        <f t="shared" si="269"/>
        <v>0.72606419753086415</v>
      </c>
      <c r="W52" s="101">
        <f t="shared" si="269"/>
        <v>0.66894659256567202</v>
      </c>
      <c r="X52" s="101">
        <f t="shared" ref="X52:Y52" si="270">(X48-X51)/X48</f>
        <v>0.73128095092285839</v>
      </c>
      <c r="Y52" s="101">
        <f t="shared" si="270"/>
        <v>0.73967648317867585</v>
      </c>
      <c r="Z52" s="101">
        <f t="shared" ref="Z52" si="271">(Z48-Z51)/Z48</f>
        <v>0.67383624433228351</v>
      </c>
      <c r="AA52" s="101">
        <f t="shared" ref="AA52:AB52" si="272">(AA48-AA51)/AA48</f>
        <v>0.74395598306338839</v>
      </c>
      <c r="AB52" s="101">
        <f t="shared" si="272"/>
        <v>0.73732340615504255</v>
      </c>
      <c r="AC52" s="101">
        <f t="shared" ref="AC52:AD52" si="273">(AC48-AC51)/AC48</f>
        <v>0.76550541562505092</v>
      </c>
      <c r="AD52" s="101">
        <f t="shared" si="273"/>
        <v>0.7732541459602239</v>
      </c>
      <c r="AE52" s="101">
        <f t="shared" ref="AE52:AF52" si="274">(AE48-AE51)/AE48</f>
        <v>0.76704457736970777</v>
      </c>
      <c r="AF52" s="101">
        <f t="shared" si="274"/>
        <v>0.71089594926944599</v>
      </c>
      <c r="AG52" s="101">
        <f t="shared" ref="AG52" si="275">(AG48-AG51)/AG48</f>
        <v>0.72130838038297584</v>
      </c>
      <c r="AH52" s="145">
        <f t="shared" ref="AH52" si="276">(AH48-AH51)/AH48</f>
        <v>0.74594896516257314</v>
      </c>
    </row>
    <row r="53" spans="1:34" ht="15" thickTop="1" x14ac:dyDescent="0.3">
      <c r="A53" s="177" t="s">
        <v>377</v>
      </c>
      <c r="B53" s="99" t="s">
        <v>376</v>
      </c>
      <c r="C53" s="98">
        <f t="shared" ref="C53:D55" si="277">C3+C8+C13+C18+C23+C28+C33+C38+C43+C48</f>
        <v>116551.62500000001</v>
      </c>
      <c r="D53" s="98">
        <f t="shared" si="277"/>
        <v>108755.50000000001</v>
      </c>
      <c r="E53" s="98">
        <f t="shared" ref="E53:F53" si="278">E3+E8+E13+E18+E23+E28+E33+E38+E43+E48</f>
        <v>123361.76666666668</v>
      </c>
      <c r="F53" s="98">
        <f t="shared" si="278"/>
        <v>120568.625</v>
      </c>
      <c r="G53" s="98">
        <f t="shared" ref="G53:H53" si="279">G3+G8+G13+G18+G23+G28+G33+G38+G43+G48</f>
        <v>112335.75833333333</v>
      </c>
      <c r="H53" s="98">
        <f t="shared" si="279"/>
        <v>117689.91666666667</v>
      </c>
      <c r="I53" s="98">
        <f t="shared" ref="I53:J53" si="280">I3+I8+I13+I18+I23+I28+I33+I38+I43+I48</f>
        <v>117825.64166666668</v>
      </c>
      <c r="J53" s="98">
        <f t="shared" si="280"/>
        <v>121809.95833333334</v>
      </c>
      <c r="K53" s="98">
        <f t="shared" ref="K53:L53" si="281">K3+K8+K13+K18+K23+K28+K33+K38+K43+K48</f>
        <v>124821.07500000001</v>
      </c>
      <c r="L53" s="98">
        <f t="shared" si="281"/>
        <v>140459.17499999999</v>
      </c>
      <c r="M53" s="98">
        <f t="shared" ref="M53:N53" si="282">M3+M8+M13+M18+M23+M28+M33+M38+M43+M48</f>
        <v>147066.58333333334</v>
      </c>
      <c r="N53" s="98">
        <f t="shared" si="282"/>
        <v>125487.58333333334</v>
      </c>
      <c r="O53" s="98">
        <f t="shared" ref="O53:P53" si="283">O3+O8+O13+O18+O23+O28+O33+O38+O43+O48</f>
        <v>190921.29166666666</v>
      </c>
      <c r="P53" s="98">
        <f t="shared" si="283"/>
        <v>87848.891666666663</v>
      </c>
      <c r="Q53" s="98">
        <f t="shared" ref="Q53:R53" si="284">Q3+Q8+Q13+Q18+Q23+Q28+Q33+Q38+Q43+Q48</f>
        <v>101472.10833333335</v>
      </c>
      <c r="R53" s="98">
        <f t="shared" si="284"/>
        <v>94915.841666666674</v>
      </c>
      <c r="S53" s="98">
        <f t="shared" ref="S53" si="285">S3+S8+S13+S18+S23+S28+S33+S38+S43+S48</f>
        <v>113153.5</v>
      </c>
      <c r="T53" s="98">
        <f t="shared" ref="T53:Y53" si="286">T3+T8+T13+T18+T23+U28+T33+T38+T43+T48</f>
        <v>106445.23333333335</v>
      </c>
      <c r="U53" s="98">
        <f t="shared" si="286"/>
        <v>115074.56666666668</v>
      </c>
      <c r="V53" s="98">
        <f t="shared" si="286"/>
        <v>121950.23333333334</v>
      </c>
      <c r="W53" s="98">
        <f t="shared" si="286"/>
        <v>106851.10833333334</v>
      </c>
      <c r="X53" s="98">
        <f t="shared" si="286"/>
        <v>116937.15000000001</v>
      </c>
      <c r="Y53" s="98">
        <f t="shared" si="286"/>
        <v>134886.93333333335</v>
      </c>
      <c r="Z53" s="98">
        <f>Z3+Z8+Z13+Z18+Z23+Z28+Z33+Z38+Z43+Z48</f>
        <v>120277.075</v>
      </c>
      <c r="AA53" s="98">
        <f t="shared" ref="AA53:AB53" si="287">AA3+AA8+AA13+AA18+AA23+AA28+AA33+AA38+AA43+AA48</f>
        <v>115572.23333333335</v>
      </c>
      <c r="AB53" s="98">
        <f t="shared" si="287"/>
        <v>159206.08333333334</v>
      </c>
      <c r="AC53" s="98">
        <f t="shared" ref="AC53:AD53" si="288">AC3+AC8+AC13+AC18+AC23+AC28+AC33+AC38+AC43+AC48</f>
        <v>150617.45833333334</v>
      </c>
      <c r="AD53" s="98">
        <f t="shared" si="288"/>
        <v>130705.21666666667</v>
      </c>
      <c r="AE53" s="98">
        <f t="shared" ref="AE53:AF53" si="289">AE3+AE8+AE13+AE18+AE23+AE28+AE33+AE38+AE43+AE48</f>
        <v>131011.075</v>
      </c>
      <c r="AF53" s="98">
        <f t="shared" si="289"/>
        <v>144190.25833333333</v>
      </c>
      <c r="AG53" s="98">
        <f t="shared" ref="AG53" si="290">AG3+AG8+AG13+AG18+AG23+AG28+AG33+AG38+AG43+AG48</f>
        <v>137555.51666666669</v>
      </c>
      <c r="AH53" s="144">
        <f>SUM(AC53:AG53)</f>
        <v>694079.52500000014</v>
      </c>
    </row>
    <row r="54" spans="1:34" x14ac:dyDescent="0.3">
      <c r="A54" s="177"/>
      <c r="B54" s="97" t="s">
        <v>372</v>
      </c>
      <c r="C54" s="131">
        <f t="shared" si="277"/>
        <v>33228</v>
      </c>
      <c r="D54" s="131">
        <f t="shared" si="277"/>
        <v>32535</v>
      </c>
      <c r="E54" s="131">
        <f t="shared" ref="E54:F54" si="291">E4+E9+E14+E19+E24+E29+E34+E39+E44+E49</f>
        <v>33041.08</v>
      </c>
      <c r="F54" s="131">
        <f t="shared" si="291"/>
        <v>34350</v>
      </c>
      <c r="G54" s="131">
        <f t="shared" ref="G54:H54" si="292">G4+G9+G14+G19+G24+G29+G34+G39+G44+G49</f>
        <v>34083</v>
      </c>
      <c r="H54" s="131">
        <f t="shared" si="292"/>
        <v>27346</v>
      </c>
      <c r="I54" s="131">
        <f t="shared" ref="I54:J54" si="293">I4+I9+I14+I19+I24+I29+I34+I39+I44+I49</f>
        <v>37237</v>
      </c>
      <c r="J54" s="131">
        <f t="shared" si="293"/>
        <v>34955</v>
      </c>
      <c r="K54" s="131">
        <f t="shared" ref="K54:L54" si="294">K4+K9+K14+K19+K24+K29+K34+K39+K44+K49</f>
        <v>39624</v>
      </c>
      <c r="L54" s="131">
        <f t="shared" si="294"/>
        <v>42405</v>
      </c>
      <c r="M54" s="131">
        <f t="shared" ref="M54:N54" si="295">M4+M9+M14+M19+M24+M29+M34+M39+M44+M49</f>
        <v>49828</v>
      </c>
      <c r="N54" s="131">
        <f t="shared" si="295"/>
        <v>30544</v>
      </c>
      <c r="O54" s="131">
        <f t="shared" ref="O54" si="296">O4+O9+O14+O19+O24+O29+O34+O39+O44+O49</f>
        <v>51500</v>
      </c>
      <c r="P54" s="131">
        <f t="shared" ref="P54:R55" si="297">P4+P9+P14+P19+P24+P29+P34+P39+P44+P49</f>
        <v>25737</v>
      </c>
      <c r="Q54" s="131">
        <f t="shared" si="297"/>
        <v>26995</v>
      </c>
      <c r="R54" s="131">
        <f t="shared" si="297"/>
        <v>27871</v>
      </c>
      <c r="S54" s="131">
        <f t="shared" ref="S54:W54" si="298">S4+S9+S14+S19+S24+S29+S34+S39+S44+S49</f>
        <v>32025</v>
      </c>
      <c r="T54" s="131">
        <f t="shared" si="298"/>
        <v>29278</v>
      </c>
      <c r="U54" s="131">
        <f t="shared" si="298"/>
        <v>31867</v>
      </c>
      <c r="V54" s="131">
        <f t="shared" si="298"/>
        <v>33496</v>
      </c>
      <c r="W54" s="131">
        <f t="shared" si="298"/>
        <v>30881</v>
      </c>
      <c r="X54" s="131">
        <f t="shared" ref="X54:Y54" si="299">X4+X9+X14+X19+X24+X29+X34+X39+X44+X49</f>
        <v>31712</v>
      </c>
      <c r="Y54" s="131">
        <f t="shared" si="299"/>
        <v>41720</v>
      </c>
      <c r="Z54" s="131">
        <f t="shared" ref="Z54:AA54" si="300">Z4+Z9+Z14+Z19+Z24+Z29+Z34+Z39+Z44+Z49</f>
        <v>38059</v>
      </c>
      <c r="AA54" s="131">
        <f t="shared" si="300"/>
        <v>33673</v>
      </c>
      <c r="AB54" s="131">
        <f t="shared" ref="AB54" si="301">AB4+AB9+AB14+AB19+AB24+AB29+AB34+AB39+AB44+AB49</f>
        <v>51678</v>
      </c>
      <c r="AC54" s="131">
        <f t="shared" ref="AC54:AD54" si="302">AC4+AC9+AC14+AC19+AC24+AC29+AC34+AC39+AC44+AC49</f>
        <v>38589</v>
      </c>
      <c r="AD54" s="131">
        <f t="shared" si="302"/>
        <v>35557</v>
      </c>
      <c r="AE54" s="131">
        <f t="shared" ref="AE54:AF54" si="303">AE4+AE9+AE14+AE19+AE24+AE29+AE34+AE39+AE44+AE49</f>
        <v>36177</v>
      </c>
      <c r="AF54" s="131">
        <f t="shared" si="303"/>
        <v>46348</v>
      </c>
      <c r="AG54" s="131">
        <f t="shared" ref="AG54" si="304">AG4+AG9+AG14+AG19+AG24+AG29+AG34+AG39+AG44+AG49</f>
        <v>33879.769999999997</v>
      </c>
      <c r="AH54" s="59"/>
    </row>
    <row r="55" spans="1:34" x14ac:dyDescent="0.3">
      <c r="A55" s="177"/>
      <c r="B55" s="102" t="s">
        <v>373</v>
      </c>
      <c r="C55" s="128">
        <f t="shared" si="277"/>
        <v>1380</v>
      </c>
      <c r="D55" s="128">
        <f t="shared" si="277"/>
        <v>1148.5</v>
      </c>
      <c r="E55" s="128">
        <f t="shared" ref="E55:F55" si="305">E5+E10+E15+E20+E25+E30+E35+E40+E45+E50</f>
        <v>1449.5</v>
      </c>
      <c r="F55" s="128">
        <f t="shared" si="305"/>
        <v>1993.5</v>
      </c>
      <c r="G55" s="128">
        <f t="shared" ref="G55:H55" si="306">G5+G10+G15+G20+G25+G30+G35+G40+G45+G50</f>
        <v>1338.5</v>
      </c>
      <c r="H55" s="128">
        <f t="shared" si="306"/>
        <v>1281</v>
      </c>
      <c r="I55" s="128">
        <f t="shared" ref="I55:J55" si="307">I5+I10+I15+I20+I25+I30+I35+I40+I45+I50</f>
        <v>509</v>
      </c>
      <c r="J55" s="128">
        <f t="shared" si="307"/>
        <v>1957</v>
      </c>
      <c r="K55" s="128">
        <f t="shared" ref="K55:L55" si="308">K5+K10+K15+K20+K25+K30+K35+K40+K45+K50</f>
        <v>1931</v>
      </c>
      <c r="L55" s="128">
        <f t="shared" si="308"/>
        <v>1117.5</v>
      </c>
      <c r="M55" s="128">
        <f t="shared" ref="M55:N55" si="309">M5+M10+M15+M20+M25+M30+M35+M40+M45+M50</f>
        <v>1322</v>
      </c>
      <c r="N55" s="128">
        <f t="shared" si="309"/>
        <v>929</v>
      </c>
      <c r="O55" s="128">
        <f t="shared" ref="O55" si="310">O5+O10+O15+O20+O25+O30+O35+O40+O45+O50</f>
        <v>1911.5</v>
      </c>
      <c r="P55" s="128">
        <f t="shared" si="297"/>
        <v>108.5</v>
      </c>
      <c r="Q55" s="128">
        <f t="shared" si="297"/>
        <v>1355</v>
      </c>
      <c r="R55" s="128">
        <f t="shared" si="297"/>
        <v>-1355</v>
      </c>
      <c r="S55" s="128">
        <f t="shared" ref="S55:W55" si="311">S5+S10+S15+S20+S25+S30+S35+S40+S45+S50</f>
        <v>1549</v>
      </c>
      <c r="T55" s="128">
        <f t="shared" si="311"/>
        <v>1480.5</v>
      </c>
      <c r="U55" s="128">
        <f t="shared" si="311"/>
        <v>1615</v>
      </c>
      <c r="V55" s="128">
        <f t="shared" si="311"/>
        <v>2059.5</v>
      </c>
      <c r="W55" s="128">
        <f t="shared" si="311"/>
        <v>1653</v>
      </c>
      <c r="X55" s="128">
        <f t="shared" ref="X55:Y55" si="312">X5+X10+X15+X20+X25+X30+X35+X40+X45+X50</f>
        <v>1876.5</v>
      </c>
      <c r="Y55" s="128">
        <f t="shared" si="312"/>
        <v>1474</v>
      </c>
      <c r="Z55" s="128">
        <f t="shared" ref="Z55:AA55" si="313">Z5+Z10+Z15+Z20+Z25+Z30+Z35+Z40+Z45+Z50</f>
        <v>1914</v>
      </c>
      <c r="AA55" s="128">
        <f t="shared" si="313"/>
        <v>1693</v>
      </c>
      <c r="AB55" s="128">
        <f t="shared" ref="AB55" si="314">AB5+AB10+AB15+AB20+AB25+AB30+AB35+AB40+AB45+AB50</f>
        <v>2349.5</v>
      </c>
      <c r="AC55" s="128">
        <f t="shared" ref="AC55:AD55" si="315">AC5+AC10+AC15+AC20+AC25+AC30+AC35+AC40+AC45+AC50</f>
        <v>1807.5</v>
      </c>
      <c r="AD55" s="128">
        <f t="shared" si="315"/>
        <v>1848</v>
      </c>
      <c r="AE55" s="128">
        <f t="shared" ref="AE55:AF55" si="316">AE5+AE10+AE15+AE20+AE25+AE30+AE35+AE40+AE45+AE50</f>
        <v>1743</v>
      </c>
      <c r="AF55" s="128">
        <f t="shared" si="316"/>
        <v>1913.2249999999995</v>
      </c>
      <c r="AG55" s="128">
        <f t="shared" ref="AG55" si="317">AG5+AG10+AG15+AG20+AG25+AG30+AG35+AG40+AG45+AG50</f>
        <v>1932.2450000000003</v>
      </c>
      <c r="AH55" s="59"/>
    </row>
    <row r="56" spans="1:34" x14ac:dyDescent="0.3">
      <c r="A56" s="177"/>
      <c r="B56" s="99" t="s">
        <v>374</v>
      </c>
      <c r="C56" s="98">
        <f t="shared" ref="C56:H56" si="318">C54+C55</f>
        <v>34608</v>
      </c>
      <c r="D56" s="98">
        <f t="shared" si="318"/>
        <v>33683.5</v>
      </c>
      <c r="E56" s="98">
        <f t="shared" si="318"/>
        <v>34490.58</v>
      </c>
      <c r="F56" s="98">
        <f t="shared" si="318"/>
        <v>36343.5</v>
      </c>
      <c r="G56" s="98">
        <f t="shared" si="318"/>
        <v>35421.5</v>
      </c>
      <c r="H56" s="98">
        <f t="shared" si="318"/>
        <v>28627</v>
      </c>
      <c r="I56" s="98">
        <f t="shared" ref="I56:J56" si="319">I54+I55</f>
        <v>37746</v>
      </c>
      <c r="J56" s="98">
        <f t="shared" si="319"/>
        <v>36912</v>
      </c>
      <c r="K56" s="98">
        <f t="shared" ref="K56:L56" si="320">K54+K55</f>
        <v>41555</v>
      </c>
      <c r="L56" s="98">
        <f t="shared" si="320"/>
        <v>43522.5</v>
      </c>
      <c r="M56" s="98">
        <f t="shared" ref="M56:N56" si="321">M54+M55</f>
        <v>51150</v>
      </c>
      <c r="N56" s="98">
        <f t="shared" si="321"/>
        <v>31473</v>
      </c>
      <c r="O56" s="98">
        <f t="shared" ref="O56:P56" si="322">O54+O55</f>
        <v>53411.5</v>
      </c>
      <c r="P56" s="98">
        <f t="shared" si="322"/>
        <v>25845.5</v>
      </c>
      <c r="Q56" s="98">
        <f t="shared" ref="Q56:R56" si="323">Q54+Q55</f>
        <v>28350</v>
      </c>
      <c r="R56" s="98">
        <f t="shared" si="323"/>
        <v>26516</v>
      </c>
      <c r="S56" s="98">
        <f t="shared" ref="S56:W56" si="324">S54+S55</f>
        <v>33574</v>
      </c>
      <c r="T56" s="98">
        <f t="shared" si="324"/>
        <v>30758.5</v>
      </c>
      <c r="U56" s="98">
        <f t="shared" si="324"/>
        <v>33482</v>
      </c>
      <c r="V56" s="98">
        <f t="shared" si="324"/>
        <v>35555.5</v>
      </c>
      <c r="W56" s="98">
        <f t="shared" si="324"/>
        <v>32534</v>
      </c>
      <c r="X56" s="98">
        <f t="shared" ref="X56:Y56" si="325">X54+X55</f>
        <v>33588.5</v>
      </c>
      <c r="Y56" s="98">
        <f t="shared" si="325"/>
        <v>43194</v>
      </c>
      <c r="Z56" s="98">
        <f t="shared" ref="Z56:AA56" si="326">Z54+Z55</f>
        <v>39973</v>
      </c>
      <c r="AA56" s="98">
        <f t="shared" si="326"/>
        <v>35366</v>
      </c>
      <c r="AB56" s="98">
        <f t="shared" ref="AB56" si="327">AB54+AB55</f>
        <v>54027.5</v>
      </c>
      <c r="AC56" s="98">
        <f t="shared" ref="AC56:AD56" si="328">AC54+AC55</f>
        <v>40396.5</v>
      </c>
      <c r="AD56" s="98">
        <f t="shared" si="328"/>
        <v>37405</v>
      </c>
      <c r="AE56" s="98">
        <f t="shared" ref="AE56:AF56" si="329">AE54+AE55</f>
        <v>37920</v>
      </c>
      <c r="AF56" s="98">
        <f t="shared" si="329"/>
        <v>48261.224999999999</v>
      </c>
      <c r="AG56" s="98">
        <f t="shared" ref="AG56" si="330">AG54+AG55</f>
        <v>35812.014999999999</v>
      </c>
      <c r="AH56" s="144">
        <f>SUM(AC56:AG56)</f>
        <v>199794.74</v>
      </c>
    </row>
    <row r="57" spans="1:34" ht="15" thickBot="1" x14ac:dyDescent="0.35">
      <c r="A57" s="177"/>
      <c r="B57" s="100" t="s">
        <v>378</v>
      </c>
      <c r="C57" s="101">
        <f t="shared" ref="C57:H57" si="331">(C53-C56)/C53</f>
        <v>0.70306720305272452</v>
      </c>
      <c r="D57" s="101">
        <f t="shared" si="331"/>
        <v>0.69028233054879984</v>
      </c>
      <c r="E57" s="101">
        <f t="shared" si="331"/>
        <v>0.72041110522357954</v>
      </c>
      <c r="F57" s="101">
        <f t="shared" si="331"/>
        <v>0.69856585824048334</v>
      </c>
      <c r="G57" s="101">
        <f t="shared" si="331"/>
        <v>0.68468188112556327</v>
      </c>
      <c r="H57" s="101">
        <f t="shared" si="331"/>
        <v>0.75675911062899048</v>
      </c>
      <c r="I57" s="101">
        <f t="shared" ref="I57:J57" si="332">(I53-I56)/I53</f>
        <v>0.67964528377630307</v>
      </c>
      <c r="J57" s="101">
        <f t="shared" si="332"/>
        <v>0.69697058840632564</v>
      </c>
      <c r="K57" s="101">
        <f t="shared" ref="K57:L57" si="333">(K53-K56)/K53</f>
        <v>0.66708346326932377</v>
      </c>
      <c r="L57" s="101">
        <f t="shared" si="333"/>
        <v>0.69014128126553498</v>
      </c>
      <c r="M57" s="101">
        <f t="shared" ref="M57:N57" si="334">(M53-M56)/M53</f>
        <v>0.65219835233360857</v>
      </c>
      <c r="N57" s="101">
        <f t="shared" si="334"/>
        <v>0.74919430939714493</v>
      </c>
      <c r="O57" s="101">
        <f t="shared" ref="O57:P57" si="335">(O53-O56)/O53</f>
        <v>0.72024335508240633</v>
      </c>
      <c r="P57" s="101">
        <f t="shared" si="335"/>
        <v>0.70579594677109847</v>
      </c>
      <c r="Q57" s="101">
        <f t="shared" ref="Q57:R57" si="336">(Q53-Q56)/Q53</f>
        <v>0.72061288106017318</v>
      </c>
      <c r="R57" s="101">
        <f t="shared" si="336"/>
        <v>0.72063672897595865</v>
      </c>
      <c r="S57" s="101">
        <f t="shared" ref="S57:W57" si="337">(S53-S56)/S53</f>
        <v>0.70328801141811792</v>
      </c>
      <c r="T57" s="101">
        <f t="shared" si="337"/>
        <v>0.71103919793496317</v>
      </c>
      <c r="U57" s="101">
        <f t="shared" si="337"/>
        <v>0.70904083352330682</v>
      </c>
      <c r="V57" s="101">
        <f t="shared" si="337"/>
        <v>0.70844254227202519</v>
      </c>
      <c r="W57" s="101">
        <f t="shared" si="337"/>
        <v>0.69552023832540188</v>
      </c>
      <c r="X57" s="101">
        <f t="shared" ref="X57:Y57" si="338">(X53-X56)/X53</f>
        <v>0.71276450640365363</v>
      </c>
      <c r="Y57" s="101">
        <f t="shared" si="338"/>
        <v>0.67977624716799856</v>
      </c>
      <c r="Z57" s="101">
        <f t="shared" ref="Z57" si="339">(Z53-Z56)/Z53</f>
        <v>0.66765902812318967</v>
      </c>
      <c r="AA57" s="101">
        <f t="shared" ref="AA57:AB57" si="340">(AA53-AA56)/AA53</f>
        <v>0.69399224208121502</v>
      </c>
      <c r="AB57" s="101">
        <f t="shared" si="340"/>
        <v>0.66064424883261896</v>
      </c>
      <c r="AC57" s="101">
        <f t="shared" ref="AC57:AD57" si="341">(AC53-AC56)/AC53</f>
        <v>0.73179404003353976</v>
      </c>
      <c r="AD57" s="101">
        <f t="shared" si="341"/>
        <v>0.71382167480435943</v>
      </c>
      <c r="AE57" s="101">
        <f t="shared" ref="AE57:AF57" si="342">(AE53-AE56)/AE53</f>
        <v>0.71055882107676771</v>
      </c>
      <c r="AF57" s="101">
        <f t="shared" si="342"/>
        <v>0.6652948294992882</v>
      </c>
      <c r="AG57" s="101">
        <f t="shared" ref="AG57" si="343">(AG53-AG56)/AG53</f>
        <v>0.73965409844825081</v>
      </c>
      <c r="AH57" s="145">
        <f t="shared" ref="AH57" si="344">(AH53-AH56)/AH53</f>
        <v>0.71214431084103802</v>
      </c>
    </row>
    <row r="58" spans="1:34" ht="15" thickTop="1" x14ac:dyDescent="0.3"/>
    <row r="59" spans="1:34" x14ac:dyDescent="0.3">
      <c r="B59" t="s">
        <v>394</v>
      </c>
      <c r="K59">
        <v>1900</v>
      </c>
    </row>
  </sheetData>
  <mergeCells count="11">
    <mergeCell ref="A28:A32"/>
    <mergeCell ref="A3:A7"/>
    <mergeCell ref="A8:A12"/>
    <mergeCell ref="A13:A17"/>
    <mergeCell ref="A18:A22"/>
    <mergeCell ref="A23:A27"/>
    <mergeCell ref="A33:A37"/>
    <mergeCell ref="A38:A42"/>
    <mergeCell ref="A43:A47"/>
    <mergeCell ref="A48:A52"/>
    <mergeCell ref="A53:A57"/>
  </mergeCells>
  <conditionalFormatting sqref="C57:AH57 C7:AH7 C12:AH12 C22:AH22 C27:AH27 C32:AH32 C37:AH37 C47:AH47 C52:AH52 C42:AH42 C17:AH17">
    <cfRule type="colorScale" priority="10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A8C4-5657-422E-8B88-990528CFDE72}">
  <sheetPr>
    <tabColor theme="4" tint="0.59999389629810485"/>
    <pageSetUpPr fitToPage="1"/>
  </sheetPr>
  <dimension ref="A1:AG83"/>
  <sheetViews>
    <sheetView workbookViewId="0">
      <pane xSplit="2" ySplit="2" topLeftCell="Y72" activePane="bottomRight" state="frozen"/>
      <selection pane="topRight" activeCell="C1" sqref="C1"/>
      <selection pane="bottomLeft" activeCell="A3" sqref="A3"/>
      <selection pane="bottomRight" activeCell="AJ17" sqref="AJ17"/>
    </sheetView>
  </sheetViews>
  <sheetFormatPr defaultRowHeight="14.4" x14ac:dyDescent="0.3"/>
  <cols>
    <col min="2" max="2" width="19.5546875" customWidth="1"/>
    <col min="3" max="33" width="11.44140625" customWidth="1"/>
  </cols>
  <sheetData>
    <row r="1" spans="1:33" x14ac:dyDescent="0.3">
      <c r="B1" s="1" t="s">
        <v>381</v>
      </c>
      <c r="C1" s="1">
        <v>10</v>
      </c>
      <c r="D1" s="1">
        <v>11</v>
      </c>
      <c r="E1" s="1">
        <v>12</v>
      </c>
      <c r="F1" s="1">
        <v>13</v>
      </c>
      <c r="G1" s="1">
        <v>14</v>
      </c>
      <c r="H1" s="1">
        <v>15</v>
      </c>
      <c r="I1" s="1">
        <v>16</v>
      </c>
      <c r="J1" s="1">
        <v>17</v>
      </c>
      <c r="K1" s="1">
        <v>18</v>
      </c>
      <c r="L1" s="1">
        <v>19</v>
      </c>
      <c r="M1" s="1">
        <v>20</v>
      </c>
      <c r="N1" s="1">
        <v>21</v>
      </c>
      <c r="O1" s="1">
        <v>22</v>
      </c>
      <c r="P1" s="1">
        <v>23</v>
      </c>
      <c r="Q1" s="1">
        <v>24</v>
      </c>
      <c r="R1" s="1">
        <v>25</v>
      </c>
      <c r="S1" s="1">
        <v>26</v>
      </c>
      <c r="T1" s="1">
        <v>27</v>
      </c>
      <c r="U1" s="1">
        <v>28</v>
      </c>
      <c r="V1" s="1">
        <v>29</v>
      </c>
      <c r="W1" s="1">
        <v>30</v>
      </c>
      <c r="X1" s="1">
        <v>31</v>
      </c>
      <c r="Y1" s="1">
        <v>32</v>
      </c>
      <c r="Z1" s="1">
        <v>33</v>
      </c>
      <c r="AA1" s="1">
        <v>34</v>
      </c>
      <c r="AB1" s="1">
        <v>35</v>
      </c>
      <c r="AC1" s="1">
        <v>36</v>
      </c>
      <c r="AD1" s="1">
        <v>37</v>
      </c>
      <c r="AE1" s="1">
        <v>38</v>
      </c>
      <c r="AF1" s="1">
        <v>39</v>
      </c>
      <c r="AG1" s="1">
        <v>40</v>
      </c>
    </row>
    <row r="2" spans="1:33" x14ac:dyDescent="0.3">
      <c r="A2" s="129"/>
      <c r="B2" s="130" t="s">
        <v>382</v>
      </c>
      <c r="C2" s="130">
        <v>45936</v>
      </c>
      <c r="D2" s="130">
        <f t="shared" ref="D2:S2" si="0">C2+7</f>
        <v>45943</v>
      </c>
      <c r="E2" s="130">
        <f t="shared" si="0"/>
        <v>45950</v>
      </c>
      <c r="F2" s="130">
        <f t="shared" si="0"/>
        <v>45957</v>
      </c>
      <c r="G2" s="130">
        <f t="shared" si="0"/>
        <v>45964</v>
      </c>
      <c r="H2" s="130">
        <f t="shared" si="0"/>
        <v>45971</v>
      </c>
      <c r="I2" s="130">
        <f t="shared" si="0"/>
        <v>45978</v>
      </c>
      <c r="J2" s="130">
        <f t="shared" si="0"/>
        <v>45985</v>
      </c>
      <c r="K2" s="130">
        <f t="shared" si="0"/>
        <v>45992</v>
      </c>
      <c r="L2" s="130">
        <f t="shared" si="0"/>
        <v>45999</v>
      </c>
      <c r="M2" s="130">
        <f t="shared" si="0"/>
        <v>46006</v>
      </c>
      <c r="N2" s="130">
        <f t="shared" si="0"/>
        <v>46013</v>
      </c>
      <c r="O2" s="130">
        <f t="shared" si="0"/>
        <v>46020</v>
      </c>
      <c r="P2" s="130">
        <f t="shared" si="0"/>
        <v>46027</v>
      </c>
      <c r="Q2" s="130">
        <f t="shared" si="0"/>
        <v>46034</v>
      </c>
      <c r="R2" s="130">
        <f t="shared" si="0"/>
        <v>46041</v>
      </c>
      <c r="S2" s="130">
        <f t="shared" si="0"/>
        <v>46048</v>
      </c>
      <c r="T2" s="130">
        <f t="shared" ref="T2" si="1">S2+7</f>
        <v>46055</v>
      </c>
      <c r="U2" s="130">
        <f t="shared" ref="U2:AG2" si="2">T2+7</f>
        <v>46062</v>
      </c>
      <c r="V2" s="130">
        <f t="shared" si="2"/>
        <v>46069</v>
      </c>
      <c r="W2" s="130">
        <f t="shared" si="2"/>
        <v>46076</v>
      </c>
      <c r="X2" s="130">
        <f t="shared" si="2"/>
        <v>46083</v>
      </c>
      <c r="Y2" s="130">
        <f t="shared" si="2"/>
        <v>46090</v>
      </c>
      <c r="Z2" s="130">
        <f t="shared" si="2"/>
        <v>46097</v>
      </c>
      <c r="AA2" s="130">
        <f t="shared" si="2"/>
        <v>46104</v>
      </c>
      <c r="AB2" s="130">
        <f t="shared" si="2"/>
        <v>46111</v>
      </c>
      <c r="AC2" s="130">
        <f t="shared" si="2"/>
        <v>46118</v>
      </c>
      <c r="AD2" s="130">
        <f t="shared" si="2"/>
        <v>46125</v>
      </c>
      <c r="AE2" s="130">
        <f t="shared" si="2"/>
        <v>46132</v>
      </c>
      <c r="AF2" s="130">
        <f t="shared" si="2"/>
        <v>46139</v>
      </c>
      <c r="AG2" s="130">
        <f t="shared" si="2"/>
        <v>46146</v>
      </c>
    </row>
    <row r="3" spans="1:33" x14ac:dyDescent="0.3">
      <c r="A3" s="181" t="s">
        <v>122</v>
      </c>
      <c r="B3" s="97" t="s">
        <v>386</v>
      </c>
      <c r="C3" s="96">
        <f>SALES!FN21</f>
        <v>25015.15</v>
      </c>
      <c r="D3" s="96">
        <f>SALES!FO21</f>
        <v>21827.989999999998</v>
      </c>
      <c r="E3" s="96">
        <f>SALES!FP21</f>
        <v>25174.400000000001</v>
      </c>
      <c r="F3" s="96">
        <f>SALES!FQ21</f>
        <v>24150.15</v>
      </c>
      <c r="G3" s="96">
        <f>SALES!FR21</f>
        <v>21663.4</v>
      </c>
      <c r="H3" s="96">
        <f>SALES!FS21</f>
        <v>20883.75</v>
      </c>
      <c r="I3" s="96">
        <f>SALES!FT21</f>
        <v>20595.599999999999</v>
      </c>
      <c r="J3" s="96">
        <f>SALES!FU21</f>
        <v>24183.949999999997</v>
      </c>
      <c r="K3" s="96">
        <f>SALES!FV21</f>
        <v>26071.25</v>
      </c>
      <c r="L3" s="96">
        <f>SALES!FW21</f>
        <v>27622.899999999998</v>
      </c>
      <c r="M3" s="96">
        <f>SALES!FX21</f>
        <v>32746.15</v>
      </c>
      <c r="N3" s="96">
        <f>SALES!FY21</f>
        <v>30765.300000000003</v>
      </c>
      <c r="O3" s="96">
        <f>SALES!FZ21</f>
        <v>41560.100000000006</v>
      </c>
      <c r="P3" s="96">
        <f>SALES!GA21</f>
        <v>16851.599999999999</v>
      </c>
      <c r="Q3" s="96">
        <f>SALES!GB21</f>
        <v>21549.699999999997</v>
      </c>
      <c r="R3" s="96">
        <f>SALES!GC21</f>
        <v>19382.650000000001</v>
      </c>
      <c r="S3" s="96">
        <f>SALES!GD21</f>
        <v>20911</v>
      </c>
      <c r="T3" s="96">
        <f>SALES!GE21</f>
        <v>19987.2</v>
      </c>
      <c r="U3" s="96">
        <f>SALES!GF21</f>
        <v>21876.799999999999</v>
      </c>
      <c r="V3" s="96">
        <f>SALES!GG21</f>
        <v>22229.77</v>
      </c>
      <c r="W3" s="96">
        <f>SALES!GH21</f>
        <v>18707.599999999999</v>
      </c>
      <c r="X3" s="96">
        <f>SALES!GI21</f>
        <v>20225.349999999999</v>
      </c>
      <c r="Y3" s="96">
        <f>SALES!GJ21</f>
        <v>22919.35</v>
      </c>
      <c r="Z3" s="96">
        <f>SALES!GK21</f>
        <v>22733.449999999997</v>
      </c>
      <c r="AA3" s="96">
        <f>SALES!GL21</f>
        <v>22391.3</v>
      </c>
      <c r="AB3" s="96">
        <f>SALES!GM21</f>
        <v>30693.95</v>
      </c>
      <c r="AC3" s="96">
        <f>SALES!GN21</f>
        <v>28082.75</v>
      </c>
      <c r="AD3" s="96">
        <f>SALES!GO21</f>
        <v>23674.47</v>
      </c>
      <c r="AE3" s="96">
        <f>SALES!GP21</f>
        <v>22621.35</v>
      </c>
      <c r="AF3" s="96">
        <f>SALES!GQ21</f>
        <v>26743.4</v>
      </c>
      <c r="AG3" s="96">
        <f>SALES!GR21</f>
        <v>25483.8</v>
      </c>
    </row>
    <row r="4" spans="1:33" hidden="1" x14ac:dyDescent="0.3">
      <c r="A4" s="175"/>
      <c r="B4" s="133" t="s">
        <v>397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</row>
    <row r="5" spans="1:33" x14ac:dyDescent="0.3">
      <c r="A5" s="175"/>
      <c r="B5" s="102" t="s">
        <v>384</v>
      </c>
      <c r="C5" s="125">
        <v>3608</v>
      </c>
      <c r="D5" s="125">
        <v>4737</v>
      </c>
      <c r="E5" s="125">
        <v>4445.4800000000005</v>
      </c>
      <c r="F5" s="125">
        <v>2648</v>
      </c>
      <c r="G5" s="125">
        <v>4002.23</v>
      </c>
      <c r="H5" s="125">
        <v>3888</v>
      </c>
      <c r="I5" s="125">
        <v>4684</v>
      </c>
      <c r="J5" s="125">
        <v>4366</v>
      </c>
      <c r="K5" s="125">
        <v>2951.91</v>
      </c>
      <c r="L5" s="125">
        <v>3671.7</v>
      </c>
      <c r="M5" s="125">
        <v>4387.8499999999995</v>
      </c>
      <c r="N5" s="125">
        <v>3238.3</v>
      </c>
      <c r="O5" s="125">
        <v>4390.2299999999996</v>
      </c>
      <c r="P5" s="125">
        <v>3974.42</v>
      </c>
      <c r="Q5" s="125">
        <v>2662.2100000000005</v>
      </c>
      <c r="R5" s="125">
        <v>2092.5</v>
      </c>
      <c r="S5" s="125">
        <v>1849.3999999999999</v>
      </c>
      <c r="T5" s="125">
        <v>2242</v>
      </c>
      <c r="U5" s="125">
        <v>4540.5</v>
      </c>
      <c r="V5" s="125">
        <v>4262</v>
      </c>
      <c r="W5" s="125">
        <v>2830</v>
      </c>
      <c r="X5" s="125">
        <v>3183.69</v>
      </c>
      <c r="Y5" s="125">
        <v>3229</v>
      </c>
      <c r="Z5" s="125">
        <v>4480</v>
      </c>
      <c r="AA5" s="125">
        <v>3083.1</v>
      </c>
      <c r="AB5" s="125">
        <v>4411</v>
      </c>
      <c r="AC5" s="125">
        <v>3802.44</v>
      </c>
      <c r="AD5" s="125">
        <v>3684.6</v>
      </c>
      <c r="AE5" s="125">
        <v>4942</v>
      </c>
      <c r="AF5" s="125">
        <v>4929.5900000000011</v>
      </c>
      <c r="AG5" s="125">
        <v>4738</v>
      </c>
    </row>
    <row r="6" spans="1:33" x14ac:dyDescent="0.3">
      <c r="A6" s="175"/>
      <c r="B6" s="99" t="s">
        <v>385</v>
      </c>
      <c r="C6" s="98">
        <f t="shared" ref="C6:H6" si="3">(C3+C5)/1.2</f>
        <v>23852.625000000004</v>
      </c>
      <c r="D6" s="98">
        <f t="shared" si="3"/>
        <v>22137.491666666665</v>
      </c>
      <c r="E6" s="98">
        <f t="shared" si="3"/>
        <v>24683.233333333334</v>
      </c>
      <c r="F6" s="98">
        <f t="shared" si="3"/>
        <v>22331.791666666668</v>
      </c>
      <c r="G6" s="98">
        <f t="shared" si="3"/>
        <v>21388.025000000001</v>
      </c>
      <c r="H6" s="98">
        <f t="shared" si="3"/>
        <v>20643.125</v>
      </c>
      <c r="I6" s="98">
        <f t="shared" ref="I6:J6" si="4">(I3+I5)/1.2</f>
        <v>21066.333333333332</v>
      </c>
      <c r="J6" s="98">
        <f t="shared" si="4"/>
        <v>23791.625</v>
      </c>
      <c r="K6" s="98">
        <f t="shared" ref="K6:L6" si="5">(K3+K5)/1.2</f>
        <v>24185.966666666667</v>
      </c>
      <c r="L6" s="98">
        <f t="shared" si="5"/>
        <v>26078.833333333332</v>
      </c>
      <c r="M6" s="98">
        <f t="shared" ref="M6:N6" si="6">(M3+M5)/1.2</f>
        <v>30945</v>
      </c>
      <c r="N6" s="98">
        <f t="shared" si="6"/>
        <v>28336.333333333339</v>
      </c>
      <c r="O6" s="98">
        <f t="shared" ref="O6:P6" si="7">(O3+O5)/1.2</f>
        <v>38291.941666666673</v>
      </c>
      <c r="P6" s="98">
        <f t="shared" si="7"/>
        <v>17355.016666666666</v>
      </c>
      <c r="Q6" s="98">
        <f t="shared" ref="Q6:R6" si="8">(Q3+Q5)/1.2</f>
        <v>20176.591666666664</v>
      </c>
      <c r="R6" s="98">
        <f t="shared" si="8"/>
        <v>17895.958333333336</v>
      </c>
      <c r="S6" s="98">
        <f t="shared" ref="S6:W6" si="9">(S3+S5)/1.2</f>
        <v>18967.000000000004</v>
      </c>
      <c r="T6" s="98">
        <f t="shared" si="9"/>
        <v>18524.333333333336</v>
      </c>
      <c r="U6" s="98">
        <f t="shared" si="9"/>
        <v>22014.416666666668</v>
      </c>
      <c r="V6" s="98">
        <f t="shared" si="9"/>
        <v>22076.475000000002</v>
      </c>
      <c r="W6" s="98">
        <f t="shared" si="9"/>
        <v>17948</v>
      </c>
      <c r="X6" s="98">
        <f t="shared" ref="X6:Y6" si="10">(X3+X5)/1.2</f>
        <v>19507.533333333333</v>
      </c>
      <c r="Y6" s="98">
        <f t="shared" si="10"/>
        <v>21790.291666666668</v>
      </c>
      <c r="Z6" s="98">
        <f t="shared" ref="Z6:AA6" si="11">(Z3+Z5)/1.2</f>
        <v>22677.875</v>
      </c>
      <c r="AA6" s="98">
        <f t="shared" si="11"/>
        <v>21228.666666666664</v>
      </c>
      <c r="AB6" s="98">
        <f t="shared" ref="AB6:AC6" si="12">(AB3+AB5)/1.2</f>
        <v>29254.125</v>
      </c>
      <c r="AC6" s="98">
        <f t="shared" si="12"/>
        <v>26570.991666666665</v>
      </c>
      <c r="AD6" s="98">
        <f t="shared" ref="AD6:AE6" si="13">(AD3+AD5)/1.2</f>
        <v>22799.225000000002</v>
      </c>
      <c r="AE6" s="98">
        <f t="shared" si="13"/>
        <v>22969.458333333332</v>
      </c>
      <c r="AF6" s="98">
        <f t="shared" ref="AF6:AG6" si="14">(AF3+AF5)/1.2</f>
        <v>26394.158333333336</v>
      </c>
      <c r="AG6" s="98">
        <f t="shared" si="14"/>
        <v>25184.833333333332</v>
      </c>
    </row>
    <row r="7" spans="1:33" hidden="1" x14ac:dyDescent="0.3">
      <c r="A7" s="175"/>
      <c r="B7" s="97" t="s">
        <v>371</v>
      </c>
      <c r="C7" s="126">
        <v>533</v>
      </c>
      <c r="D7" s="126">
        <v>536</v>
      </c>
      <c r="E7" s="126">
        <f>48+473+22.5</f>
        <v>543.5</v>
      </c>
      <c r="F7" s="126">
        <f>484+48+(48-35)</f>
        <v>545</v>
      </c>
      <c r="G7" s="126">
        <v>545</v>
      </c>
      <c r="H7" s="126">
        <v>511</v>
      </c>
      <c r="I7" s="126">
        <v>544</v>
      </c>
      <c r="J7" s="126">
        <v>565</v>
      </c>
      <c r="K7" s="126">
        <v>607</v>
      </c>
      <c r="L7" s="126">
        <v>568</v>
      </c>
      <c r="M7" s="126">
        <v>669</v>
      </c>
      <c r="N7" s="126">
        <f>534+20</f>
        <v>554</v>
      </c>
      <c r="O7" s="126">
        <v>680</v>
      </c>
      <c r="P7" s="126">
        <v>511</v>
      </c>
      <c r="Q7" s="126">
        <v>554</v>
      </c>
      <c r="R7" s="126">
        <v>522</v>
      </c>
      <c r="S7" s="126">
        <v>514</v>
      </c>
      <c r="T7" s="126">
        <v>558</v>
      </c>
      <c r="U7" s="126">
        <v>545.84</v>
      </c>
      <c r="V7" s="126">
        <v>593</v>
      </c>
      <c r="W7" s="126">
        <v>526</v>
      </c>
      <c r="X7" s="126">
        <v>566</v>
      </c>
      <c r="Y7" s="126">
        <v>604</v>
      </c>
      <c r="Z7" s="126">
        <v>527</v>
      </c>
      <c r="AA7" s="126">
        <v>500</v>
      </c>
      <c r="AB7" s="126">
        <v>556</v>
      </c>
      <c r="AC7" s="126"/>
      <c r="AD7" s="126"/>
      <c r="AE7" s="126"/>
      <c r="AF7" s="126"/>
      <c r="AG7" s="126"/>
    </row>
    <row r="8" spans="1:33" x14ac:dyDescent="0.3">
      <c r="A8" s="175"/>
      <c r="B8" s="122" t="s">
        <v>375</v>
      </c>
      <c r="C8" s="119">
        <f t="shared" ref="C8:H8" si="15">C7*12.21*1.1*1.1207</f>
        <v>8022.7808661000008</v>
      </c>
      <c r="D8" s="119">
        <f t="shared" si="15"/>
        <v>8067.9372312000014</v>
      </c>
      <c r="E8" s="119">
        <f t="shared" si="15"/>
        <v>8180.8281439500006</v>
      </c>
      <c r="F8" s="119">
        <f t="shared" si="15"/>
        <v>8203.4063265000023</v>
      </c>
      <c r="G8" s="119">
        <f t="shared" si="15"/>
        <v>8203.4063265000023</v>
      </c>
      <c r="H8" s="119">
        <f t="shared" si="15"/>
        <v>7691.6341887000008</v>
      </c>
      <c r="I8" s="119">
        <f t="shared" ref="I8:J8" si="16">I7*12.21*1.1*1.1207</f>
        <v>8188.3542048000018</v>
      </c>
      <c r="J8" s="119">
        <f t="shared" si="16"/>
        <v>8504.4487605000013</v>
      </c>
      <c r="K8" s="119">
        <f t="shared" ref="K8:L8" si="17">K7*12.21*1.1*1.1207</f>
        <v>9136.6378719000022</v>
      </c>
      <c r="L8" s="119">
        <f t="shared" si="17"/>
        <v>8549.605125600001</v>
      </c>
      <c r="M8" s="119">
        <f t="shared" ref="M8:N8" si="18">M7*12.21*1.1*1.1207</f>
        <v>10069.869417300002</v>
      </c>
      <c r="N8" s="119">
        <f t="shared" si="18"/>
        <v>8338.8754218000013</v>
      </c>
      <c r="O8" s="119">
        <f t="shared" ref="O8:P8" si="19">O7*12.21*1.1*1.1207</f>
        <v>10235.442756000002</v>
      </c>
      <c r="P8" s="119">
        <f t="shared" si="19"/>
        <v>7691.6341887000008</v>
      </c>
      <c r="Q8" s="119">
        <f t="shared" ref="Q8:R8" si="20">Q7*12.21*1.1*1.1207</f>
        <v>8338.8754218000013</v>
      </c>
      <c r="R8" s="119">
        <f t="shared" si="20"/>
        <v>7857.2075274000026</v>
      </c>
      <c r="S8" s="119">
        <f t="shared" ref="S8:W8" si="21">S7*12.21*1.1*1.1207</f>
        <v>7736.7905538000023</v>
      </c>
      <c r="T8" s="119">
        <f t="shared" si="21"/>
        <v>8399.0839086000015</v>
      </c>
      <c r="U8" s="119">
        <f t="shared" si="21"/>
        <v>8216.0501087280027</v>
      </c>
      <c r="V8" s="119">
        <f t="shared" si="21"/>
        <v>8925.9081681000025</v>
      </c>
      <c r="W8" s="119">
        <f t="shared" si="21"/>
        <v>7917.416014200001</v>
      </c>
      <c r="X8" s="119">
        <f t="shared" ref="X8:Y8" si="22">X7*12.21*1.1*1.1207</f>
        <v>8519.5008822000018</v>
      </c>
      <c r="Y8" s="119">
        <f t="shared" si="22"/>
        <v>9091.4815068000007</v>
      </c>
      <c r="Z8" s="119">
        <f t="shared" ref="Z8:AA8" si="23">Z7*12.21*1.1*1.1207</f>
        <v>7932.4681359000006</v>
      </c>
      <c r="AA8" s="119">
        <f t="shared" si="23"/>
        <v>7526.0608500000017</v>
      </c>
      <c r="AB8" s="119">
        <f>AB7*12.71*1.1*1.1207</f>
        <v>8711.6897252000017</v>
      </c>
      <c r="AC8" s="119">
        <v>7288</v>
      </c>
      <c r="AD8" s="119">
        <v>8055</v>
      </c>
      <c r="AE8" s="119">
        <v>7900</v>
      </c>
      <c r="AF8" s="119">
        <v>7926</v>
      </c>
      <c r="AG8" s="119">
        <v>8385.59</v>
      </c>
    </row>
    <row r="9" spans="1:33" ht="15" thickBot="1" x14ac:dyDescent="0.35">
      <c r="A9" s="175"/>
      <c r="B9" s="100" t="s">
        <v>387</v>
      </c>
      <c r="C9" s="101">
        <f t="shared" ref="C9:H9" si="24">C8/C6</f>
        <v>0.33634792254940493</v>
      </c>
      <c r="D9" s="101">
        <f t="shared" si="24"/>
        <v>0.36444676536448922</v>
      </c>
      <c r="E9" s="101">
        <f t="shared" si="24"/>
        <v>0.33143259772625683</v>
      </c>
      <c r="F9" s="101">
        <f t="shared" si="24"/>
        <v>0.36734205875405584</v>
      </c>
      <c r="G9" s="101">
        <f t="shared" si="24"/>
        <v>0.38355137169046705</v>
      </c>
      <c r="H9" s="101">
        <f t="shared" si="24"/>
        <v>0.37260028162887165</v>
      </c>
      <c r="I9" s="101">
        <f t="shared" ref="I9:J9" si="25">I8/I6</f>
        <v>0.38869384981407945</v>
      </c>
      <c r="J9" s="101">
        <f t="shared" si="25"/>
        <v>0.35745556516211069</v>
      </c>
      <c r="K9" s="101">
        <f t="shared" ref="K9:L9" si="26">K8/K6</f>
        <v>0.37776608220055991</v>
      </c>
      <c r="L9" s="101">
        <f t="shared" si="26"/>
        <v>0.32783694793095297</v>
      </c>
      <c r="M9" s="101">
        <f t="shared" ref="M9:N9" si="27">M8/M6</f>
        <v>0.3254118409209889</v>
      </c>
      <c r="N9" s="101">
        <f t="shared" si="27"/>
        <v>0.29428209090096341</v>
      </c>
      <c r="O9" s="101">
        <f t="shared" ref="O9:P9" si="28">O8/O6</f>
        <v>0.26730017623812496</v>
      </c>
      <c r="P9" s="101">
        <f t="shared" si="28"/>
        <v>0.44319370798837227</v>
      </c>
      <c r="Q9" s="101">
        <f t="shared" ref="Q9:R9" si="29">Q8/Q6</f>
        <v>0.41329455239838586</v>
      </c>
      <c r="R9" s="101">
        <f t="shared" si="29"/>
        <v>0.43904927476082828</v>
      </c>
      <c r="S9" s="101">
        <f t="shared" ref="S9:W9" si="30">S8/S6</f>
        <v>0.40790797457689676</v>
      </c>
      <c r="T9" s="101">
        <f t="shared" si="30"/>
        <v>0.45340816090187686</v>
      </c>
      <c r="U9" s="101">
        <f t="shared" si="30"/>
        <v>0.37321225600169594</v>
      </c>
      <c r="V9" s="101">
        <f t="shared" si="30"/>
        <v>0.4043176353154207</v>
      </c>
      <c r="W9" s="101">
        <f t="shared" si="30"/>
        <v>0.44113082316692676</v>
      </c>
      <c r="X9" s="101">
        <f t="shared" ref="X9:Y9" si="31">X8/X6</f>
        <v>0.43672876199280286</v>
      </c>
      <c r="Y9" s="101">
        <f t="shared" si="31"/>
        <v>0.41722624212082216</v>
      </c>
      <c r="Z9" s="101">
        <f t="shared" ref="Z9:AA9" si="32">Z8/Z6</f>
        <v>0.3497888640756685</v>
      </c>
      <c r="AA9" s="101">
        <f t="shared" si="32"/>
        <v>0.35452348318311727</v>
      </c>
      <c r="AB9" s="101">
        <f t="shared" ref="AB9:AC9" si="33">AB8/AB6</f>
        <v>0.29779354963445331</v>
      </c>
      <c r="AC9" s="101">
        <f t="shared" si="33"/>
        <v>0.27428407985023767</v>
      </c>
      <c r="AD9" s="101">
        <f t="shared" ref="AD9:AE9" si="34">AD8/AD6</f>
        <v>0.35330148283549107</v>
      </c>
      <c r="AE9" s="101">
        <f t="shared" si="34"/>
        <v>0.34393497161992287</v>
      </c>
      <c r="AF9" s="101">
        <f t="shared" ref="AF9:AG9" si="35">AF8/AF6</f>
        <v>0.30029372029606294</v>
      </c>
      <c r="AG9" s="101">
        <f t="shared" si="35"/>
        <v>0.33296190167362633</v>
      </c>
    </row>
    <row r="10" spans="1:33" ht="15" thickTop="1" x14ac:dyDescent="0.3">
      <c r="A10" s="178" t="s">
        <v>123</v>
      </c>
      <c r="B10" s="97" t="s">
        <v>386</v>
      </c>
      <c r="C10" s="96">
        <f>SALES!FN28</f>
        <v>18020.5</v>
      </c>
      <c r="D10" s="96">
        <f>SALES!FO28</f>
        <v>16918.349999999999</v>
      </c>
      <c r="E10" s="96">
        <f>SALES!FP28</f>
        <v>19321.650000000001</v>
      </c>
      <c r="F10" s="96">
        <f>SALES!FQ28</f>
        <v>17919.849999999999</v>
      </c>
      <c r="G10" s="96">
        <f>SALES!FR28</f>
        <v>17917.849999999999</v>
      </c>
      <c r="H10" s="96">
        <f>SALES!FS28</f>
        <v>18204.8</v>
      </c>
      <c r="I10" s="96">
        <f>SALES!FT28</f>
        <v>15335.6</v>
      </c>
      <c r="J10" s="96">
        <f>SALES!FU28</f>
        <v>17816.099999999999</v>
      </c>
      <c r="K10" s="96">
        <f>SALES!FV28</f>
        <v>21319.65</v>
      </c>
      <c r="L10" s="96">
        <f>SALES!FW28</f>
        <v>18754.05</v>
      </c>
      <c r="M10" s="96">
        <f>SALES!FX28</f>
        <v>15254.2</v>
      </c>
      <c r="N10" s="96">
        <f>SALES!FY28</f>
        <v>14083.2</v>
      </c>
      <c r="O10" s="96">
        <f>SALES!FZ28</f>
        <v>22305.200000000001</v>
      </c>
      <c r="P10" s="96">
        <f>SALES!GA28</f>
        <v>0</v>
      </c>
      <c r="Q10" s="96">
        <f>SALES!GB28</f>
        <v>0</v>
      </c>
      <c r="R10" s="96">
        <f>SALES!GC28</f>
        <v>11317.3</v>
      </c>
      <c r="S10" s="96">
        <f>SALES!GD28</f>
        <v>21041.15</v>
      </c>
      <c r="T10" s="96">
        <f>SALES!GE28</f>
        <v>17371.900000000001</v>
      </c>
      <c r="U10" s="96">
        <f>SALES!GF28</f>
        <v>15009.75</v>
      </c>
      <c r="V10" s="96">
        <f>SALES!GG28</f>
        <v>18586.150000000001</v>
      </c>
      <c r="W10" s="96">
        <f>SALES!GH28</f>
        <v>19868.25</v>
      </c>
      <c r="X10" s="96">
        <f>SALES!GI28</f>
        <v>21222.05</v>
      </c>
      <c r="Y10" s="96">
        <f>SALES!GJ28</f>
        <v>20948.400000000001</v>
      </c>
      <c r="Z10" s="96">
        <f>SALES!GK28</f>
        <v>24557.05</v>
      </c>
      <c r="AA10" s="96">
        <f>SALES!GL28</f>
        <v>21546.799999999999</v>
      </c>
      <c r="AB10" s="96">
        <f>SALES!GM28</f>
        <v>19099.5</v>
      </c>
      <c r="AC10" s="96">
        <f>SALES!GN28</f>
        <v>22031.85</v>
      </c>
      <c r="AD10" s="96">
        <f>SALES!GO28</f>
        <v>21112.400000000001</v>
      </c>
      <c r="AE10" s="96">
        <f>SALES!GP28</f>
        <v>22587.65</v>
      </c>
      <c r="AF10" s="96">
        <f>SALES!GQ28</f>
        <v>22008.3</v>
      </c>
      <c r="AG10" s="96">
        <f>SALES!GR28</f>
        <v>22746.6</v>
      </c>
    </row>
    <row r="11" spans="1:33" x14ac:dyDescent="0.3">
      <c r="A11" s="176"/>
      <c r="B11" s="102" t="s">
        <v>384</v>
      </c>
      <c r="C11" s="125">
        <v>2615</v>
      </c>
      <c r="D11" s="125">
        <v>3978</v>
      </c>
      <c r="E11" s="125">
        <v>3369.3999999999996</v>
      </c>
      <c r="F11" s="125">
        <v>2661</v>
      </c>
      <c r="G11" s="125">
        <v>3782.7</v>
      </c>
      <c r="H11" s="125">
        <v>3051</v>
      </c>
      <c r="I11" s="125">
        <v>2004</v>
      </c>
      <c r="J11" s="125">
        <v>3429</v>
      </c>
      <c r="K11" s="125">
        <v>3097.6</v>
      </c>
      <c r="L11" s="125">
        <v>1458.58</v>
      </c>
      <c r="M11" s="125">
        <v>2053.6999999999998</v>
      </c>
      <c r="N11" s="125">
        <v>803</v>
      </c>
      <c r="O11" s="125">
        <v>2064.5</v>
      </c>
      <c r="P11" s="125"/>
      <c r="Q11" s="125"/>
      <c r="R11" s="125">
        <v>791</v>
      </c>
      <c r="S11" s="125">
        <v>1700.2</v>
      </c>
      <c r="T11" s="125">
        <v>2377</v>
      </c>
      <c r="U11" s="125">
        <v>3419.12</v>
      </c>
      <c r="V11" s="125">
        <v>4019</v>
      </c>
      <c r="W11" s="125">
        <v>3043</v>
      </c>
      <c r="X11" s="125">
        <v>3048.5</v>
      </c>
      <c r="Y11" s="125">
        <v>3420</v>
      </c>
      <c r="Z11" s="125">
        <v>4034.73</v>
      </c>
      <c r="AA11" s="125">
        <v>4545.8</v>
      </c>
      <c r="AB11" s="125">
        <v>4235</v>
      </c>
      <c r="AC11" s="125">
        <v>3614.52</v>
      </c>
      <c r="AD11" s="125">
        <v>4884.8</v>
      </c>
      <c r="AE11" s="125">
        <v>3996.8999999999996</v>
      </c>
      <c r="AF11" s="125">
        <v>4443.6000000000004</v>
      </c>
      <c r="AG11" s="125">
        <v>4142</v>
      </c>
    </row>
    <row r="12" spans="1:33" x14ac:dyDescent="0.3">
      <c r="A12" s="176"/>
      <c r="B12" s="99" t="s">
        <v>385</v>
      </c>
      <c r="C12" s="98">
        <f t="shared" ref="C12:H12" si="36">(C10+C11)/1.2</f>
        <v>17196.25</v>
      </c>
      <c r="D12" s="98">
        <f t="shared" si="36"/>
        <v>17413.625</v>
      </c>
      <c r="E12" s="98">
        <f t="shared" si="36"/>
        <v>18909.208333333336</v>
      </c>
      <c r="F12" s="98">
        <f t="shared" si="36"/>
        <v>17150.708333333332</v>
      </c>
      <c r="G12" s="98">
        <f t="shared" si="36"/>
        <v>18083.791666666668</v>
      </c>
      <c r="H12" s="98">
        <f t="shared" si="36"/>
        <v>17713.166666666668</v>
      </c>
      <c r="I12" s="98">
        <f t="shared" ref="I12:J12" si="37">(I10+I11)/1.2</f>
        <v>14449.666666666666</v>
      </c>
      <c r="J12" s="98">
        <f t="shared" si="37"/>
        <v>17704.25</v>
      </c>
      <c r="K12" s="98">
        <f t="shared" ref="K12:L12" si="38">(K10+K11)/1.2</f>
        <v>20347.708333333336</v>
      </c>
      <c r="L12" s="98">
        <f t="shared" si="38"/>
        <v>16843.858333333334</v>
      </c>
      <c r="M12" s="98">
        <f t="shared" ref="M12:N12" si="39">(M10+M11)/1.2</f>
        <v>14423.250000000002</v>
      </c>
      <c r="N12" s="98">
        <f t="shared" si="39"/>
        <v>12405.166666666668</v>
      </c>
      <c r="O12" s="98">
        <f t="shared" ref="O12:P12" si="40">(O10+O11)/1.2</f>
        <v>20308.083333333336</v>
      </c>
      <c r="P12" s="98">
        <f t="shared" si="40"/>
        <v>0</v>
      </c>
      <c r="Q12" s="98">
        <f t="shared" ref="Q12:R12" si="41">(Q10+Q11)/1.2</f>
        <v>0</v>
      </c>
      <c r="R12" s="98">
        <f t="shared" si="41"/>
        <v>10090.25</v>
      </c>
      <c r="S12" s="98">
        <f t="shared" ref="S12:W12" si="42">(S10+S11)/1.2</f>
        <v>18951.125000000004</v>
      </c>
      <c r="T12" s="98">
        <f t="shared" si="42"/>
        <v>16457.416666666668</v>
      </c>
      <c r="U12" s="98">
        <f t="shared" si="42"/>
        <v>15357.391666666666</v>
      </c>
      <c r="V12" s="98">
        <f t="shared" si="42"/>
        <v>18837.625000000004</v>
      </c>
      <c r="W12" s="98">
        <f t="shared" si="42"/>
        <v>19092.708333333336</v>
      </c>
      <c r="X12" s="98">
        <f t="shared" ref="X12:Y12" si="43">(X10+X11)/1.2</f>
        <v>20225.458333333332</v>
      </c>
      <c r="Y12" s="98">
        <f t="shared" si="43"/>
        <v>20307.000000000004</v>
      </c>
      <c r="Z12" s="98">
        <f t="shared" ref="Z12:AA12" si="44">(Z10+Z11)/1.2</f>
        <v>23826.483333333334</v>
      </c>
      <c r="AA12" s="98">
        <f t="shared" si="44"/>
        <v>21743.833333333332</v>
      </c>
      <c r="AB12" s="98">
        <f t="shared" ref="AB12:AC12" si="45">(AB10+AB11)/1.2</f>
        <v>19445.416666666668</v>
      </c>
      <c r="AC12" s="98">
        <f t="shared" si="45"/>
        <v>21371.974999999999</v>
      </c>
      <c r="AD12" s="98">
        <f t="shared" ref="AD12:AE12" si="46">(AD10+AD11)/1.2</f>
        <v>21664.333333333336</v>
      </c>
      <c r="AE12" s="98">
        <f t="shared" si="46"/>
        <v>22153.791666666672</v>
      </c>
      <c r="AF12" s="98">
        <f t="shared" ref="AF12:AG12" si="47">(AF10+AF11)/1.2</f>
        <v>22043.250000000004</v>
      </c>
      <c r="AG12" s="98">
        <f t="shared" si="47"/>
        <v>22407.166666666668</v>
      </c>
    </row>
    <row r="13" spans="1:33" hidden="1" x14ac:dyDescent="0.3">
      <c r="A13" s="176"/>
      <c r="B13" s="97" t="s">
        <v>371</v>
      </c>
      <c r="C13" s="126">
        <v>424</v>
      </c>
      <c r="D13" s="126">
        <v>449</v>
      </c>
      <c r="E13" s="126">
        <v>449</v>
      </c>
      <c r="F13" s="126">
        <f>24+414</f>
        <v>438</v>
      </c>
      <c r="G13" s="126">
        <v>446</v>
      </c>
      <c r="H13" s="126">
        <v>471</v>
      </c>
      <c r="I13" s="126">
        <v>453</v>
      </c>
      <c r="J13" s="126">
        <v>460</v>
      </c>
      <c r="K13" s="126">
        <v>469</v>
      </c>
      <c r="L13" s="126">
        <v>470</v>
      </c>
      <c r="M13" s="126">
        <v>468</v>
      </c>
      <c r="N13" s="126">
        <v>347</v>
      </c>
      <c r="O13" s="126">
        <v>552</v>
      </c>
      <c r="P13" s="126"/>
      <c r="Q13" s="126"/>
      <c r="R13" s="126">
        <v>417</v>
      </c>
      <c r="S13" s="126">
        <v>482</v>
      </c>
      <c r="T13" s="126">
        <v>459.45</v>
      </c>
      <c r="U13" s="126">
        <v>448</v>
      </c>
      <c r="V13" s="126">
        <v>430</v>
      </c>
      <c r="W13" s="126">
        <v>459</v>
      </c>
      <c r="X13" s="126">
        <v>480</v>
      </c>
      <c r="Y13" s="126">
        <v>498</v>
      </c>
      <c r="Z13" s="126">
        <v>490</v>
      </c>
      <c r="AA13" s="126">
        <v>488</v>
      </c>
      <c r="AB13" s="126">
        <v>486</v>
      </c>
      <c r="AC13" s="126"/>
      <c r="AD13" s="126"/>
      <c r="AE13" s="126"/>
      <c r="AF13" s="126"/>
      <c r="AG13" s="126"/>
    </row>
    <row r="14" spans="1:33" x14ac:dyDescent="0.3">
      <c r="A14" s="176"/>
      <c r="B14" s="122" t="s">
        <v>375</v>
      </c>
      <c r="C14" s="119">
        <f t="shared" ref="C14:H14" si="48">C13*12.21*1.1*1.1207</f>
        <v>6382.0996008000011</v>
      </c>
      <c r="D14" s="119">
        <f t="shared" si="48"/>
        <v>6758.4026433000008</v>
      </c>
      <c r="E14" s="119">
        <f t="shared" si="48"/>
        <v>6758.4026433000008</v>
      </c>
      <c r="F14" s="119">
        <f t="shared" si="48"/>
        <v>6592.8293046000017</v>
      </c>
      <c r="G14" s="119">
        <f t="shared" si="48"/>
        <v>6713.2462782000021</v>
      </c>
      <c r="H14" s="119">
        <f t="shared" si="48"/>
        <v>7089.5493207000018</v>
      </c>
      <c r="I14" s="119">
        <f t="shared" ref="I14:J14" si="49">I13*12.21*1.1*1.1207</f>
        <v>6818.611130100001</v>
      </c>
      <c r="J14" s="119">
        <f t="shared" si="49"/>
        <v>6923.9759820000017</v>
      </c>
      <c r="K14" s="119">
        <f t="shared" ref="K14:L14" si="50">K13*12.21*1.1*1.1207</f>
        <v>7059.4450773000017</v>
      </c>
      <c r="L14" s="119">
        <f t="shared" si="50"/>
        <v>7074.4971990000022</v>
      </c>
      <c r="M14" s="119">
        <f t="shared" ref="M14:N14" si="51">M13*12.21*1.1*1.1207</f>
        <v>7044.3929556000021</v>
      </c>
      <c r="N14" s="119">
        <f t="shared" si="51"/>
        <v>5223.0862299000009</v>
      </c>
      <c r="O14" s="119">
        <f t="shared" ref="O14:P14" si="52">O13*12.21*1.1*1.1207</f>
        <v>8308.7711784000003</v>
      </c>
      <c r="P14" s="119">
        <f t="shared" si="52"/>
        <v>0</v>
      </c>
      <c r="Q14" s="119">
        <f t="shared" ref="Q14:R14" si="53">Q13*12.21*1.1*1.1207</f>
        <v>0</v>
      </c>
      <c r="R14" s="119">
        <f t="shared" si="53"/>
        <v>6276.7347489000013</v>
      </c>
      <c r="S14" s="119">
        <f t="shared" ref="S14:W14" si="54">S13*12.21*1.1*1.1207</f>
        <v>7255.1226594000018</v>
      </c>
      <c r="T14" s="119">
        <f t="shared" si="54"/>
        <v>6915.697315065001</v>
      </c>
      <c r="U14" s="119">
        <f t="shared" si="54"/>
        <v>6743.3505216000012</v>
      </c>
      <c r="V14" s="119">
        <f t="shared" si="54"/>
        <v>6472.4123310000014</v>
      </c>
      <c r="W14" s="119">
        <f t="shared" si="54"/>
        <v>6908.9238603000013</v>
      </c>
      <c r="X14" s="119">
        <f t="shared" ref="X14:Y14" si="55">X13*12.21*1.1*1.1207</f>
        <v>7225.0184160000017</v>
      </c>
      <c r="Y14" s="119">
        <f t="shared" si="55"/>
        <v>7495.9566066000025</v>
      </c>
      <c r="Z14" s="119">
        <f t="shared" ref="Z14:AA14" si="56">Z13*12.21*1.1*1.1207</f>
        <v>7375.5396330000021</v>
      </c>
      <c r="AA14" s="119">
        <f t="shared" si="56"/>
        <v>7345.4353896000021</v>
      </c>
      <c r="AB14" s="119">
        <f>AB13*12.71*1.1*1.1207</f>
        <v>7614.894256200002</v>
      </c>
      <c r="AC14" s="119">
        <v>7295</v>
      </c>
      <c r="AD14" s="119">
        <v>8504</v>
      </c>
      <c r="AE14" s="119">
        <v>7823</v>
      </c>
      <c r="AF14" s="119">
        <v>7828</v>
      </c>
      <c r="AG14" s="119">
        <v>7665</v>
      </c>
    </row>
    <row r="15" spans="1:33" ht="15" thickBot="1" x14ac:dyDescent="0.35">
      <c r="A15" s="176"/>
      <c r="B15" s="100" t="s">
        <v>387</v>
      </c>
      <c r="C15" s="101">
        <f t="shared" ref="C15:H15" si="57">C14/C12</f>
        <v>0.3711332180446319</v>
      </c>
      <c r="D15" s="101">
        <f t="shared" si="57"/>
        <v>0.38811003701411972</v>
      </c>
      <c r="E15" s="101">
        <f t="shared" si="57"/>
        <v>0.35741330489157619</v>
      </c>
      <c r="F15" s="101">
        <f t="shared" si="57"/>
        <v>0.38440565698306933</v>
      </c>
      <c r="G15" s="101">
        <f t="shared" si="57"/>
        <v>0.37123001646686382</v>
      </c>
      <c r="H15" s="101">
        <f t="shared" si="57"/>
        <v>0.40024177800129856</v>
      </c>
      <c r="I15" s="101">
        <f t="shared" ref="I15:J15" si="58">I14/I12</f>
        <v>0.47188708829038739</v>
      </c>
      <c r="J15" s="101">
        <f t="shared" si="58"/>
        <v>0.39109117765508294</v>
      </c>
      <c r="K15" s="101">
        <f t="shared" ref="K15:L15" si="59">K14/K12</f>
        <v>0.34694054788151824</v>
      </c>
      <c r="L15" s="101">
        <f t="shared" si="59"/>
        <v>0.42000455352915489</v>
      </c>
      <c r="M15" s="101">
        <f t="shared" ref="M15:N15" si="60">M14/M12</f>
        <v>0.48840538405699141</v>
      </c>
      <c r="N15" s="101">
        <f t="shared" si="60"/>
        <v>0.42104119761121039</v>
      </c>
      <c r="O15" s="101">
        <f t="shared" ref="O15" si="61">O14/O12</f>
        <v>0.40913615736262648</v>
      </c>
      <c r="P15" s="101"/>
      <c r="Q15" s="101"/>
      <c r="R15" s="101">
        <f t="shared" ref="R15:W15" si="62">R14/R12</f>
        <v>0.62205938890513135</v>
      </c>
      <c r="S15" s="101">
        <f t="shared" si="62"/>
        <v>0.38283334943967706</v>
      </c>
      <c r="T15" s="101">
        <f t="shared" si="62"/>
        <v>0.42021767177301017</v>
      </c>
      <c r="U15" s="101">
        <f t="shared" si="62"/>
        <v>0.43909478041355771</v>
      </c>
      <c r="V15" s="101">
        <f t="shared" si="62"/>
        <v>0.3435896155168181</v>
      </c>
      <c r="W15" s="101">
        <f t="shared" si="62"/>
        <v>0.361861907681161</v>
      </c>
      <c r="X15" s="101">
        <f t="shared" ref="X15:Y15" si="63">X14/X12</f>
        <v>0.35722396481332325</v>
      </c>
      <c r="Y15" s="101">
        <f t="shared" si="63"/>
        <v>0.36913165935884185</v>
      </c>
      <c r="Z15" s="101">
        <f t="shared" ref="Z15:AA15" si="64">Z14/Z12</f>
        <v>0.30955217057489959</v>
      </c>
      <c r="AA15" s="101">
        <f t="shared" si="64"/>
        <v>0.3378169468554304</v>
      </c>
      <c r="AB15" s="101">
        <f t="shared" ref="AB15:AC15" si="65">AB14/AB12</f>
        <v>0.39160355299835015</v>
      </c>
      <c r="AC15" s="101">
        <f t="shared" si="65"/>
        <v>0.34133485557605231</v>
      </c>
      <c r="AD15" s="101">
        <f t="shared" ref="AD15:AE15" si="66">AD14/AD12</f>
        <v>0.39253458064714658</v>
      </c>
      <c r="AE15" s="101">
        <f t="shared" si="66"/>
        <v>0.35312239627904168</v>
      </c>
      <c r="AF15" s="101">
        <f t="shared" ref="AF15:AG15" si="67">AF14/AF12</f>
        <v>0.35512004808728287</v>
      </c>
      <c r="AG15" s="101">
        <f t="shared" si="67"/>
        <v>0.3420780553840661</v>
      </c>
    </row>
    <row r="16" spans="1:33" ht="15" thickTop="1" x14ac:dyDescent="0.3">
      <c r="A16" s="175" t="s">
        <v>370</v>
      </c>
      <c r="B16" s="97" t="s">
        <v>386</v>
      </c>
      <c r="C16" s="96">
        <f>SALES!FN70</f>
        <v>20137.349999999999</v>
      </c>
      <c r="D16" s="96">
        <f>SALES!FO70</f>
        <v>20774.05</v>
      </c>
      <c r="E16" s="96">
        <f>SALES!FP70</f>
        <v>19290.099999999999</v>
      </c>
      <c r="F16" s="96">
        <f>SALES!FQ70</f>
        <v>22776.75</v>
      </c>
      <c r="G16" s="96">
        <f>SALES!FR70</f>
        <v>20291.650000000001</v>
      </c>
      <c r="H16" s="96">
        <f>SALES!FS70</f>
        <v>20489.849999999999</v>
      </c>
      <c r="I16" s="96">
        <f>SALES!FT70</f>
        <v>20089.3</v>
      </c>
      <c r="J16" s="96">
        <f>SALES!FU70</f>
        <v>20412</v>
      </c>
      <c r="K16" s="96">
        <f>SALES!FV70</f>
        <v>19683.75</v>
      </c>
      <c r="L16" s="96">
        <f>SALES!FW70</f>
        <v>19151.2</v>
      </c>
      <c r="M16" s="96">
        <f>SALES!FX70</f>
        <v>23599.200000000001</v>
      </c>
      <c r="N16" s="96">
        <f>SALES!FY70</f>
        <v>20250.099999999999</v>
      </c>
      <c r="O16" s="96">
        <f>SALES!FZ70</f>
        <v>31902.75</v>
      </c>
      <c r="P16" s="96">
        <f>SALES!GA70</f>
        <v>17500.66</v>
      </c>
      <c r="Q16" s="96">
        <f>SALES!GB70</f>
        <v>20920.2</v>
      </c>
      <c r="R16" s="96">
        <f>SALES!GC70</f>
        <v>21391.95</v>
      </c>
      <c r="S16" s="96">
        <f>SALES!GD70</f>
        <v>19319.900000000001</v>
      </c>
      <c r="T16" s="96">
        <f>SALES!GE70</f>
        <v>19238.599999999999</v>
      </c>
      <c r="U16" s="96">
        <f>SALES!GF70</f>
        <v>21283.45</v>
      </c>
      <c r="V16" s="96">
        <f>SALES!GG70</f>
        <v>23673.550000000003</v>
      </c>
      <c r="W16" s="96">
        <f>SALES!GH70</f>
        <v>19728.25</v>
      </c>
      <c r="X16" s="96">
        <f>SALES!GI70</f>
        <v>20629.8</v>
      </c>
      <c r="Y16" s="96">
        <f>SALES!GJ70</f>
        <v>24711</v>
      </c>
      <c r="Z16" s="96">
        <f>SALES!GK70</f>
        <v>21459.4</v>
      </c>
      <c r="AA16" s="96">
        <f>SALES!GL70</f>
        <v>20552.5</v>
      </c>
      <c r="AB16" s="96">
        <f>SALES!GM70</f>
        <v>25660.25</v>
      </c>
      <c r="AC16" s="96">
        <f>SALES!GN70</f>
        <v>26820.6</v>
      </c>
      <c r="AD16" s="96">
        <f>SALES!GO70</f>
        <v>21857.45</v>
      </c>
      <c r="AE16" s="96">
        <f>SALES!GP70</f>
        <v>18992.7</v>
      </c>
      <c r="AF16" s="96">
        <f>SALES!GQ70</f>
        <v>20010.900000000001</v>
      </c>
      <c r="AG16" s="96">
        <f>SALES!GR70</f>
        <v>17616.25</v>
      </c>
    </row>
    <row r="17" spans="1:33" x14ac:dyDescent="0.3">
      <c r="A17" s="175"/>
      <c r="B17" s="102" t="s">
        <v>384</v>
      </c>
      <c r="C17" s="125">
        <v>1887</v>
      </c>
      <c r="D17" s="125">
        <v>2663</v>
      </c>
      <c r="E17" s="125">
        <v>2799.1</v>
      </c>
      <c r="F17" s="125">
        <v>4060</v>
      </c>
      <c r="G17" s="125">
        <v>5172</v>
      </c>
      <c r="H17" s="125">
        <v>4084</v>
      </c>
      <c r="I17" s="125">
        <v>3986</v>
      </c>
      <c r="J17" s="125">
        <v>3792</v>
      </c>
      <c r="K17" s="125">
        <v>4294.91</v>
      </c>
      <c r="L17" s="125">
        <v>5326</v>
      </c>
      <c r="M17" s="125">
        <v>4617</v>
      </c>
      <c r="N17" s="125">
        <v>2015</v>
      </c>
      <c r="O17" s="125">
        <v>7078.66</v>
      </c>
      <c r="P17" s="125">
        <v>1670.6999999999998</v>
      </c>
      <c r="Q17" s="125">
        <v>2709</v>
      </c>
      <c r="R17" s="125">
        <v>1959.6</v>
      </c>
      <c r="S17" s="125">
        <v>2647.9</v>
      </c>
      <c r="T17" s="125">
        <v>1716.5</v>
      </c>
      <c r="U17" s="125">
        <v>5064.0200000000004</v>
      </c>
      <c r="V17" s="125">
        <v>3785</v>
      </c>
      <c r="W17" s="125">
        <v>3807</v>
      </c>
      <c r="X17" s="125">
        <v>4004.68</v>
      </c>
      <c r="Y17" s="125">
        <v>3903</v>
      </c>
      <c r="Z17" s="125">
        <v>5217.47</v>
      </c>
      <c r="AA17" s="125">
        <v>4438.4799999999996</v>
      </c>
      <c r="AB17" s="125">
        <v>5242</v>
      </c>
      <c r="AC17" s="125">
        <v>4082.6900000000005</v>
      </c>
      <c r="AD17" s="125">
        <v>5747.73</v>
      </c>
      <c r="AE17" s="125">
        <v>5757.3499999999995</v>
      </c>
      <c r="AF17" s="125">
        <v>7314.07</v>
      </c>
      <c r="AG17" s="125">
        <v>5056</v>
      </c>
    </row>
    <row r="18" spans="1:33" x14ac:dyDescent="0.3">
      <c r="A18" s="175"/>
      <c r="B18" s="99" t="s">
        <v>385</v>
      </c>
      <c r="C18" s="98">
        <f t="shared" ref="C18:H18" si="68">(C16+C17)/1.2</f>
        <v>18353.625</v>
      </c>
      <c r="D18" s="98">
        <f t="shared" si="68"/>
        <v>19530.875</v>
      </c>
      <c r="E18" s="98">
        <f t="shared" si="68"/>
        <v>18407.666666666664</v>
      </c>
      <c r="F18" s="98">
        <f t="shared" si="68"/>
        <v>22363.958333333336</v>
      </c>
      <c r="G18" s="98">
        <f t="shared" si="68"/>
        <v>21219.708333333336</v>
      </c>
      <c r="H18" s="98">
        <f t="shared" si="68"/>
        <v>20478.208333333332</v>
      </c>
      <c r="I18" s="98">
        <f t="shared" ref="I18:J18" si="69">(I16+I17)/1.2</f>
        <v>20062.75</v>
      </c>
      <c r="J18" s="98">
        <f t="shared" si="69"/>
        <v>20170</v>
      </c>
      <c r="K18" s="98">
        <f t="shared" ref="K18:L18" si="70">(K16+K17)/1.2</f>
        <v>19982.216666666667</v>
      </c>
      <c r="L18" s="98">
        <f t="shared" si="70"/>
        <v>20397.666666666668</v>
      </c>
      <c r="M18" s="98">
        <f t="shared" ref="M18:N18" si="71">(M16+M17)/1.2</f>
        <v>23513.5</v>
      </c>
      <c r="N18" s="98">
        <f t="shared" si="71"/>
        <v>18554.25</v>
      </c>
      <c r="O18" s="98">
        <f t="shared" ref="O18:P18" si="72">(O16+O17)/1.2</f>
        <v>32484.508333333339</v>
      </c>
      <c r="P18" s="98">
        <f t="shared" si="72"/>
        <v>15976.133333333335</v>
      </c>
      <c r="Q18" s="98">
        <f t="shared" ref="Q18:R18" si="73">(Q16+Q17)/1.2</f>
        <v>19691</v>
      </c>
      <c r="R18" s="98">
        <f t="shared" si="73"/>
        <v>19459.625</v>
      </c>
      <c r="S18" s="98">
        <f t="shared" ref="S18:W18" si="74">(S16+S17)/1.2</f>
        <v>18306.500000000004</v>
      </c>
      <c r="T18" s="98">
        <f t="shared" si="74"/>
        <v>17462.583333333332</v>
      </c>
      <c r="U18" s="98">
        <f t="shared" si="74"/>
        <v>21956.225000000002</v>
      </c>
      <c r="V18" s="98">
        <f t="shared" si="74"/>
        <v>22882.125000000004</v>
      </c>
      <c r="W18" s="98">
        <f t="shared" si="74"/>
        <v>19612.708333333336</v>
      </c>
      <c r="X18" s="98">
        <f t="shared" ref="X18:Y18" si="75">(X16+X17)/1.2</f>
        <v>20528.733333333334</v>
      </c>
      <c r="Y18" s="98">
        <f t="shared" si="75"/>
        <v>23845</v>
      </c>
      <c r="Z18" s="98">
        <f t="shared" ref="Z18:AA18" si="76">(Z16+Z17)/1.2</f>
        <v>22230.725000000002</v>
      </c>
      <c r="AA18" s="98">
        <f t="shared" si="76"/>
        <v>20825.816666666666</v>
      </c>
      <c r="AB18" s="98">
        <f t="shared" ref="AB18:AC18" si="77">(AB16+AB17)/1.2</f>
        <v>25751.875</v>
      </c>
      <c r="AC18" s="98">
        <f t="shared" si="77"/>
        <v>25752.741666666669</v>
      </c>
      <c r="AD18" s="98">
        <f t="shared" ref="AD18:AE18" si="78">(AD16+AD17)/1.2</f>
        <v>23004.316666666669</v>
      </c>
      <c r="AE18" s="98">
        <f t="shared" si="78"/>
        <v>20625.041666666668</v>
      </c>
      <c r="AF18" s="98">
        <f t="shared" ref="AF18:AG18" si="79">(AF16+AF17)/1.2</f>
        <v>22770.808333333334</v>
      </c>
      <c r="AG18" s="98">
        <f t="shared" si="79"/>
        <v>18893.541666666668</v>
      </c>
    </row>
    <row r="19" spans="1:33" hidden="1" x14ac:dyDescent="0.3">
      <c r="A19" s="175"/>
      <c r="B19" s="97" t="s">
        <v>371</v>
      </c>
      <c r="C19" s="126">
        <v>566</v>
      </c>
      <c r="D19" s="126">
        <v>512</v>
      </c>
      <c r="E19" s="126">
        <v>530</v>
      </c>
      <c r="F19" s="126">
        <v>486</v>
      </c>
      <c r="G19" s="126">
        <v>527</v>
      </c>
      <c r="H19" s="126">
        <v>525</v>
      </c>
      <c r="I19" s="126">
        <v>531</v>
      </c>
      <c r="J19" s="126">
        <v>563</v>
      </c>
      <c r="K19" s="126">
        <v>498</v>
      </c>
      <c r="L19" s="126">
        <v>548</v>
      </c>
      <c r="M19" s="126">
        <v>547</v>
      </c>
      <c r="N19" s="126">
        <f>389+24</f>
        <v>413</v>
      </c>
      <c r="O19" s="126">
        <v>682</v>
      </c>
      <c r="P19" s="126">
        <v>490</v>
      </c>
      <c r="Q19" s="126">
        <v>558</v>
      </c>
      <c r="R19" s="126">
        <v>532</v>
      </c>
      <c r="S19" s="126">
        <v>537</v>
      </c>
      <c r="T19" s="126">
        <v>491.94</v>
      </c>
      <c r="U19" s="126">
        <v>538</v>
      </c>
      <c r="V19" s="126">
        <v>536</v>
      </c>
      <c r="W19" s="126">
        <v>528</v>
      </c>
      <c r="X19" s="126">
        <v>504</v>
      </c>
      <c r="Y19" s="126">
        <v>549</v>
      </c>
      <c r="Z19" s="126">
        <v>552</v>
      </c>
      <c r="AA19" s="126">
        <v>554</v>
      </c>
      <c r="AB19" s="126">
        <v>528</v>
      </c>
      <c r="AC19" s="126"/>
      <c r="AD19" s="126"/>
      <c r="AE19" s="126"/>
      <c r="AF19" s="126"/>
      <c r="AG19" s="126"/>
    </row>
    <row r="20" spans="1:33" x14ac:dyDescent="0.3">
      <c r="A20" s="175"/>
      <c r="B20" s="122" t="s">
        <v>375</v>
      </c>
      <c r="C20" s="119">
        <f t="shared" ref="C20:H20" si="80">C19*12.21*1.1*1.1207</f>
        <v>8519.5008822000018</v>
      </c>
      <c r="D20" s="119">
        <f t="shared" si="80"/>
        <v>7706.6863104000022</v>
      </c>
      <c r="E20" s="119">
        <f t="shared" si="80"/>
        <v>7977.6245010000011</v>
      </c>
      <c r="F20" s="119">
        <f t="shared" si="80"/>
        <v>7315.331146200002</v>
      </c>
      <c r="G20" s="119">
        <f t="shared" si="80"/>
        <v>7932.4681359000006</v>
      </c>
      <c r="H20" s="119">
        <f t="shared" si="80"/>
        <v>7902.3638925000005</v>
      </c>
      <c r="I20" s="119">
        <f t="shared" ref="I20:J20" si="81">I19*12.21*1.1*1.1207</f>
        <v>7992.6766227000007</v>
      </c>
      <c r="J20" s="119">
        <f t="shared" si="81"/>
        <v>8474.3445171000021</v>
      </c>
      <c r="K20" s="119">
        <f t="shared" ref="K20:L20" si="82">K19*12.21*1.1*1.1207</f>
        <v>7495.9566066000025</v>
      </c>
      <c r="L20" s="119">
        <f t="shared" si="82"/>
        <v>8248.5626916000019</v>
      </c>
      <c r="M20" s="119">
        <f t="shared" ref="M20:N20" si="83">M19*12.21*1.1*1.1207</f>
        <v>8233.5105699000014</v>
      </c>
      <c r="N20" s="119">
        <f t="shared" si="83"/>
        <v>6216.5262621000011</v>
      </c>
      <c r="O20" s="119">
        <f t="shared" ref="O20:P20" si="84">O19*12.21*1.1*1.1207</f>
        <v>10265.546999400003</v>
      </c>
      <c r="P20" s="119">
        <f t="shared" si="84"/>
        <v>7375.5396330000021</v>
      </c>
      <c r="Q20" s="119">
        <f t="shared" ref="Q20:R20" si="85">Q19*12.21*1.1*1.1207</f>
        <v>8399.0839086000015</v>
      </c>
      <c r="R20" s="119">
        <f t="shared" si="85"/>
        <v>8007.7287444000012</v>
      </c>
      <c r="S20" s="119">
        <f t="shared" ref="S20:W20" si="86">S19*12.21*1.1*1.1207</f>
        <v>8082.989352900001</v>
      </c>
      <c r="T20" s="119">
        <f t="shared" si="86"/>
        <v>7404.7407490980013</v>
      </c>
      <c r="U20" s="119">
        <f t="shared" si="86"/>
        <v>8098.0414746000015</v>
      </c>
      <c r="V20" s="119">
        <f t="shared" si="86"/>
        <v>8067.9372312000014</v>
      </c>
      <c r="W20" s="119">
        <f t="shared" si="86"/>
        <v>7947.5202576000011</v>
      </c>
      <c r="X20" s="119">
        <f t="shared" ref="X20:Y20" si="87">X19*12.21*1.1*1.1207</f>
        <v>7586.2693368000018</v>
      </c>
      <c r="Y20" s="119">
        <f t="shared" si="87"/>
        <v>8263.6148133000024</v>
      </c>
      <c r="Z20" s="119">
        <f t="shared" ref="Z20:AA20" si="88">Z19*12.21*1.1*1.1207</f>
        <v>8308.7711784000003</v>
      </c>
      <c r="AA20" s="119">
        <f t="shared" si="88"/>
        <v>8338.8754218000013</v>
      </c>
      <c r="AB20" s="119">
        <f>AB19*12.71*1.1*1.1207</f>
        <v>8272.9715376000004</v>
      </c>
      <c r="AC20" s="119">
        <v>9208</v>
      </c>
      <c r="AD20" s="119">
        <v>7970</v>
      </c>
      <c r="AE20" s="119">
        <v>8413</v>
      </c>
      <c r="AF20" s="119">
        <v>8150</v>
      </c>
      <c r="AG20" s="119">
        <v>7005</v>
      </c>
    </row>
    <row r="21" spans="1:33" ht="15" thickBot="1" x14ac:dyDescent="0.35">
      <c r="A21" s="175"/>
      <c r="B21" s="100" t="s">
        <v>387</v>
      </c>
      <c r="C21" s="101">
        <f t="shared" ref="C21:H21" si="89">C20/C18</f>
        <v>0.46418627830741893</v>
      </c>
      <c r="D21" s="101">
        <f t="shared" si="89"/>
        <v>0.39458991521885234</v>
      </c>
      <c r="E21" s="101">
        <f t="shared" si="89"/>
        <v>0.43338597147927505</v>
      </c>
      <c r="F21" s="101">
        <f t="shared" si="89"/>
        <v>0.3271035939687183</v>
      </c>
      <c r="G21" s="101">
        <f t="shared" si="89"/>
        <v>0.37382550274921306</v>
      </c>
      <c r="H21" s="101">
        <f t="shared" si="89"/>
        <v>0.38589137115266842</v>
      </c>
      <c r="I21" s="101">
        <f t="shared" ref="I21:J21" si="90">I20/I18</f>
        <v>0.39838390164359327</v>
      </c>
      <c r="J21" s="101">
        <f t="shared" si="90"/>
        <v>0.4201459849826476</v>
      </c>
      <c r="K21" s="101">
        <f t="shared" ref="K21:L21" si="91">K20/K18</f>
        <v>0.37513138465285395</v>
      </c>
      <c r="L21" s="101">
        <f t="shared" si="91"/>
        <v>0.40438756189106606</v>
      </c>
      <c r="M21" s="101">
        <f t="shared" ref="M21:N21" si="92">M20/M18</f>
        <v>0.35016099559402053</v>
      </c>
      <c r="N21" s="101">
        <f t="shared" si="92"/>
        <v>0.33504594699866613</v>
      </c>
      <c r="O21" s="101">
        <f t="shared" ref="O21:P21" si="93">O20/O18</f>
        <v>0.31601361775471953</v>
      </c>
      <c r="P21" s="101">
        <f t="shared" si="93"/>
        <v>0.46165986970147144</v>
      </c>
      <c r="Q21" s="101">
        <f t="shared" ref="Q21:R21" si="94">Q20/Q18</f>
        <v>0.42654430494134382</v>
      </c>
      <c r="R21" s="101">
        <f t="shared" si="94"/>
        <v>0.4115047820500139</v>
      </c>
      <c r="S21" s="101">
        <f t="shared" ref="S21:W21" si="95">S20/S18</f>
        <v>0.44153657733045637</v>
      </c>
      <c r="T21" s="101">
        <f t="shared" si="95"/>
        <v>0.42403466931284517</v>
      </c>
      <c r="U21" s="101">
        <f t="shared" si="95"/>
        <v>0.36882667556012022</v>
      </c>
      <c r="V21" s="101">
        <f t="shared" si="95"/>
        <v>0.35258688741539523</v>
      </c>
      <c r="W21" s="101">
        <f t="shared" si="95"/>
        <v>0.40522298718390498</v>
      </c>
      <c r="X21" s="101">
        <f t="shared" ref="X21:Y21" si="96">X20/X18</f>
        <v>0.36954395644478805</v>
      </c>
      <c r="Y21" s="101">
        <f t="shared" si="96"/>
        <v>0.34655545453134839</v>
      </c>
      <c r="Z21" s="101">
        <f t="shared" ref="Z21:AA21" si="97">Z20/Z18</f>
        <v>0.37375169628520882</v>
      </c>
      <c r="AA21" s="101">
        <f t="shared" si="97"/>
        <v>0.40041048835059695</v>
      </c>
      <c r="AB21" s="101">
        <f t="shared" ref="AB21:AC21" si="98">AB20/AB18</f>
        <v>0.32125705555809042</v>
      </c>
      <c r="AC21" s="101">
        <f t="shared" si="98"/>
        <v>0.35755416332694673</v>
      </c>
      <c r="AD21" s="101">
        <f t="shared" ref="AD21:AE21" si="99">AD20/AD18</f>
        <v>0.34645671573233716</v>
      </c>
      <c r="AE21" s="101">
        <f t="shared" si="99"/>
        <v>0.40790220625816914</v>
      </c>
      <c r="AF21" s="101">
        <f t="shared" ref="AF21:AG21" si="100">AF20/AF18</f>
        <v>0.35791439112284479</v>
      </c>
      <c r="AG21" s="101">
        <f t="shared" si="100"/>
        <v>0.37076161386717238</v>
      </c>
    </row>
    <row r="22" spans="1:33" ht="15" thickTop="1" x14ac:dyDescent="0.3">
      <c r="A22" s="178" t="s">
        <v>121</v>
      </c>
      <c r="B22" s="97" t="s">
        <v>386</v>
      </c>
      <c r="C22" s="96">
        <f>SALES!FN14</f>
        <v>23854.9</v>
      </c>
      <c r="D22" s="96">
        <f>SALES!FO14</f>
        <v>22257.95</v>
      </c>
      <c r="E22" s="96">
        <f>SALES!FP14</f>
        <v>27587.260000000002</v>
      </c>
      <c r="F22" s="96">
        <f>SALES!FQ14</f>
        <v>25736.3</v>
      </c>
      <c r="G22" s="96">
        <f>SALES!FR14</f>
        <v>19459.400000000001</v>
      </c>
      <c r="H22" s="96">
        <f>SALES!FS14</f>
        <v>26891.050000000003</v>
      </c>
      <c r="I22" s="96">
        <f>SALES!FT14</f>
        <v>29234.300000000003</v>
      </c>
      <c r="J22" s="96">
        <f>SALES!FU14</f>
        <v>24741.699999999997</v>
      </c>
      <c r="K22" s="96">
        <f>SALES!FV14</f>
        <v>21208.75</v>
      </c>
      <c r="L22" s="96">
        <f>SALES!FW14</f>
        <v>23509</v>
      </c>
      <c r="M22" s="96">
        <f>SALES!FX14</f>
        <v>25814.010000000002</v>
      </c>
      <c r="N22" s="96">
        <f>SALES!FY14</f>
        <v>26748.550000000003</v>
      </c>
      <c r="O22" s="96">
        <f>SALES!FZ14</f>
        <v>45769.85</v>
      </c>
      <c r="P22" s="96">
        <f>SALES!GA14</f>
        <v>21188.2</v>
      </c>
      <c r="Q22" s="96">
        <f>SALES!GB14</f>
        <v>21912.58</v>
      </c>
      <c r="R22" s="96">
        <f>SALES!GC14</f>
        <v>23396.400000000001</v>
      </c>
      <c r="S22" s="96">
        <f>SALES!GD14</f>
        <v>22979.5</v>
      </c>
      <c r="T22" s="96">
        <f>SALES!GE14</f>
        <v>24917.8</v>
      </c>
      <c r="U22" s="96">
        <f>SALES!GF14</f>
        <v>23436.2</v>
      </c>
      <c r="V22" s="96">
        <f>SALES!GG14</f>
        <v>25599.05</v>
      </c>
      <c r="W22" s="96">
        <f>SALES!GH14</f>
        <v>20963.099999999999</v>
      </c>
      <c r="X22" s="96">
        <f>SALES!GI14</f>
        <v>22162.25</v>
      </c>
      <c r="Y22" s="96">
        <f>SALES!GJ14</f>
        <v>25849.1</v>
      </c>
      <c r="Z22" s="96">
        <f>SALES!GK14</f>
        <v>23805.85</v>
      </c>
      <c r="AA22" s="96">
        <f>SALES!GL14</f>
        <v>21694.85</v>
      </c>
      <c r="AB22" s="96">
        <f>SALES!GM14</f>
        <v>30989.4</v>
      </c>
      <c r="AC22" s="96">
        <f>SALES!GN14</f>
        <v>30712.12</v>
      </c>
      <c r="AD22" s="96">
        <f>SALES!GO14</f>
        <v>25361.4</v>
      </c>
      <c r="AE22" s="96">
        <f>SALES!GP14</f>
        <v>24442.15</v>
      </c>
      <c r="AF22" s="96">
        <f>SALES!GQ14</f>
        <v>30152.65</v>
      </c>
      <c r="AG22" s="96">
        <f>SALES!GR14</f>
        <v>23850.45</v>
      </c>
    </row>
    <row r="23" spans="1:33" x14ac:dyDescent="0.3">
      <c r="A23" s="176"/>
      <c r="B23" s="102" t="s">
        <v>384</v>
      </c>
      <c r="C23" s="125">
        <v>6669</v>
      </c>
      <c r="D23" s="125">
        <v>6867</v>
      </c>
      <c r="E23" s="125">
        <v>7175.5</v>
      </c>
      <c r="F23" s="125">
        <v>6981</v>
      </c>
      <c r="G23" s="125">
        <v>5172.7</v>
      </c>
      <c r="H23" s="125">
        <v>6377</v>
      </c>
      <c r="I23" s="125">
        <v>5299</v>
      </c>
      <c r="J23" s="125">
        <v>7085</v>
      </c>
      <c r="K23" s="125">
        <v>5203.5599999999995</v>
      </c>
      <c r="L23" s="125">
        <v>3588.3799999999997</v>
      </c>
      <c r="M23" s="125">
        <v>5155.0800000000008</v>
      </c>
      <c r="N23" s="125">
        <v>3988.2</v>
      </c>
      <c r="O23" s="125">
        <v>6270.9000000000005</v>
      </c>
      <c r="P23" s="125">
        <v>3283.3999999999996</v>
      </c>
      <c r="Q23" s="125">
        <v>4704.2000000000007</v>
      </c>
      <c r="R23" s="125">
        <v>4183.37</v>
      </c>
      <c r="S23" s="125">
        <v>4658.5399999999991</v>
      </c>
      <c r="T23" s="125">
        <v>3407</v>
      </c>
      <c r="U23" s="125">
        <v>6215.3</v>
      </c>
      <c r="V23" s="125">
        <v>4766</v>
      </c>
      <c r="W23" s="125">
        <v>2698</v>
      </c>
      <c r="X23" s="125">
        <v>4428.7</v>
      </c>
      <c r="Y23" s="125">
        <v>4394</v>
      </c>
      <c r="Z23" s="125">
        <v>5401.08</v>
      </c>
      <c r="AA23" s="125">
        <v>5006.7000000000007</v>
      </c>
      <c r="AB23" s="125">
        <v>7630</v>
      </c>
      <c r="AC23" s="125">
        <v>6750.5999999999985</v>
      </c>
      <c r="AD23" s="125">
        <v>6858.86</v>
      </c>
      <c r="AE23" s="125">
        <v>7267.8999999999978</v>
      </c>
      <c r="AF23" s="125">
        <v>7208.2</v>
      </c>
      <c r="AG23" s="125">
        <v>6003</v>
      </c>
    </row>
    <row r="24" spans="1:33" x14ac:dyDescent="0.3">
      <c r="A24" s="176"/>
      <c r="B24" s="99" t="s">
        <v>385</v>
      </c>
      <c r="C24" s="98">
        <f t="shared" ref="C24:H24" si="101">(C22+C23)/1.2</f>
        <v>25436.583333333336</v>
      </c>
      <c r="D24" s="98">
        <f t="shared" si="101"/>
        <v>24270.791666666668</v>
      </c>
      <c r="E24" s="98">
        <f t="shared" si="101"/>
        <v>28968.966666666671</v>
      </c>
      <c r="F24" s="98">
        <f t="shared" si="101"/>
        <v>27264.416666666668</v>
      </c>
      <c r="G24" s="98">
        <f t="shared" si="101"/>
        <v>20526.750000000004</v>
      </c>
      <c r="H24" s="98">
        <f t="shared" si="101"/>
        <v>27723.375000000004</v>
      </c>
      <c r="I24" s="98">
        <f t="shared" ref="I24:J24" si="102">(I22+I23)/1.2</f>
        <v>28777.750000000004</v>
      </c>
      <c r="J24" s="98">
        <f t="shared" si="102"/>
        <v>26522.25</v>
      </c>
      <c r="K24" s="98">
        <f t="shared" ref="K24:L24" si="103">(K22+K23)/1.2</f>
        <v>22010.258333333331</v>
      </c>
      <c r="L24" s="98">
        <f t="shared" si="103"/>
        <v>22581.15</v>
      </c>
      <c r="M24" s="98">
        <f t="shared" ref="M24:N24" si="104">(M22+M23)/1.2</f>
        <v>25807.575000000004</v>
      </c>
      <c r="N24" s="98">
        <f t="shared" si="104"/>
        <v>25613.958333333336</v>
      </c>
      <c r="O24" s="98">
        <f t="shared" ref="O24:P24" si="105">(O22+O23)/1.2</f>
        <v>43367.291666666672</v>
      </c>
      <c r="P24" s="98">
        <f t="shared" si="105"/>
        <v>20393</v>
      </c>
      <c r="Q24" s="98">
        <f t="shared" ref="Q24:R24" si="106">(Q22+Q23)/1.2</f>
        <v>22180.65</v>
      </c>
      <c r="R24" s="98">
        <f t="shared" si="106"/>
        <v>22983.141666666666</v>
      </c>
      <c r="S24" s="98">
        <f t="shared" ref="S24:W24" si="107">(S22+S23)/1.2</f>
        <v>23031.7</v>
      </c>
      <c r="T24" s="98">
        <f t="shared" si="107"/>
        <v>23604</v>
      </c>
      <c r="U24" s="98">
        <f t="shared" si="107"/>
        <v>24709.583333333336</v>
      </c>
      <c r="V24" s="98">
        <f t="shared" si="107"/>
        <v>25304.208333333332</v>
      </c>
      <c r="W24" s="98">
        <f t="shared" si="107"/>
        <v>19717.583333333332</v>
      </c>
      <c r="X24" s="98">
        <f t="shared" ref="X24:Y24" si="108">(X22+X23)/1.2</f>
        <v>22159.125</v>
      </c>
      <c r="Y24" s="98">
        <f t="shared" si="108"/>
        <v>25202.583333333332</v>
      </c>
      <c r="Z24" s="98">
        <f t="shared" ref="Z24:AA24" si="109">(Z22+Z23)/1.2</f>
        <v>24339.108333333334</v>
      </c>
      <c r="AA24" s="98">
        <f t="shared" si="109"/>
        <v>22251.291666666668</v>
      </c>
      <c r="AB24" s="98">
        <f t="shared" ref="AB24:AC24" si="110">(AB22+AB23)/1.2</f>
        <v>32182.833333333336</v>
      </c>
      <c r="AC24" s="98">
        <f t="shared" si="110"/>
        <v>31218.933333333334</v>
      </c>
      <c r="AD24" s="98">
        <f t="shared" ref="AD24:AE24" si="111">(AD22+AD23)/1.2</f>
        <v>26850.216666666671</v>
      </c>
      <c r="AE24" s="98">
        <f t="shared" si="111"/>
        <v>26425.041666666668</v>
      </c>
      <c r="AF24" s="98">
        <f t="shared" ref="AF24:AG24" si="112">(AF22+AF23)/1.2</f>
        <v>31134.041666666668</v>
      </c>
      <c r="AG24" s="98">
        <f t="shared" si="112"/>
        <v>24877.875</v>
      </c>
    </row>
    <row r="25" spans="1:33" hidden="1" x14ac:dyDescent="0.3">
      <c r="A25" s="176"/>
      <c r="B25" s="97" t="s">
        <v>371</v>
      </c>
      <c r="C25" s="126">
        <v>643</v>
      </c>
      <c r="D25" s="126">
        <v>635</v>
      </c>
      <c r="E25" s="126">
        <v>663</v>
      </c>
      <c r="F25" s="126">
        <v>634</v>
      </c>
      <c r="G25" s="126">
        <v>583</v>
      </c>
      <c r="H25" s="126">
        <v>610</v>
      </c>
      <c r="I25" s="126">
        <v>704</v>
      </c>
      <c r="J25" s="126">
        <v>688</v>
      </c>
      <c r="K25" s="126">
        <v>678</v>
      </c>
      <c r="L25" s="126">
        <v>632</v>
      </c>
      <c r="M25" s="126">
        <v>651</v>
      </c>
      <c r="N25" s="126">
        <f>528+12</f>
        <v>540</v>
      </c>
      <c r="O25" s="126">
        <v>859</v>
      </c>
      <c r="P25" s="126">
        <v>571</v>
      </c>
      <c r="Q25" s="126">
        <v>614</v>
      </c>
      <c r="R25" s="126">
        <v>549</v>
      </c>
      <c r="S25" s="126">
        <v>635</v>
      </c>
      <c r="T25" s="126">
        <v>635</v>
      </c>
      <c r="U25" s="126">
        <v>660.5</v>
      </c>
      <c r="V25" s="126">
        <v>619</v>
      </c>
      <c r="W25" s="126">
        <v>587</v>
      </c>
      <c r="X25" s="126">
        <v>639</v>
      </c>
      <c r="Y25" s="126">
        <v>641</v>
      </c>
      <c r="Z25" s="126">
        <v>627</v>
      </c>
      <c r="AA25" s="126">
        <v>626</v>
      </c>
      <c r="AB25" s="126"/>
      <c r="AC25" s="126"/>
      <c r="AD25" s="126"/>
      <c r="AE25" s="126"/>
      <c r="AF25" s="126"/>
      <c r="AG25" s="126"/>
    </row>
    <row r="26" spans="1:33" x14ac:dyDescent="0.3">
      <c r="A26" s="176"/>
      <c r="B26" s="122" t="s">
        <v>375</v>
      </c>
      <c r="C26" s="119">
        <f t="shared" ref="C26:H26" si="113">C25*12.21*1.1*1.1207</f>
        <v>9678.514253100002</v>
      </c>
      <c r="D26" s="119">
        <f t="shared" si="113"/>
        <v>9558.0972795000016</v>
      </c>
      <c r="E26" s="119">
        <f t="shared" si="113"/>
        <v>9979.556687100001</v>
      </c>
      <c r="F26" s="119">
        <f t="shared" si="113"/>
        <v>9543.0451578000011</v>
      </c>
      <c r="G26" s="119">
        <f t="shared" si="113"/>
        <v>8775.3869511000012</v>
      </c>
      <c r="H26" s="119">
        <f t="shared" si="113"/>
        <v>9181.7942370000019</v>
      </c>
      <c r="I26" s="119">
        <f t="shared" ref="I26:J26" si="114">I25*12.21*1.1*1.1207</f>
        <v>10596.693676800001</v>
      </c>
      <c r="J26" s="119">
        <f t="shared" si="114"/>
        <v>10355.859729600003</v>
      </c>
      <c r="K26" s="119">
        <f t="shared" ref="K26:L26" si="115">K25*12.21*1.1*1.1207</f>
        <v>10205.338512600003</v>
      </c>
      <c r="L26" s="119">
        <f t="shared" si="115"/>
        <v>9512.9409144000019</v>
      </c>
      <c r="M26" s="119">
        <f t="shared" ref="M26:N26" si="116">M25*12.21*1.1*1.1207</f>
        <v>9798.9312267000023</v>
      </c>
      <c r="N26" s="119">
        <f t="shared" si="116"/>
        <v>8128.1457180000016</v>
      </c>
      <c r="O26" s="119">
        <f t="shared" ref="O26:P26" si="117">O25*12.21*1.1*1.1207</f>
        <v>12929.772540300004</v>
      </c>
      <c r="P26" s="119">
        <f t="shared" si="117"/>
        <v>8594.7614907000025</v>
      </c>
      <c r="Q26" s="119">
        <f t="shared" ref="Q26:R26" si="118">Q25*12.21*1.1*1.1207</f>
        <v>9242.0027238000021</v>
      </c>
      <c r="R26" s="119">
        <f t="shared" si="118"/>
        <v>8263.6148133000024</v>
      </c>
      <c r="S26" s="119">
        <f t="shared" ref="S26:W26" si="119">S25*12.21*1.1*1.1207</f>
        <v>9558.0972795000016</v>
      </c>
      <c r="T26" s="119">
        <f t="shared" si="119"/>
        <v>9558.0972795000016</v>
      </c>
      <c r="U26" s="119">
        <f t="shared" si="119"/>
        <v>9941.9263828500025</v>
      </c>
      <c r="V26" s="119">
        <f t="shared" si="119"/>
        <v>9317.2633323000009</v>
      </c>
      <c r="W26" s="119">
        <f t="shared" si="119"/>
        <v>8835.5954379000013</v>
      </c>
      <c r="X26" s="119">
        <f t="shared" ref="X26:Y26" si="120">X25*12.21*1.1*1.1207</f>
        <v>9618.3057663000018</v>
      </c>
      <c r="Y26" s="119">
        <f t="shared" si="120"/>
        <v>9648.410009700001</v>
      </c>
      <c r="Z26" s="119">
        <f t="shared" ref="Z26:AA26" si="121">Z25*12.21*1.1*1.1207</f>
        <v>9437.6803059000013</v>
      </c>
      <c r="AA26" s="119">
        <f t="shared" si="121"/>
        <v>9422.6281842000026</v>
      </c>
      <c r="AB26" s="119">
        <v>10485</v>
      </c>
      <c r="AC26" s="119">
        <v>11707</v>
      </c>
      <c r="AD26" s="119">
        <v>9607</v>
      </c>
      <c r="AE26" s="119">
        <v>8669</v>
      </c>
      <c r="AF26" s="119">
        <v>9758</v>
      </c>
      <c r="AG26" s="119">
        <v>9991</v>
      </c>
    </row>
    <row r="27" spans="1:33" ht="15" thickBot="1" x14ac:dyDescent="0.35">
      <c r="A27" s="176"/>
      <c r="B27" s="100" t="s">
        <v>387</v>
      </c>
      <c r="C27" s="101">
        <f t="shared" ref="C27:H27" si="122">C26/C24</f>
        <v>0.38049584436195905</v>
      </c>
      <c r="D27" s="101">
        <f t="shared" si="122"/>
        <v>0.39381069273595326</v>
      </c>
      <c r="E27" s="101">
        <f t="shared" si="122"/>
        <v>0.34449128965939413</v>
      </c>
      <c r="F27" s="101">
        <f t="shared" si="122"/>
        <v>0.35001831414450463</v>
      </c>
      <c r="G27" s="101">
        <f t="shared" si="122"/>
        <v>0.42750980798713872</v>
      </c>
      <c r="H27" s="101">
        <f t="shared" si="122"/>
        <v>0.33119323448173249</v>
      </c>
      <c r="I27" s="101">
        <f t="shared" ref="I27:J27" si="123">I26/I24</f>
        <v>0.36822523222976083</v>
      </c>
      <c r="J27" s="101">
        <f t="shared" si="123"/>
        <v>0.39045932112094572</v>
      </c>
      <c r="K27" s="101">
        <f t="shared" ref="K27:L27" si="124">K26/K24</f>
        <v>0.46366282294581596</v>
      </c>
      <c r="L27" s="101">
        <f t="shared" si="124"/>
        <v>0.42127796478035889</v>
      </c>
      <c r="M27" s="101">
        <f t="shared" ref="M27:N27" si="125">M26/M24</f>
        <v>0.37969205656478772</v>
      </c>
      <c r="N27" s="101">
        <f t="shared" si="125"/>
        <v>0.31733266729891746</v>
      </c>
      <c r="O27" s="101">
        <f t="shared" ref="O27:P27" si="126">O26/O24</f>
        <v>0.29814572327185912</v>
      </c>
      <c r="P27" s="101">
        <f t="shared" si="126"/>
        <v>0.42145645519050667</v>
      </c>
      <c r="Q27" s="101">
        <f t="shared" ref="Q27:R27" si="127">Q26/Q24</f>
        <v>0.41666960723874197</v>
      </c>
      <c r="R27" s="101">
        <f t="shared" si="127"/>
        <v>0.35955114114294656</v>
      </c>
      <c r="S27" s="101">
        <f t="shared" ref="S27:W27" si="128">S26/S24</f>
        <v>0.41499747215793892</v>
      </c>
      <c r="T27" s="101">
        <f t="shared" si="128"/>
        <v>0.4049354888790036</v>
      </c>
      <c r="U27" s="101">
        <f t="shared" si="128"/>
        <v>0.40235103314908188</v>
      </c>
      <c r="V27" s="101">
        <f t="shared" si="128"/>
        <v>0.3682100308993399</v>
      </c>
      <c r="W27" s="101">
        <f t="shared" si="128"/>
        <v>0.44810742211816029</v>
      </c>
      <c r="X27" s="101">
        <f t="shared" ref="X27:Y27" si="129">X26/X24</f>
        <v>0.43405620782860344</v>
      </c>
      <c r="Y27" s="101">
        <f t="shared" si="129"/>
        <v>0.38283416751721888</v>
      </c>
      <c r="Z27" s="101">
        <f t="shared" ref="Z27:AA27" si="130">Z26/Z24</f>
        <v>0.38775784949256908</v>
      </c>
      <c r="AA27" s="101">
        <f t="shared" si="130"/>
        <v>0.42346432402014123</v>
      </c>
      <c r="AB27" s="101">
        <f t="shared" ref="AB27:AC27" si="131">AB26/AB24</f>
        <v>0.32579480779090297</v>
      </c>
      <c r="AC27" s="101">
        <f t="shared" si="131"/>
        <v>0.3749967968156076</v>
      </c>
      <c r="AD27" s="101">
        <f t="shared" ref="AD27:AE27" si="132">AD26/AD24</f>
        <v>0.35779971980362663</v>
      </c>
      <c r="AE27" s="101">
        <f t="shared" si="132"/>
        <v>0.32806003144113616</v>
      </c>
      <c r="AF27" s="101">
        <f t="shared" ref="AF27:AG27" si="133">AF26/AF24</f>
        <v>0.31341899341155244</v>
      </c>
      <c r="AG27" s="101">
        <f t="shared" si="133"/>
        <v>0.40160182491470836</v>
      </c>
    </row>
    <row r="28" spans="1:33" ht="15" thickTop="1" x14ac:dyDescent="0.3">
      <c r="A28" s="181" t="s">
        <v>126</v>
      </c>
      <c r="B28" s="123" t="s">
        <v>386</v>
      </c>
      <c r="C28" s="124">
        <f>SALES!FN56</f>
        <v>23516.799999999999</v>
      </c>
      <c r="D28" s="124">
        <f>SALES!FO56</f>
        <v>20162.55</v>
      </c>
      <c r="E28" s="124">
        <f>SALES!FP56</f>
        <v>24161.15</v>
      </c>
      <c r="F28" s="124">
        <f>SALES!FQ56</f>
        <v>22013.9</v>
      </c>
      <c r="G28" s="124">
        <f>SALES!FR56</f>
        <v>21116.7</v>
      </c>
      <c r="H28" s="124">
        <f>SALES!FS56</f>
        <v>21328.15</v>
      </c>
      <c r="I28" s="124">
        <f>SALES!FT56</f>
        <v>23655.1</v>
      </c>
      <c r="J28" s="124">
        <f>SALES!FU56</f>
        <v>29517.65</v>
      </c>
      <c r="K28" s="124">
        <f>SALES!FV56</f>
        <v>25861</v>
      </c>
      <c r="L28" s="124">
        <f>SALES!FW56</f>
        <v>30363.9</v>
      </c>
      <c r="M28" s="124">
        <f>SALES!FX56</f>
        <v>35528.850000000006</v>
      </c>
      <c r="N28" s="124">
        <f>SALES!FY56</f>
        <v>32646.55</v>
      </c>
      <c r="O28" s="124">
        <f>SALES!FZ56</f>
        <v>39735.599999999999</v>
      </c>
      <c r="P28" s="124">
        <f>SALES!GA56</f>
        <v>17591.400000000001</v>
      </c>
      <c r="Q28" s="124">
        <f>SALES!GB56</f>
        <v>21651.3</v>
      </c>
      <c r="R28" s="124">
        <f>SALES!GC56</f>
        <v>22701.95</v>
      </c>
      <c r="S28" s="124">
        <f>SALES!GD56</f>
        <v>22318.2</v>
      </c>
      <c r="T28" s="124">
        <f>SALES!GE56</f>
        <v>23136.05</v>
      </c>
      <c r="U28" s="124">
        <f>SALES!GF56</f>
        <v>24225.85</v>
      </c>
      <c r="V28" s="124">
        <f>SALES!GG56</f>
        <v>28371.5</v>
      </c>
      <c r="W28" s="124">
        <f>SALES!GH56</f>
        <v>24394.6</v>
      </c>
      <c r="X28" s="124">
        <f>SALES!GI56</f>
        <v>21541.35</v>
      </c>
      <c r="Y28" s="124">
        <f>SALES!GJ56</f>
        <v>27150.3</v>
      </c>
      <c r="Z28" s="124">
        <f>SALES!GK56</f>
        <v>23469.95</v>
      </c>
      <c r="AA28" s="124">
        <f>SALES!GL56</f>
        <v>23791.1</v>
      </c>
      <c r="AB28" s="124">
        <f>SALES!GM56</f>
        <v>30796.85</v>
      </c>
      <c r="AC28" s="124">
        <f>SALES!GN56</f>
        <v>23623.5</v>
      </c>
      <c r="AD28" s="124">
        <f>SALES!GO56</f>
        <v>24518.35</v>
      </c>
      <c r="AE28" s="124">
        <f>SALES!GP56</f>
        <v>19366.45</v>
      </c>
      <c r="AF28" s="124">
        <f>SALES!GQ56</f>
        <v>21731.5</v>
      </c>
      <c r="AG28" s="124">
        <f>SALES!GR56</f>
        <v>22048.2</v>
      </c>
    </row>
    <row r="29" spans="1:33" x14ac:dyDescent="0.3">
      <c r="A29" s="175"/>
      <c r="B29" s="99" t="s">
        <v>385</v>
      </c>
      <c r="C29" s="98">
        <f t="shared" ref="C29:H29" si="134">C28/1.2</f>
        <v>19597.333333333332</v>
      </c>
      <c r="D29" s="98">
        <f t="shared" si="134"/>
        <v>16802.125</v>
      </c>
      <c r="E29" s="98">
        <f t="shared" si="134"/>
        <v>20134.291666666668</v>
      </c>
      <c r="F29" s="98">
        <f t="shared" si="134"/>
        <v>18344.916666666668</v>
      </c>
      <c r="G29" s="98">
        <f t="shared" si="134"/>
        <v>17597.25</v>
      </c>
      <c r="H29" s="98">
        <f t="shared" si="134"/>
        <v>17773.458333333336</v>
      </c>
      <c r="I29" s="98">
        <f t="shared" ref="I29:J29" si="135">I28/1.2</f>
        <v>19712.583333333332</v>
      </c>
      <c r="J29" s="98">
        <f t="shared" si="135"/>
        <v>24598.041666666668</v>
      </c>
      <c r="K29" s="98">
        <f t="shared" ref="K29:L29" si="136">K28/1.2</f>
        <v>21550.833333333336</v>
      </c>
      <c r="L29" s="98">
        <f t="shared" si="136"/>
        <v>25303.250000000004</v>
      </c>
      <c r="M29" s="98">
        <f t="shared" ref="M29:N29" si="137">M28/1.2</f>
        <v>29607.375000000007</v>
      </c>
      <c r="N29" s="98">
        <f t="shared" si="137"/>
        <v>27205.458333333332</v>
      </c>
      <c r="O29" s="98">
        <f t="shared" ref="O29:P29" si="138">O28/1.2</f>
        <v>33113</v>
      </c>
      <c r="P29" s="98">
        <f t="shared" si="138"/>
        <v>14659.500000000002</v>
      </c>
      <c r="Q29" s="98">
        <f t="shared" ref="Q29:R29" si="139">Q28/1.2</f>
        <v>18042.75</v>
      </c>
      <c r="R29" s="98">
        <f t="shared" si="139"/>
        <v>18918.291666666668</v>
      </c>
      <c r="S29" s="98">
        <f t="shared" ref="S29:W29" si="140">S28/1.2</f>
        <v>18598.5</v>
      </c>
      <c r="T29" s="98">
        <f t="shared" si="140"/>
        <v>19280.041666666668</v>
      </c>
      <c r="U29" s="98">
        <f t="shared" si="140"/>
        <v>20188.208333333332</v>
      </c>
      <c r="V29" s="98">
        <f t="shared" si="140"/>
        <v>23642.916666666668</v>
      </c>
      <c r="W29" s="98">
        <f t="shared" si="140"/>
        <v>20328.833333333332</v>
      </c>
      <c r="X29" s="98">
        <f t="shared" ref="X29:Y29" si="141">X28/1.2</f>
        <v>17951.125</v>
      </c>
      <c r="Y29" s="98">
        <f t="shared" si="141"/>
        <v>22625.25</v>
      </c>
      <c r="Z29" s="98">
        <f t="shared" ref="Z29:AA29" si="142">Z28/1.2</f>
        <v>19558.291666666668</v>
      </c>
      <c r="AA29" s="98">
        <f t="shared" si="142"/>
        <v>19825.916666666668</v>
      </c>
      <c r="AB29" s="98">
        <f t="shared" ref="AB29:AC29" si="143">AB28/1.2</f>
        <v>25664.041666666668</v>
      </c>
      <c r="AC29" s="98">
        <f t="shared" si="143"/>
        <v>19686.25</v>
      </c>
      <c r="AD29" s="98">
        <f t="shared" ref="AD29:AE29" si="144">AD28/1.2</f>
        <v>20431.958333333332</v>
      </c>
      <c r="AE29" s="98">
        <f t="shared" si="144"/>
        <v>16138.708333333334</v>
      </c>
      <c r="AF29" s="98">
        <f t="shared" ref="AF29:AG29" si="145">AF28/1.2</f>
        <v>18109.583333333336</v>
      </c>
      <c r="AG29" s="98">
        <f t="shared" si="145"/>
        <v>18373.5</v>
      </c>
    </row>
    <row r="30" spans="1:33" hidden="1" x14ac:dyDescent="0.3">
      <c r="A30" s="175"/>
      <c r="B30" s="97" t="s">
        <v>371</v>
      </c>
      <c r="C30" s="126">
        <v>441</v>
      </c>
      <c r="D30" s="126">
        <v>437</v>
      </c>
      <c r="E30" s="126">
        <v>449</v>
      </c>
      <c r="F30" s="126">
        <v>397</v>
      </c>
      <c r="G30" s="126">
        <v>437</v>
      </c>
      <c r="H30" s="126">
        <v>432</v>
      </c>
      <c r="I30" s="126">
        <v>449</v>
      </c>
      <c r="J30" s="126">
        <v>500</v>
      </c>
      <c r="K30" s="126">
        <v>478</v>
      </c>
      <c r="L30" s="126">
        <v>512</v>
      </c>
      <c r="M30" s="126">
        <v>577</v>
      </c>
      <c r="N30" s="126">
        <f>520+15</f>
        <v>535</v>
      </c>
      <c r="O30" s="126">
        <v>711</v>
      </c>
      <c r="P30" s="126">
        <v>408</v>
      </c>
      <c r="Q30" s="126">
        <v>424</v>
      </c>
      <c r="R30" s="126">
        <v>441</v>
      </c>
      <c r="S30" s="126">
        <v>428</v>
      </c>
      <c r="T30" s="126">
        <v>421</v>
      </c>
      <c r="U30" s="126">
        <v>434</v>
      </c>
      <c r="V30" s="126">
        <v>503</v>
      </c>
      <c r="W30" s="126">
        <v>476</v>
      </c>
      <c r="X30" s="126">
        <v>439</v>
      </c>
      <c r="Y30" s="126">
        <v>485</v>
      </c>
      <c r="Z30" s="126">
        <v>498</v>
      </c>
      <c r="AA30" s="126">
        <v>454</v>
      </c>
      <c r="AB30" s="126"/>
      <c r="AC30" s="126"/>
      <c r="AD30" s="126"/>
      <c r="AE30" s="126"/>
      <c r="AF30" s="126"/>
      <c r="AG30" s="126"/>
    </row>
    <row r="31" spans="1:33" x14ac:dyDescent="0.3">
      <c r="A31" s="175"/>
      <c r="B31" s="122" t="s">
        <v>375</v>
      </c>
      <c r="C31" s="119">
        <f t="shared" ref="C31:H31" si="146">C30*12.21*1.1*1.1207</f>
        <v>6637.9856697000014</v>
      </c>
      <c r="D31" s="119">
        <f t="shared" si="146"/>
        <v>6577.7771829000012</v>
      </c>
      <c r="E31" s="119">
        <f t="shared" si="146"/>
        <v>6758.4026433000008</v>
      </c>
      <c r="F31" s="119">
        <f t="shared" si="146"/>
        <v>5975.6923149000004</v>
      </c>
      <c r="G31" s="119">
        <f t="shared" si="146"/>
        <v>6577.7771829000012</v>
      </c>
      <c r="H31" s="119">
        <f t="shared" si="146"/>
        <v>6502.5165744000014</v>
      </c>
      <c r="I31" s="119">
        <f t="shared" ref="I31:J31" si="147">I30*12.21*1.1*1.1207</f>
        <v>6758.4026433000008</v>
      </c>
      <c r="J31" s="119">
        <f t="shared" si="147"/>
        <v>7526.0608500000017</v>
      </c>
      <c r="K31" s="119">
        <f t="shared" ref="K31:L31" si="148">K30*12.21*1.1*1.1207</f>
        <v>7194.9141726000016</v>
      </c>
      <c r="L31" s="119">
        <f t="shared" si="148"/>
        <v>7706.6863104000022</v>
      </c>
      <c r="M31" s="119">
        <f t="shared" ref="M31:N31" si="149">M30*12.21*1.1*1.1207</f>
        <v>8685.0742209000018</v>
      </c>
      <c r="N31" s="119">
        <f t="shared" si="149"/>
        <v>8052.8851095000009</v>
      </c>
      <c r="O31" s="119">
        <f t="shared" ref="O31:P31" si="150">O30*12.21*1.1*1.1207</f>
        <v>10702.058528700003</v>
      </c>
      <c r="P31" s="119">
        <f t="shared" si="150"/>
        <v>6141.2656536000013</v>
      </c>
      <c r="Q31" s="119">
        <f t="shared" ref="Q31:R31" si="151">Q30*12.21*1.1*1.1207</f>
        <v>6382.0996008000011</v>
      </c>
      <c r="R31" s="119">
        <f t="shared" si="151"/>
        <v>6637.9856697000014</v>
      </c>
      <c r="S31" s="119">
        <f t="shared" ref="S31:W31" si="152">S30*12.21*1.1*1.1207</f>
        <v>6442.3080876000013</v>
      </c>
      <c r="T31" s="119">
        <f t="shared" si="152"/>
        <v>6336.9432357000014</v>
      </c>
      <c r="U31" s="119">
        <f t="shared" si="152"/>
        <v>6532.6208178000015</v>
      </c>
      <c r="V31" s="119">
        <f t="shared" si="152"/>
        <v>7571.2172151000004</v>
      </c>
      <c r="W31" s="119">
        <f t="shared" si="152"/>
        <v>7164.8099292000015</v>
      </c>
      <c r="X31" s="119">
        <f t="shared" ref="X31:Y31" si="153">X30*12.21*1.1*1.1207</f>
        <v>6607.8814263000013</v>
      </c>
      <c r="Y31" s="119">
        <f t="shared" si="153"/>
        <v>7300.2790245000015</v>
      </c>
      <c r="Z31" s="119">
        <f t="shared" ref="Z31:AA31" si="154">Z30*12.21*1.1*1.1207</f>
        <v>7495.9566066000025</v>
      </c>
      <c r="AA31" s="119">
        <f t="shared" si="154"/>
        <v>6833.6632518000015</v>
      </c>
      <c r="AB31" s="119">
        <v>6934</v>
      </c>
      <c r="AC31" s="119">
        <v>6557</v>
      </c>
      <c r="AD31" s="119">
        <v>7300</v>
      </c>
      <c r="AE31" s="119">
        <v>6195</v>
      </c>
      <c r="AF31" s="119">
        <v>7492</v>
      </c>
      <c r="AG31" s="119">
        <v>7094</v>
      </c>
    </row>
    <row r="32" spans="1:33" ht="15" thickBot="1" x14ac:dyDescent="0.35">
      <c r="A32" s="175"/>
      <c r="B32" s="100" t="s">
        <v>387</v>
      </c>
      <c r="C32" s="101">
        <f t="shared" ref="C32:H32" si="155">C31/C29</f>
        <v>0.3387188224435298</v>
      </c>
      <c r="D32" s="101">
        <f t="shared" si="155"/>
        <v>0.39148483795353273</v>
      </c>
      <c r="E32" s="101">
        <f t="shared" si="155"/>
        <v>0.33566627300273377</v>
      </c>
      <c r="F32" s="101">
        <f t="shared" si="155"/>
        <v>0.32574104442556751</v>
      </c>
      <c r="G32" s="101">
        <f t="shared" si="155"/>
        <v>0.37379574552273798</v>
      </c>
      <c r="H32" s="101">
        <f t="shared" si="155"/>
        <v>0.36585544875106374</v>
      </c>
      <c r="I32" s="101">
        <f t="shared" ref="I32:J32" si="156">I31/I29</f>
        <v>0.34284713114550358</v>
      </c>
      <c r="J32" s="101">
        <f t="shared" si="156"/>
        <v>0.30596178964111309</v>
      </c>
      <c r="K32" s="101">
        <f t="shared" ref="K32:L32" si="157">K31/K29</f>
        <v>0.33385781706507872</v>
      </c>
      <c r="L32" s="101">
        <f t="shared" si="157"/>
        <v>0.30457298214261019</v>
      </c>
      <c r="M32" s="101">
        <f t="shared" ref="M32:N32" si="158">M31/M29</f>
        <v>0.29334158198421845</v>
      </c>
      <c r="N32" s="101">
        <f t="shared" si="158"/>
        <v>0.29600255253311608</v>
      </c>
      <c r="O32" s="101">
        <f t="shared" ref="O32:P32" si="159">O31/O29</f>
        <v>0.32319809527073967</v>
      </c>
      <c r="P32" s="101">
        <f t="shared" si="159"/>
        <v>0.41892736134247421</v>
      </c>
      <c r="Q32" s="101">
        <f t="shared" ref="Q32:R32" si="160">Q31/Q29</f>
        <v>0.35372100155464115</v>
      </c>
      <c r="R32" s="101">
        <f t="shared" si="160"/>
        <v>0.35087659005680133</v>
      </c>
      <c r="S32" s="101">
        <f t="shared" ref="S32:W32" si="161">S31/S29</f>
        <v>0.34638858443422865</v>
      </c>
      <c r="T32" s="101">
        <f t="shared" si="161"/>
        <v>0.3286789180884378</v>
      </c>
      <c r="U32" s="101">
        <f t="shared" si="161"/>
        <v>0.32358596215860341</v>
      </c>
      <c r="V32" s="101">
        <f t="shared" si="161"/>
        <v>0.32023194607687294</v>
      </c>
      <c r="W32" s="101">
        <f t="shared" si="161"/>
        <v>0.35244570171431394</v>
      </c>
      <c r="X32" s="101">
        <f t="shared" ref="X32:Y32" si="162">X31/X29</f>
        <v>0.36810402837148098</v>
      </c>
      <c r="Y32" s="101">
        <f t="shared" si="162"/>
        <v>0.32266070096463029</v>
      </c>
      <c r="Z32" s="101">
        <f t="shared" ref="Z32:AA32" si="163">Z31/Z29</f>
        <v>0.38326233877447557</v>
      </c>
      <c r="AA32" s="101">
        <f t="shared" si="163"/>
        <v>0.34468334386220062</v>
      </c>
      <c r="AB32" s="101">
        <f t="shared" ref="AB32:AC32" si="164">AB31/AB29</f>
        <v>0.27018347655685565</v>
      </c>
      <c r="AC32" s="101">
        <f t="shared" si="164"/>
        <v>0.33307511588037336</v>
      </c>
      <c r="AD32" s="101">
        <f t="shared" ref="AD32:AE32" si="165">AD31/AD29</f>
        <v>0.35728342241627192</v>
      </c>
      <c r="AE32" s="101">
        <f t="shared" si="165"/>
        <v>0.38385971615861447</v>
      </c>
      <c r="AF32" s="101">
        <f t="shared" ref="AF32:AG32" si="166">AF31/AF29</f>
        <v>0.41370360996709837</v>
      </c>
      <c r="AG32" s="101">
        <f t="shared" si="166"/>
        <v>0.38609954554113263</v>
      </c>
    </row>
    <row r="33" spans="1:33" ht="15" thickTop="1" x14ac:dyDescent="0.3">
      <c r="A33" s="178" t="s">
        <v>128</v>
      </c>
      <c r="B33" s="97" t="s">
        <v>386</v>
      </c>
      <c r="C33" s="96">
        <f>SALES!FN63</f>
        <v>21140.05</v>
      </c>
      <c r="D33" s="96">
        <f>SALES!FO63</f>
        <v>20659.060000000001</v>
      </c>
      <c r="E33" s="96">
        <f>SALES!FP63</f>
        <v>21464.9</v>
      </c>
      <c r="F33" s="96">
        <f>SALES!FQ63</f>
        <v>24200.400000000001</v>
      </c>
      <c r="G33" s="96">
        <f>SALES!FR63</f>
        <v>24134.55</v>
      </c>
      <c r="H33" s="96">
        <f>SALES!FS63</f>
        <v>22955.3</v>
      </c>
      <c r="I33" s="96">
        <f>SALES!FT63</f>
        <v>22439.3</v>
      </c>
      <c r="J33" s="96">
        <f>SALES!FU63</f>
        <v>21525.05</v>
      </c>
      <c r="K33" s="96">
        <f>SALES!FV63</f>
        <v>25733.5</v>
      </c>
      <c r="L33" s="96">
        <f>SALES!FW63</f>
        <v>27505.35</v>
      </c>
      <c r="M33" s="96">
        <f>SALES!FX63</f>
        <v>23873</v>
      </c>
      <c r="N33" s="96">
        <f>SALES!FY63</f>
        <v>27938.05</v>
      </c>
      <c r="O33" s="96">
        <f>SALES!FZ63</f>
        <v>37446.149999999994</v>
      </c>
      <c r="P33" s="96">
        <f>SALES!GA63</f>
        <v>19695.900000000001</v>
      </c>
      <c r="Q33" s="96">
        <f>SALES!GB63</f>
        <v>21355.57</v>
      </c>
      <c r="R33" s="96">
        <f>SALES!GC63</f>
        <v>19019.150000000001</v>
      </c>
      <c r="S33" s="96">
        <f>SALES!GD63</f>
        <v>22746.15</v>
      </c>
      <c r="T33" s="96">
        <f>SALES!GE63</f>
        <v>21938.1</v>
      </c>
      <c r="U33" s="96">
        <f>SALES!GF63</f>
        <v>27636.799999999999</v>
      </c>
      <c r="V33" s="96">
        <f>SALES!GG63</f>
        <v>24285.7</v>
      </c>
      <c r="W33" s="96">
        <f>SALES!GH63</f>
        <v>27294.1</v>
      </c>
      <c r="X33" s="96">
        <f>SALES!GI63</f>
        <v>23274.55</v>
      </c>
      <c r="Y33" s="96">
        <f>SALES!GJ63</f>
        <v>30629.55</v>
      </c>
      <c r="Z33" s="96">
        <f>SALES!GK63</f>
        <v>26289.870000000003</v>
      </c>
      <c r="AA33" s="96">
        <f>SALES!GL63</f>
        <v>23747.4</v>
      </c>
      <c r="AB33" s="96">
        <f>SALES!GM63</f>
        <v>33809.449999999997</v>
      </c>
      <c r="AC33" s="96">
        <f>SALES!GN63</f>
        <v>28259.15</v>
      </c>
      <c r="AD33" s="96">
        <f>SALES!GO63</f>
        <v>25722.65</v>
      </c>
      <c r="AE33" s="96">
        <f>SALES!GP63</f>
        <v>27839.55</v>
      </c>
      <c r="AF33" s="96">
        <f>SALES!GQ63</f>
        <v>27377.25</v>
      </c>
      <c r="AG33" s="96">
        <f>SALES!GR63</f>
        <v>26985.65</v>
      </c>
    </row>
    <row r="34" spans="1:33" x14ac:dyDescent="0.3">
      <c r="A34" s="176"/>
      <c r="B34" s="102" t="s">
        <v>384</v>
      </c>
      <c r="C34" s="125">
        <v>5434</v>
      </c>
      <c r="D34" s="125">
        <v>6314</v>
      </c>
      <c r="E34" s="125">
        <v>8183.4999999999991</v>
      </c>
      <c r="F34" s="125">
        <v>6454</v>
      </c>
      <c r="G34" s="125">
        <v>5366</v>
      </c>
      <c r="H34" s="125">
        <v>7270</v>
      </c>
      <c r="I34" s="125">
        <v>4180</v>
      </c>
      <c r="J34" s="125">
        <v>5917</v>
      </c>
      <c r="K34" s="125">
        <v>7269.5399999999981</v>
      </c>
      <c r="L34" s="125">
        <v>5384.72</v>
      </c>
      <c r="M34" s="125">
        <v>6341.97</v>
      </c>
      <c r="N34" s="125">
        <v>4149.3500000000004</v>
      </c>
      <c r="O34" s="125">
        <v>8804.0500000000011</v>
      </c>
      <c r="P34" s="125">
        <v>4889.0999999999995</v>
      </c>
      <c r="Q34" s="125">
        <v>5032.2000000000007</v>
      </c>
      <c r="R34" s="125">
        <v>4524.49</v>
      </c>
      <c r="S34" s="125">
        <v>4911.2000000000007</v>
      </c>
      <c r="T34" s="125">
        <v>6713</v>
      </c>
      <c r="U34" s="125">
        <v>6539.89</v>
      </c>
      <c r="V34" s="125">
        <v>7888</v>
      </c>
      <c r="W34" s="125">
        <v>6997</v>
      </c>
      <c r="X34" s="125">
        <v>5297.0699999999988</v>
      </c>
      <c r="Y34" s="125">
        <v>7217</v>
      </c>
      <c r="Z34" s="125">
        <v>5704.9</v>
      </c>
      <c r="AA34" s="125">
        <v>6589.78</v>
      </c>
      <c r="AB34" s="125">
        <v>8938</v>
      </c>
      <c r="AC34" s="125">
        <v>7518.36</v>
      </c>
      <c r="AD34" s="125">
        <v>7708.73</v>
      </c>
      <c r="AE34" s="125">
        <v>7193.72</v>
      </c>
      <c r="AF34" s="125">
        <v>7661.6699999999983</v>
      </c>
      <c r="AG34" s="125">
        <v>10758</v>
      </c>
    </row>
    <row r="35" spans="1:33" x14ac:dyDescent="0.3">
      <c r="A35" s="176"/>
      <c r="B35" s="99" t="s">
        <v>385</v>
      </c>
      <c r="C35" s="98">
        <f t="shared" ref="C35:H35" si="167">(C33+C34)/1.2</f>
        <v>22145.041666666668</v>
      </c>
      <c r="D35" s="98">
        <f t="shared" si="167"/>
        <v>22477.550000000003</v>
      </c>
      <c r="E35" s="98">
        <f t="shared" si="167"/>
        <v>24707.000000000004</v>
      </c>
      <c r="F35" s="98">
        <f t="shared" si="167"/>
        <v>25545.333333333336</v>
      </c>
      <c r="G35" s="98">
        <f t="shared" si="167"/>
        <v>24583.791666666668</v>
      </c>
      <c r="H35" s="98">
        <f t="shared" si="167"/>
        <v>25187.75</v>
      </c>
      <c r="I35" s="98">
        <f t="shared" ref="I35:J35" si="168">(I33+I34)/1.2</f>
        <v>22182.75</v>
      </c>
      <c r="J35" s="98">
        <f t="shared" si="168"/>
        <v>22868.375</v>
      </c>
      <c r="K35" s="98">
        <f t="shared" ref="K35:L35" si="169">(K33+K34)/1.2</f>
        <v>27502.533333333336</v>
      </c>
      <c r="L35" s="98">
        <f t="shared" si="169"/>
        <v>27408.391666666666</v>
      </c>
      <c r="M35" s="98">
        <f t="shared" ref="M35:N35" si="170">(M33+M34)/1.2</f>
        <v>25179.14166666667</v>
      </c>
      <c r="N35" s="98">
        <f t="shared" si="170"/>
        <v>26739.500000000004</v>
      </c>
      <c r="O35" s="98">
        <f t="shared" ref="O35:P35" si="171">(O33+O34)/1.2</f>
        <v>38541.833333333336</v>
      </c>
      <c r="P35" s="98">
        <f t="shared" si="171"/>
        <v>20487.5</v>
      </c>
      <c r="Q35" s="98">
        <f t="shared" ref="Q35:R35" si="172">(Q33+Q34)/1.2</f>
        <v>21989.808333333334</v>
      </c>
      <c r="R35" s="98">
        <f t="shared" si="172"/>
        <v>19619.7</v>
      </c>
      <c r="S35" s="98">
        <f t="shared" ref="S35:U35" si="173">(S33+S34)/1.2</f>
        <v>23047.791666666668</v>
      </c>
      <c r="T35" s="98">
        <f t="shared" si="173"/>
        <v>23875.916666666668</v>
      </c>
      <c r="U35" s="98">
        <f t="shared" si="173"/>
        <v>28480.575000000004</v>
      </c>
      <c r="V35" s="98">
        <f t="shared" ref="V35:AB35" si="174">(V33+V34)/1.2</f>
        <v>26811.416666666668</v>
      </c>
      <c r="W35" s="98">
        <f t="shared" si="174"/>
        <v>28575.916666666668</v>
      </c>
      <c r="X35" s="98">
        <f t="shared" si="174"/>
        <v>23809.683333333334</v>
      </c>
      <c r="Y35" s="98">
        <f t="shared" si="174"/>
        <v>31538.791666666672</v>
      </c>
      <c r="Z35" s="98">
        <f t="shared" si="174"/>
        <v>26662.308333333338</v>
      </c>
      <c r="AA35" s="98">
        <f t="shared" si="174"/>
        <v>25280.983333333334</v>
      </c>
      <c r="AB35" s="98">
        <f t="shared" si="174"/>
        <v>35622.875</v>
      </c>
      <c r="AC35" s="98">
        <f t="shared" ref="AC35:AD35" si="175">(AC33+AC34)/1.2</f>
        <v>29814.591666666671</v>
      </c>
      <c r="AD35" s="98">
        <f t="shared" si="175"/>
        <v>27859.483333333337</v>
      </c>
      <c r="AE35" s="98">
        <f t="shared" ref="AE35:AF35" si="176">(AE33+AE34)/1.2</f>
        <v>29194.391666666666</v>
      </c>
      <c r="AF35" s="98">
        <f t="shared" si="176"/>
        <v>29199.1</v>
      </c>
      <c r="AG35" s="98">
        <f t="shared" ref="AG35" si="177">(AG33+AG34)/1.2</f>
        <v>31453.041666666668</v>
      </c>
    </row>
    <row r="36" spans="1:33" hidden="1" x14ac:dyDescent="0.3">
      <c r="A36" s="176"/>
      <c r="B36" s="97" t="s">
        <v>371</v>
      </c>
      <c r="C36" s="126">
        <v>635</v>
      </c>
      <c r="D36" s="126">
        <v>561</v>
      </c>
      <c r="E36" s="126">
        <v>593</v>
      </c>
      <c r="F36" s="126">
        <f>529+48-15</f>
        <v>562</v>
      </c>
      <c r="G36" s="126">
        <v>596</v>
      </c>
      <c r="H36" s="126">
        <v>591</v>
      </c>
      <c r="I36" s="126">
        <v>584</v>
      </c>
      <c r="J36" s="126">
        <v>589</v>
      </c>
      <c r="K36" s="126">
        <v>584</v>
      </c>
      <c r="L36" s="126">
        <v>588</v>
      </c>
      <c r="M36" s="126">
        <v>628</v>
      </c>
      <c r="N36" s="126">
        <f>576+8</f>
        <v>584</v>
      </c>
      <c r="O36" s="126">
        <v>814</v>
      </c>
      <c r="P36" s="126">
        <v>536</v>
      </c>
      <c r="Q36" s="126">
        <v>553</v>
      </c>
      <c r="R36" s="126">
        <v>533</v>
      </c>
      <c r="S36" s="126">
        <v>622</v>
      </c>
      <c r="T36" s="126">
        <v>603</v>
      </c>
      <c r="U36" s="126">
        <v>599</v>
      </c>
      <c r="V36" s="126">
        <v>610</v>
      </c>
      <c r="W36" s="126">
        <v>532</v>
      </c>
      <c r="X36" s="126">
        <v>546</v>
      </c>
      <c r="Y36" s="126">
        <v>596</v>
      </c>
      <c r="Z36" s="126">
        <f>533+48</f>
        <v>581</v>
      </c>
      <c r="AA36" s="126">
        <v>592</v>
      </c>
      <c r="AB36" s="126">
        <v>614</v>
      </c>
      <c r="AC36" s="126"/>
      <c r="AD36" s="126"/>
      <c r="AE36" s="126"/>
      <c r="AF36" s="126"/>
      <c r="AG36" s="126"/>
    </row>
    <row r="37" spans="1:33" x14ac:dyDescent="0.3">
      <c r="A37" s="176"/>
      <c r="B37" s="122" t="s">
        <v>375</v>
      </c>
      <c r="C37" s="119">
        <f t="shared" ref="C37:H37" si="178">C36*12.21*1.1*1.1207</f>
        <v>9558.0972795000016</v>
      </c>
      <c r="D37" s="119">
        <f t="shared" si="178"/>
        <v>8444.2402737000011</v>
      </c>
      <c r="E37" s="119">
        <f t="shared" si="178"/>
        <v>8925.9081681000025</v>
      </c>
      <c r="F37" s="119">
        <f t="shared" si="178"/>
        <v>8459.2923954000016</v>
      </c>
      <c r="G37" s="119">
        <f t="shared" si="178"/>
        <v>8971.0645332000022</v>
      </c>
      <c r="H37" s="119">
        <f t="shared" si="178"/>
        <v>8895.8039247000015</v>
      </c>
      <c r="I37" s="119">
        <f t="shared" ref="I37:J37" si="179">I36*12.21*1.1*1.1207</f>
        <v>8790.4390728000017</v>
      </c>
      <c r="J37" s="119">
        <f t="shared" si="179"/>
        <v>8865.6996813000023</v>
      </c>
      <c r="K37" s="119">
        <f t="shared" ref="K37:L37" si="180">K36*12.21*1.1*1.1207</f>
        <v>8790.4390728000017</v>
      </c>
      <c r="L37" s="119">
        <f t="shared" si="180"/>
        <v>8850.6475596000018</v>
      </c>
      <c r="M37" s="119">
        <f t="shared" ref="M37:N37" si="181">M36*12.21*1.1*1.1207</f>
        <v>9452.7324276000018</v>
      </c>
      <c r="N37" s="119">
        <f t="shared" si="181"/>
        <v>8790.4390728000017</v>
      </c>
      <c r="O37" s="119">
        <f t="shared" ref="O37:P37" si="182">O36*12.21*1.1*1.1207</f>
        <v>12252.427063800002</v>
      </c>
      <c r="P37" s="119">
        <f t="shared" si="182"/>
        <v>8067.9372312000014</v>
      </c>
      <c r="Q37" s="119">
        <f t="shared" ref="Q37:R37" si="183">Q36*12.21*1.1*1.1207</f>
        <v>8323.8233001000008</v>
      </c>
      <c r="R37" s="119">
        <f t="shared" si="183"/>
        <v>8022.7808661000008</v>
      </c>
      <c r="S37" s="119">
        <f t="shared" ref="S37:W37" si="184">S36*12.21*1.1*1.1207</f>
        <v>9362.4196974000024</v>
      </c>
      <c r="T37" s="119">
        <f t="shared" si="184"/>
        <v>9076.429385100002</v>
      </c>
      <c r="U37" s="119">
        <f t="shared" si="184"/>
        <v>9016.2208983000019</v>
      </c>
      <c r="V37" s="119">
        <f t="shared" si="184"/>
        <v>9181.7942370000019</v>
      </c>
      <c r="W37" s="119">
        <f t="shared" si="184"/>
        <v>8007.7287444000012</v>
      </c>
      <c r="X37" s="119">
        <f t="shared" ref="X37:Y37" si="185">X36*12.21*1.1*1.1207</f>
        <v>8218.4584482000027</v>
      </c>
      <c r="Y37" s="119">
        <f t="shared" si="185"/>
        <v>8971.0645332000022</v>
      </c>
      <c r="Z37" s="119">
        <f t="shared" ref="Z37:AA37" si="186">Z36*12.21*1.1*1.1207</f>
        <v>8745.282707700002</v>
      </c>
      <c r="AA37" s="119">
        <f t="shared" si="186"/>
        <v>8910.856046400002</v>
      </c>
      <c r="AB37" s="119">
        <f>AB36*12.71*1.1*1.1207</f>
        <v>9620.4631138000004</v>
      </c>
      <c r="AC37" s="119">
        <v>9759</v>
      </c>
      <c r="AD37" s="119">
        <v>10120</v>
      </c>
      <c r="AE37" s="119">
        <v>9751</v>
      </c>
      <c r="AF37" s="119">
        <v>9779</v>
      </c>
      <c r="AG37" s="119">
        <v>10319</v>
      </c>
    </row>
    <row r="38" spans="1:33" ht="15" thickBot="1" x14ac:dyDescent="0.35">
      <c r="A38" s="176"/>
      <c r="B38" s="100" t="s">
        <v>387</v>
      </c>
      <c r="C38" s="101">
        <f t="shared" ref="C38:H38" si="187">C37/C35</f>
        <v>0.43161342495404353</v>
      </c>
      <c r="D38" s="101">
        <f t="shared" si="187"/>
        <v>0.37567440729527907</v>
      </c>
      <c r="E38" s="101">
        <f t="shared" si="187"/>
        <v>0.36127041599951437</v>
      </c>
      <c r="F38" s="101">
        <f t="shared" si="187"/>
        <v>0.33114824868469128</v>
      </c>
      <c r="G38" s="101">
        <f t="shared" si="187"/>
        <v>0.36491785542439048</v>
      </c>
      <c r="H38" s="101">
        <f t="shared" si="187"/>
        <v>0.35317977686375329</v>
      </c>
      <c r="I38" s="101">
        <f t="shared" ref="I38:J38" si="188">I37/I35</f>
        <v>0.3962736393278562</v>
      </c>
      <c r="J38" s="101">
        <f t="shared" si="188"/>
        <v>0.38768385078957301</v>
      </c>
      <c r="K38" s="101">
        <f t="shared" ref="K38:L38" si="189">K37/K35</f>
        <v>0.31962288587233179</v>
      </c>
      <c r="L38" s="101">
        <f t="shared" si="189"/>
        <v>0.32291743591667643</v>
      </c>
      <c r="M38" s="101">
        <f t="shared" ref="M38:N38" si="190">M37/M35</f>
        <v>0.37541916848237811</v>
      </c>
      <c r="N38" s="101">
        <f t="shared" si="190"/>
        <v>0.32874358431533873</v>
      </c>
      <c r="O38" s="101">
        <f t="shared" ref="O38:P38" si="191">O37/O35</f>
        <v>0.31789943560373796</v>
      </c>
      <c r="P38" s="101">
        <f t="shared" si="191"/>
        <v>0.39379803446979872</v>
      </c>
      <c r="Q38" s="101">
        <f t="shared" ref="Q38:R38" si="192">Q37/Q35</f>
        <v>0.37853096188575241</v>
      </c>
      <c r="R38" s="101">
        <f t="shared" si="192"/>
        <v>0.40891455354057404</v>
      </c>
      <c r="S38" s="101">
        <f t="shared" ref="S38:U38" si="193">S37/S35</f>
        <v>0.4062176469141115</v>
      </c>
      <c r="T38" s="101">
        <f t="shared" si="193"/>
        <v>0.38014998593841082</v>
      </c>
      <c r="U38" s="101">
        <f t="shared" si="193"/>
        <v>0.31657439845578961</v>
      </c>
      <c r="V38" s="101">
        <f t="shared" ref="V38:AB38" si="194">V37/V35</f>
        <v>0.34245837700979376</v>
      </c>
      <c r="W38" s="101">
        <f t="shared" si="194"/>
        <v>0.28022648714331128</v>
      </c>
      <c r="X38" s="101">
        <f t="shared" si="194"/>
        <v>0.34517294216568761</v>
      </c>
      <c r="Y38" s="101">
        <f t="shared" si="194"/>
        <v>0.28444541021149883</v>
      </c>
      <c r="Z38" s="101">
        <f t="shared" si="194"/>
        <v>0.32800170931811667</v>
      </c>
      <c r="AA38" s="101">
        <f t="shared" si="194"/>
        <v>0.35247268387107838</v>
      </c>
      <c r="AB38" s="101">
        <f t="shared" si="194"/>
        <v>0.27006419649733493</v>
      </c>
      <c r="AC38" s="101">
        <f t="shared" ref="AC38:AD38" si="195">AC37/AC35</f>
        <v>0.32732294673385592</v>
      </c>
      <c r="AD38" s="101">
        <f t="shared" si="195"/>
        <v>0.36325153194394005</v>
      </c>
      <c r="AE38" s="101">
        <f t="shared" ref="AE38:AF38" si="196">AE37/AE35</f>
        <v>0.3340025067600027</v>
      </c>
      <c r="AF38" s="101">
        <f t="shared" si="196"/>
        <v>0.33490758276796206</v>
      </c>
      <c r="AG38" s="101">
        <f t="shared" ref="AG38" si="197">AG37/AG35</f>
        <v>0.32807637841067305</v>
      </c>
    </row>
    <row r="39" spans="1:33" ht="15" thickTop="1" x14ac:dyDescent="0.3">
      <c r="A39" s="181" t="s">
        <v>120</v>
      </c>
      <c r="B39" s="97" t="s">
        <v>386</v>
      </c>
      <c r="C39" s="96">
        <f>SALES!FN7</f>
        <v>43635.85</v>
      </c>
      <c r="D39" s="96">
        <f>SALES!FO7</f>
        <v>46567.31</v>
      </c>
      <c r="E39" s="96">
        <f>SALES!FP7</f>
        <v>53650.33</v>
      </c>
      <c r="F39" s="96">
        <f>SALES!FQ7</f>
        <v>48442.240000000005</v>
      </c>
      <c r="G39" s="96">
        <f>SALES!FR7</f>
        <v>45560.44</v>
      </c>
      <c r="H39" s="96">
        <f>SALES!FS7</f>
        <v>44220.020000000004</v>
      </c>
      <c r="I39" s="96">
        <f>SALES!FT7</f>
        <v>45139.46</v>
      </c>
      <c r="J39" s="96">
        <f>SALES!FU7</f>
        <v>42845.74</v>
      </c>
      <c r="K39" s="96">
        <f>SALES!FV7</f>
        <v>48669.9</v>
      </c>
      <c r="L39" s="96">
        <f>SALES!FW7</f>
        <v>55867.28</v>
      </c>
      <c r="M39" s="96">
        <f>SALES!FX7</f>
        <v>68236.63</v>
      </c>
      <c r="N39" s="96">
        <f>SALES!FY7</f>
        <v>41871.68</v>
      </c>
      <c r="O39" s="96">
        <f>SALES!FZ7</f>
        <v>63912.43</v>
      </c>
      <c r="P39" s="96">
        <f>SALES!GA7</f>
        <v>41144.75</v>
      </c>
      <c r="Q39" s="96">
        <f>SALES!GB7</f>
        <v>49260.84</v>
      </c>
      <c r="R39" s="96">
        <f>SALES!GC7</f>
        <v>27142.89</v>
      </c>
      <c r="S39" s="96">
        <f>SALES!GD7</f>
        <v>45037.32</v>
      </c>
      <c r="T39" s="96">
        <f>SALES!GE7</f>
        <v>43316.53</v>
      </c>
      <c r="U39" s="96">
        <f>SALES!GF7</f>
        <v>47438.52</v>
      </c>
      <c r="V39" s="96">
        <f>SALES!GG7</f>
        <v>45247.399999999994</v>
      </c>
      <c r="W39" s="96">
        <f>SALES!GH7</f>
        <v>45731.34</v>
      </c>
      <c r="X39" s="96">
        <f>SALES!GI7</f>
        <v>47486.270000000004</v>
      </c>
      <c r="Y39" s="96">
        <f>SALES!GJ7</f>
        <v>58887.93</v>
      </c>
      <c r="Z39" s="96">
        <f>SALES!GK7</f>
        <v>51952.93</v>
      </c>
      <c r="AA39" s="96">
        <f>SALES!GL7</f>
        <v>47173.68</v>
      </c>
      <c r="AB39" s="96">
        <f>SALES!GM7</f>
        <v>59964.930000000008</v>
      </c>
      <c r="AC39" s="96">
        <f>SALES!GN7</f>
        <v>59462.8</v>
      </c>
      <c r="AD39" s="96">
        <f>SALES!GO7</f>
        <v>47748.259999999995</v>
      </c>
      <c r="AE39" s="96">
        <f>SALES!GP7</f>
        <v>52365.799999999996</v>
      </c>
      <c r="AF39" s="96">
        <f>SALES!GQ7</f>
        <v>57289.700000000004</v>
      </c>
      <c r="AG39" s="96">
        <f>SALES!GR7</f>
        <v>55601.8</v>
      </c>
    </row>
    <row r="40" spans="1:33" x14ac:dyDescent="0.3">
      <c r="A40" s="175"/>
      <c r="B40" s="102" t="s">
        <v>384</v>
      </c>
      <c r="C40" s="125">
        <v>6034</v>
      </c>
      <c r="D40" s="125">
        <v>7120</v>
      </c>
      <c r="E40" s="125">
        <v>8082.0999999999995</v>
      </c>
      <c r="F40" s="125">
        <v>6324</v>
      </c>
      <c r="G40" s="125">
        <v>5025.3</v>
      </c>
      <c r="H40" s="125">
        <v>5362</v>
      </c>
      <c r="I40" s="125">
        <v>5715</v>
      </c>
      <c r="J40" s="125">
        <v>6227</v>
      </c>
      <c r="K40" s="125">
        <v>6185.5</v>
      </c>
      <c r="L40" s="125">
        <v>5386.4500000000007</v>
      </c>
      <c r="M40" s="125">
        <v>7704.35</v>
      </c>
      <c r="N40" s="125">
        <v>3303.63</v>
      </c>
      <c r="O40" s="125">
        <v>6251.4499999999989</v>
      </c>
      <c r="P40" s="125">
        <v>7618.23</v>
      </c>
      <c r="Q40" s="125">
        <v>5515</v>
      </c>
      <c r="R40" s="125">
        <v>1444.97</v>
      </c>
      <c r="S40" s="125">
        <v>5511.2599999999993</v>
      </c>
      <c r="T40" s="125">
        <v>4401</v>
      </c>
      <c r="U40" s="125">
        <v>4157.3</v>
      </c>
      <c r="V40" s="125">
        <v>6887</v>
      </c>
      <c r="W40" s="125">
        <v>4735</v>
      </c>
      <c r="X40" s="125">
        <v>5213.2300000000005</v>
      </c>
      <c r="Y40" s="125">
        <v>4222</v>
      </c>
      <c r="Z40" s="125">
        <v>6729.2</v>
      </c>
      <c r="AA40" s="125">
        <v>6868.16</v>
      </c>
      <c r="AB40" s="125">
        <v>6086</v>
      </c>
      <c r="AC40" s="125">
        <v>6040.43</v>
      </c>
      <c r="AD40" s="125">
        <v>4828.1000000000004</v>
      </c>
      <c r="AE40" s="125">
        <v>6390.6999999999989</v>
      </c>
      <c r="AF40" s="125">
        <v>9290.56</v>
      </c>
      <c r="AG40" s="125">
        <v>7347</v>
      </c>
    </row>
    <row r="41" spans="1:33" x14ac:dyDescent="0.3">
      <c r="A41" s="175"/>
      <c r="B41" s="99" t="s">
        <v>385</v>
      </c>
      <c r="C41" s="98">
        <f t="shared" ref="C41:H41" si="198">(C39+C40)/1.2</f>
        <v>41391.541666666664</v>
      </c>
      <c r="D41" s="98">
        <f t="shared" si="198"/>
        <v>44739.425000000003</v>
      </c>
      <c r="E41" s="98">
        <f t="shared" si="198"/>
        <v>51443.691666666666</v>
      </c>
      <c r="F41" s="98">
        <f t="shared" si="198"/>
        <v>45638.53333333334</v>
      </c>
      <c r="G41" s="98">
        <f t="shared" si="198"/>
        <v>42154.78333333334</v>
      </c>
      <c r="H41" s="98">
        <f t="shared" si="198"/>
        <v>41318.350000000006</v>
      </c>
      <c r="I41" s="98">
        <f t="shared" ref="I41:J41" si="199">(I39+I40)/1.2</f>
        <v>42378.716666666667</v>
      </c>
      <c r="J41" s="98">
        <f t="shared" si="199"/>
        <v>40893.949999999997</v>
      </c>
      <c r="K41" s="98">
        <f t="shared" ref="K41:L41" si="200">(K39+K40)/1.2</f>
        <v>45712.833333333336</v>
      </c>
      <c r="L41" s="98">
        <f t="shared" si="200"/>
        <v>51044.775000000001</v>
      </c>
      <c r="M41" s="98">
        <f t="shared" ref="M41:N41" si="201">(M39+M40)/1.2</f>
        <v>63284.150000000009</v>
      </c>
      <c r="N41" s="98">
        <f t="shared" si="201"/>
        <v>37646.091666666667</v>
      </c>
      <c r="O41" s="98">
        <f t="shared" ref="O41:P41" si="202">(O39+O40)/1.2</f>
        <v>58469.900000000009</v>
      </c>
      <c r="P41" s="98">
        <f t="shared" si="202"/>
        <v>40635.816666666666</v>
      </c>
      <c r="Q41" s="98">
        <f t="shared" ref="Q41:R41" si="203">(Q39+Q40)/1.2</f>
        <v>45646.533333333333</v>
      </c>
      <c r="R41" s="98">
        <f t="shared" si="203"/>
        <v>23823.216666666667</v>
      </c>
      <c r="S41" s="98">
        <f t="shared" ref="S41:W41" si="204">(S39+S40)/1.2</f>
        <v>42123.816666666673</v>
      </c>
      <c r="T41" s="98">
        <f t="shared" si="204"/>
        <v>39764.608333333337</v>
      </c>
      <c r="U41" s="98">
        <f t="shared" si="204"/>
        <v>42996.51666666667</v>
      </c>
      <c r="V41" s="98">
        <f t="shared" si="204"/>
        <v>43445.333333333328</v>
      </c>
      <c r="W41" s="98">
        <f t="shared" si="204"/>
        <v>42055.283333333333</v>
      </c>
      <c r="X41" s="98">
        <f t="shared" ref="X41:Y41" si="205">(X39+X40)/1.2</f>
        <v>43916.250000000007</v>
      </c>
      <c r="Y41" s="98">
        <f t="shared" si="205"/>
        <v>52591.608333333337</v>
      </c>
      <c r="Z41" s="98">
        <f t="shared" ref="Z41:AA41" si="206">(Z39+Z40)/1.2</f>
        <v>48901.775000000001</v>
      </c>
      <c r="AA41" s="98">
        <f t="shared" si="206"/>
        <v>45034.866666666669</v>
      </c>
      <c r="AB41" s="98">
        <f t="shared" ref="AB41:AC41" si="207">(AB39+AB40)/1.2</f>
        <v>55042.441666666673</v>
      </c>
      <c r="AC41" s="98">
        <f t="shared" si="207"/>
        <v>54586.025000000001</v>
      </c>
      <c r="AD41" s="98">
        <f t="shared" ref="AD41:AE41" si="208">(AD39+AD40)/1.2</f>
        <v>43813.633333333331</v>
      </c>
      <c r="AE41" s="98">
        <f t="shared" si="208"/>
        <v>48963.749999999993</v>
      </c>
      <c r="AF41" s="98">
        <f t="shared" ref="AF41:AG41" si="209">(AF39+AF40)/1.2</f>
        <v>55483.55000000001</v>
      </c>
      <c r="AG41" s="98">
        <f t="shared" si="209"/>
        <v>52457.333333333336</v>
      </c>
    </row>
    <row r="42" spans="1:33" hidden="1" x14ac:dyDescent="0.3">
      <c r="A42" s="175"/>
      <c r="B42" s="97" t="s">
        <v>371</v>
      </c>
      <c r="C42" s="126">
        <v>1213</v>
      </c>
      <c r="D42" s="126">
        <v>1208</v>
      </c>
      <c r="E42" s="126">
        <v>1306</v>
      </c>
      <c r="F42" s="126">
        <v>1172</v>
      </c>
      <c r="G42" s="126">
        <v>1204</v>
      </c>
      <c r="H42" s="126">
        <v>1166</v>
      </c>
      <c r="I42" s="126">
        <v>1080</v>
      </c>
      <c r="J42" s="126">
        <v>1196</v>
      </c>
      <c r="K42" s="126">
        <v>1238</v>
      </c>
      <c r="L42" s="126">
        <v>1261</v>
      </c>
      <c r="M42" s="126">
        <v>1344</v>
      </c>
      <c r="N42" s="126">
        <v>1017</v>
      </c>
      <c r="O42" s="126">
        <v>1426</v>
      </c>
      <c r="P42" s="126">
        <v>1128</v>
      </c>
      <c r="Q42" s="126">
        <v>1156</v>
      </c>
      <c r="R42" s="126">
        <v>1051</v>
      </c>
      <c r="S42" s="126">
        <v>1142</v>
      </c>
      <c r="T42" s="126">
        <v>1118</v>
      </c>
      <c r="U42" s="126">
        <v>1124</v>
      </c>
      <c r="V42" s="126">
        <v>1136</v>
      </c>
      <c r="W42" s="126">
        <v>1160</v>
      </c>
      <c r="X42" s="126">
        <v>1098</v>
      </c>
      <c r="Y42" s="126">
        <v>1290</v>
      </c>
      <c r="Z42" s="126">
        <v>1194</v>
      </c>
      <c r="AA42" s="126">
        <v>1174</v>
      </c>
      <c r="AB42" s="126">
        <v>1347</v>
      </c>
      <c r="AC42" s="126"/>
      <c r="AD42" s="126"/>
      <c r="AE42" s="126"/>
      <c r="AF42" s="126"/>
      <c r="AG42" s="126"/>
    </row>
    <row r="43" spans="1:33" x14ac:dyDescent="0.3">
      <c r="A43" s="175"/>
      <c r="B43" s="122" t="s">
        <v>375</v>
      </c>
      <c r="C43" s="127">
        <f>(C42*12.21*1.1*1.1207)+DRY!C35</f>
        <v>16878.223622100006</v>
      </c>
      <c r="D43" s="127">
        <f>(D42*12.21*1.1*1.1207)+DRY!D35</f>
        <v>17034.463013600001</v>
      </c>
      <c r="E43" s="127">
        <f>(E42*12.21*1.1*1.1207)+DRY!E35</f>
        <v>18208.570940200003</v>
      </c>
      <c r="F43" s="127">
        <f>(F42*12.21*1.1*1.1207)+DRY!F35</f>
        <v>15647.586632400002</v>
      </c>
      <c r="G43" s="127">
        <f>(G42*12.21*1.1*1.1207)+DRY!G35</f>
        <v>16784.254526800003</v>
      </c>
      <c r="H43" s="127">
        <f>(H42*12.21*1.1*1.1207)+DRY!H35</f>
        <v>16269.773902200002</v>
      </c>
      <c r="I43" s="127">
        <f>(I42*12.21*1.1*1.1207)+DRY!I35</f>
        <v>15747.291436000003</v>
      </c>
      <c r="J43" s="127">
        <f>(J42*12.21*1.1*1.1207)+DRY!J35</f>
        <v>16045.337553200003</v>
      </c>
      <c r="K43" s="127">
        <f>(K42*12.21*1.1*1.1207)+DRY!K35</f>
        <v>16703.526664600002</v>
      </c>
      <c r="L43" s="127">
        <f>(L42*12.21*1.1*1.1207)+DRY!L35</f>
        <v>17863.225463700004</v>
      </c>
      <c r="M43" s="127">
        <f>(M42*12.21*1.1*1.1207)+DRY!M35</f>
        <v>18908.051564800004</v>
      </c>
      <c r="N43" s="127">
        <f>(N42*12.21*1.1*1.1207)+DRY!N35</f>
        <v>14379.007768900005</v>
      </c>
      <c r="O43" s="127">
        <f>(O42*12.21*1.1*1.1207)+DRY!O35</f>
        <v>19552.825544200005</v>
      </c>
      <c r="P43" s="127">
        <f>(P42*12.21*1.1*1.1207)+DRY!P35</f>
        <v>16870.293277600002</v>
      </c>
      <c r="Q43" s="127">
        <f>(Q42*12.21*1.1*1.1207)+DRY!Q35</f>
        <v>16045.252685200001</v>
      </c>
      <c r="R43" s="127">
        <f>(R42*12.21*1.1*1.1207)+DRY!R35</f>
        <v>14464.779906700001</v>
      </c>
      <c r="S43" s="127">
        <f>(S42*12.21*1.1*1.1207)+DRY!S35</f>
        <v>15640.522981400005</v>
      </c>
      <c r="T43" s="127">
        <f>(T42*12.21*1.1*1.1207)+DRY!T35</f>
        <v>15347.772060600004</v>
      </c>
      <c r="U43" s="127">
        <f>(U42*12.21*1.1*1.1207)+DRY!U35</f>
        <v>15303.584790800003</v>
      </c>
      <c r="V43" s="127">
        <f>(V42*12.21*1.1*1.1207)+DRY!V35</f>
        <v>15039.710251200002</v>
      </c>
      <c r="W43" s="127">
        <f>(W42*12.21*1.1*1.1207)+DRY!W35</f>
        <v>15807.461172000003</v>
      </c>
      <c r="X43" s="127">
        <f>(X42*12.21*1.1*1.1207)+DRY!X35</f>
        <v>14650.729626600005</v>
      </c>
      <c r="Y43" s="127">
        <f>(Y42*12.21*1.1*1.1207)+DRY!Y35</f>
        <v>17943.236993000002</v>
      </c>
      <c r="Z43" s="127">
        <f>(Z42*12.21*1.1*1.1207)+DRY!Z35</f>
        <v>16058.233309800005</v>
      </c>
      <c r="AA43" s="127">
        <f>(AA42*12.21*1.1*1.1207)+DRY!AA35</f>
        <v>15978.190875800003</v>
      </c>
      <c r="AB43" s="127">
        <f>(AB42*12.21*1.1*1.1207)+DRY!AB35</f>
        <v>17925.707929900007</v>
      </c>
      <c r="AC43" s="127">
        <f>20331+DRY!AC35</f>
        <v>18523.5</v>
      </c>
      <c r="AD43" s="127">
        <f>18681+DRY!AD35</f>
        <v>16833</v>
      </c>
      <c r="AE43" s="127">
        <f>19021+DRY!AE35</f>
        <v>17278</v>
      </c>
      <c r="AF43" s="127">
        <f>19976+DRY!AF35</f>
        <v>18062.775000000001</v>
      </c>
      <c r="AG43" s="127">
        <f>19835+DRY!AG35</f>
        <v>17902.755000000001</v>
      </c>
    </row>
    <row r="44" spans="1:33" ht="15" thickBot="1" x14ac:dyDescent="0.35">
      <c r="A44" s="175"/>
      <c r="B44" s="100" t="s">
        <v>387</v>
      </c>
      <c r="C44" s="101">
        <f t="shared" ref="C44:H44" si="210">C43/C41</f>
        <v>0.40776987139119625</v>
      </c>
      <c r="D44" s="101">
        <f t="shared" si="210"/>
        <v>0.38074836709680554</v>
      </c>
      <c r="E44" s="101">
        <f t="shared" si="210"/>
        <v>0.35395148268487087</v>
      </c>
      <c r="F44" s="101">
        <f t="shared" si="210"/>
        <v>0.34285910369015654</v>
      </c>
      <c r="G44" s="101">
        <f t="shared" si="210"/>
        <v>0.39815776999921321</v>
      </c>
      <c r="H44" s="101">
        <f t="shared" si="210"/>
        <v>0.39376630243463256</v>
      </c>
      <c r="I44" s="101">
        <f t="shared" ref="I44:J44" si="211">I43/I41</f>
        <v>0.37158490569362063</v>
      </c>
      <c r="J44" s="101">
        <f t="shared" si="211"/>
        <v>0.39236458090255416</v>
      </c>
      <c r="K44" s="101">
        <f t="shared" ref="K44:L44" si="212">K43/K41</f>
        <v>0.36540125489049391</v>
      </c>
      <c r="L44" s="101">
        <f t="shared" si="212"/>
        <v>0.3499520854720195</v>
      </c>
      <c r="M44" s="101">
        <f t="shared" ref="M44:N44" si="213">M43/M41</f>
        <v>0.29878020902232233</v>
      </c>
      <c r="N44" s="101">
        <f t="shared" si="213"/>
        <v>0.38195220625337173</v>
      </c>
      <c r="O44" s="101">
        <f t="shared" ref="O44:P44" si="214">O43/O41</f>
        <v>0.33440839721292498</v>
      </c>
      <c r="P44" s="101">
        <f t="shared" si="214"/>
        <v>0.41515821906536482</v>
      </c>
      <c r="Q44" s="101">
        <f t="shared" ref="Q44:R44" si="215">Q43/Q41</f>
        <v>0.35151087089198452</v>
      </c>
      <c r="R44" s="101">
        <f t="shared" si="215"/>
        <v>0.60717157171050928</v>
      </c>
      <c r="S44" s="101">
        <f t="shared" ref="S44:W44" si="216">S43/S41</f>
        <v>0.3712988095349069</v>
      </c>
      <c r="T44" s="101">
        <f t="shared" si="216"/>
        <v>0.38596562883116547</v>
      </c>
      <c r="U44" s="101">
        <f t="shared" si="216"/>
        <v>0.35592615349382961</v>
      </c>
      <c r="V44" s="101">
        <f t="shared" si="216"/>
        <v>0.34617550602749825</v>
      </c>
      <c r="W44" s="101">
        <f t="shared" si="216"/>
        <v>0.37587337235868507</v>
      </c>
      <c r="X44" s="101">
        <f t="shared" ref="X44:Y44" si="217">X43/X41</f>
        <v>0.33360611679275898</v>
      </c>
      <c r="Y44" s="101">
        <f t="shared" si="217"/>
        <v>0.34118060963781771</v>
      </c>
      <c r="Z44" s="101">
        <f t="shared" ref="Z44:AA44" si="218">Z43/Z41</f>
        <v>0.32837730961299472</v>
      </c>
      <c r="AA44" s="101">
        <f t="shared" si="218"/>
        <v>0.35479600714853532</v>
      </c>
      <c r="AB44" s="101">
        <f t="shared" ref="AB44:AC44" si="219">AB43/AB41</f>
        <v>0.32567065317445199</v>
      </c>
      <c r="AC44" s="101">
        <f t="shared" si="219"/>
        <v>0.33934509794402506</v>
      </c>
      <c r="AD44" s="101">
        <f t="shared" ref="AD44:AE44" si="220">AD43/AD41</f>
        <v>0.38419548253245378</v>
      </c>
      <c r="AE44" s="101">
        <f t="shared" si="220"/>
        <v>0.35287329912435222</v>
      </c>
      <c r="AF44" s="101">
        <f t="shared" ref="AF44:AG44" si="221">AF43/AF41</f>
        <v>0.32555189781475768</v>
      </c>
      <c r="AG44" s="101">
        <f t="shared" si="221"/>
        <v>0.3412822166586178</v>
      </c>
    </row>
    <row r="45" spans="1:33" ht="15" thickTop="1" x14ac:dyDescent="0.3">
      <c r="A45" s="178" t="s">
        <v>124</v>
      </c>
      <c r="B45" s="97" t="s">
        <v>386</v>
      </c>
      <c r="C45" s="96">
        <f>SALES!FN35</f>
        <v>17373.849999999999</v>
      </c>
      <c r="D45" s="96">
        <f>SALES!FO35</f>
        <v>9700.0999999999985</v>
      </c>
      <c r="E45" s="96">
        <f>SALES!FP35</f>
        <v>18866.95</v>
      </c>
      <c r="F45" s="96">
        <f>SALES!FQ35</f>
        <v>14709.45</v>
      </c>
      <c r="G45" s="96">
        <f>SALES!FR35</f>
        <v>14216.35</v>
      </c>
      <c r="H45" s="96">
        <f>SALES!FS35</f>
        <v>17207</v>
      </c>
      <c r="I45" s="96">
        <f>SALES!FT35</f>
        <v>16055.800000000001</v>
      </c>
      <c r="J45" s="96">
        <f>SALES!FU35</f>
        <v>16218.2</v>
      </c>
      <c r="K45" s="96">
        <f>SALES!FV35</f>
        <v>17400</v>
      </c>
      <c r="L45" s="96">
        <f>SALES!FW35</f>
        <v>17001.05</v>
      </c>
      <c r="M45" s="96">
        <f>SALES!FX35</f>
        <v>14782.45</v>
      </c>
      <c r="N45" s="96">
        <f>SALES!FY35</f>
        <v>19201.400000000001</v>
      </c>
      <c r="O45" s="96">
        <f>SALES!FZ35</f>
        <v>27362.67</v>
      </c>
      <c r="P45" s="96">
        <f>SALES!GA35</f>
        <v>0</v>
      </c>
      <c r="Q45" s="96">
        <f>SALES!GB35</f>
        <v>0</v>
      </c>
      <c r="R45" s="96">
        <f>SALES!GC35</f>
        <v>0</v>
      </c>
      <c r="S45" s="96">
        <f>SALES!GD35</f>
        <v>0</v>
      </c>
      <c r="T45" s="96">
        <f>SALES!GE35</f>
        <v>0</v>
      </c>
      <c r="U45" s="96"/>
      <c r="V45" s="96"/>
      <c r="W45" s="96"/>
      <c r="X45" s="96"/>
      <c r="Y45" s="96"/>
      <c r="Z45" s="96"/>
      <c r="AA45" s="96">
        <f>SALES!GL35</f>
        <v>12438.91</v>
      </c>
      <c r="AB45" s="96">
        <f>SALES!GM35</f>
        <v>25180.85</v>
      </c>
      <c r="AC45" s="96">
        <f>SALES!GN35</f>
        <v>21403.95</v>
      </c>
      <c r="AD45" s="96">
        <f>SALES!GO35</f>
        <v>18853.45</v>
      </c>
      <c r="AE45" s="96">
        <f>SALES!GP35</f>
        <v>21852.65</v>
      </c>
      <c r="AF45" s="96">
        <f>SALES!GQ35</f>
        <v>24884.370000000003</v>
      </c>
      <c r="AG45" s="96">
        <f>SALES!GR35</f>
        <v>22788.35</v>
      </c>
    </row>
    <row r="46" spans="1:33" x14ac:dyDescent="0.3">
      <c r="A46" s="176"/>
      <c r="B46" s="102" t="s">
        <v>384</v>
      </c>
      <c r="C46" s="125">
        <v>2189</v>
      </c>
      <c r="D46" s="125">
        <v>1789</v>
      </c>
      <c r="E46" s="125">
        <v>2781.13</v>
      </c>
      <c r="F46" s="125">
        <v>2425</v>
      </c>
      <c r="G46" s="125">
        <v>2058.4</v>
      </c>
      <c r="H46" s="125">
        <v>1725</v>
      </c>
      <c r="I46" s="125">
        <v>1982</v>
      </c>
      <c r="J46" s="125">
        <v>1499</v>
      </c>
      <c r="K46" s="125">
        <v>2448.8000000000002</v>
      </c>
      <c r="L46" s="125">
        <v>3183.5</v>
      </c>
      <c r="M46" s="125">
        <v>3152.2</v>
      </c>
      <c r="N46" s="125">
        <v>554.29999999999995</v>
      </c>
      <c r="O46" s="125">
        <v>1948.3</v>
      </c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>
        <v>919.69999999999993</v>
      </c>
      <c r="AB46" s="125">
        <v>1524</v>
      </c>
      <c r="AC46" s="125">
        <v>3172.2999999999997</v>
      </c>
      <c r="AD46" s="125">
        <v>1840.83</v>
      </c>
      <c r="AE46" s="125">
        <v>4268.95</v>
      </c>
      <c r="AF46" s="125">
        <v>4739.1799999999994</v>
      </c>
      <c r="AG46" s="125">
        <v>5081</v>
      </c>
    </row>
    <row r="47" spans="1:33" x14ac:dyDescent="0.3">
      <c r="A47" s="176"/>
      <c r="B47" s="99" t="s">
        <v>385</v>
      </c>
      <c r="C47" s="98">
        <f t="shared" ref="C47:H47" si="222">(C45+C46)/1.2</f>
        <v>16302.375</v>
      </c>
      <c r="D47" s="98">
        <f t="shared" si="222"/>
        <v>9574.25</v>
      </c>
      <c r="E47" s="98">
        <f t="shared" si="222"/>
        <v>18040.066666666669</v>
      </c>
      <c r="F47" s="98">
        <f t="shared" si="222"/>
        <v>14278.708333333334</v>
      </c>
      <c r="G47" s="98">
        <f t="shared" si="222"/>
        <v>13562.291666666668</v>
      </c>
      <c r="H47" s="98">
        <f t="shared" si="222"/>
        <v>15776.666666666668</v>
      </c>
      <c r="I47" s="98">
        <f t="shared" ref="I47:J47" si="223">(I45+I46)/1.2</f>
        <v>15031.500000000004</v>
      </c>
      <c r="J47" s="98">
        <f t="shared" si="223"/>
        <v>14764.333333333334</v>
      </c>
      <c r="K47" s="98">
        <f t="shared" ref="K47:L47" si="224">(K45+K46)/1.2</f>
        <v>16540.666666666668</v>
      </c>
      <c r="L47" s="98">
        <f t="shared" si="224"/>
        <v>16820.458333333332</v>
      </c>
      <c r="M47" s="98">
        <f t="shared" ref="M47:N47" si="225">(M45+M46)/1.2</f>
        <v>14945.541666666668</v>
      </c>
      <c r="N47" s="98">
        <f t="shared" si="225"/>
        <v>16463.083333333336</v>
      </c>
      <c r="O47" s="98">
        <f t="shared" ref="O47:P47" si="226">(O45+O46)/1.2</f>
        <v>24425.808333333331</v>
      </c>
      <c r="P47" s="98">
        <f t="shared" si="226"/>
        <v>0</v>
      </c>
      <c r="Q47" s="98">
        <f t="shared" ref="Q47:R47" si="227">(Q45+Q46)/1.2</f>
        <v>0</v>
      </c>
      <c r="R47" s="98">
        <f t="shared" si="227"/>
        <v>0</v>
      </c>
      <c r="S47" s="98">
        <f t="shared" ref="S47:T47" si="228">(S45+S46)/1.2</f>
        <v>0</v>
      </c>
      <c r="T47" s="98">
        <f t="shared" si="228"/>
        <v>0</v>
      </c>
      <c r="U47" s="98"/>
      <c r="V47" s="98"/>
      <c r="W47" s="98"/>
      <c r="X47" s="98"/>
      <c r="Y47" s="98"/>
      <c r="Z47" s="98"/>
      <c r="AA47" s="98">
        <f t="shared" ref="AA47:AF47" si="229">(AA45+AA46)/1.2</f>
        <v>11132.175000000001</v>
      </c>
      <c r="AB47" s="98">
        <f t="shared" si="229"/>
        <v>22254.041666666668</v>
      </c>
      <c r="AC47" s="98">
        <f t="shared" si="229"/>
        <v>20480.208333333336</v>
      </c>
      <c r="AD47" s="98">
        <f t="shared" si="229"/>
        <v>17245.233333333334</v>
      </c>
      <c r="AE47" s="98">
        <f t="shared" si="229"/>
        <v>21768.000000000004</v>
      </c>
      <c r="AF47" s="98">
        <f t="shared" si="229"/>
        <v>24686.291666666672</v>
      </c>
      <c r="AG47" s="98">
        <f t="shared" ref="AG47" si="230">(AG45+AG46)/1.2</f>
        <v>23224.458333333332</v>
      </c>
    </row>
    <row r="48" spans="1:33" hidden="1" x14ac:dyDescent="0.3">
      <c r="A48" s="176"/>
      <c r="B48" s="97" t="s">
        <v>371</v>
      </c>
      <c r="C48" s="126">
        <v>416</v>
      </c>
      <c r="D48" s="126">
        <v>450</v>
      </c>
      <c r="E48" s="126">
        <v>464</v>
      </c>
      <c r="F48" s="126">
        <v>412</v>
      </c>
      <c r="G48" s="126">
        <v>405</v>
      </c>
      <c r="H48" s="126">
        <v>403</v>
      </c>
      <c r="I48" s="126">
        <v>438</v>
      </c>
      <c r="J48" s="126">
        <v>470</v>
      </c>
      <c r="K48" s="126">
        <v>429</v>
      </c>
      <c r="L48" s="126">
        <v>445</v>
      </c>
      <c r="M48" s="126">
        <v>445</v>
      </c>
      <c r="N48" s="126">
        <v>385</v>
      </c>
      <c r="O48" s="126">
        <v>533</v>
      </c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>
        <v>521</v>
      </c>
      <c r="AB48" s="126">
        <v>546</v>
      </c>
      <c r="AC48" s="126"/>
      <c r="AD48" s="126"/>
      <c r="AE48" s="126"/>
      <c r="AF48" s="126"/>
      <c r="AG48" s="126"/>
    </row>
    <row r="49" spans="1:33" x14ac:dyDescent="0.3">
      <c r="A49" s="176"/>
      <c r="B49" s="122" t="s">
        <v>375</v>
      </c>
      <c r="C49" s="119">
        <f t="shared" ref="C49:H49" si="231">C48*12.21*1.1*1.1207</f>
        <v>6261.6826272000017</v>
      </c>
      <c r="D49" s="119">
        <f t="shared" si="231"/>
        <v>6773.4547650000013</v>
      </c>
      <c r="E49" s="119">
        <f t="shared" si="231"/>
        <v>6984.1844688000019</v>
      </c>
      <c r="F49" s="119">
        <f t="shared" si="231"/>
        <v>6201.4741404000015</v>
      </c>
      <c r="G49" s="119">
        <f t="shared" si="231"/>
        <v>6096.1092885000007</v>
      </c>
      <c r="H49" s="119">
        <f t="shared" si="231"/>
        <v>6066.0050451000006</v>
      </c>
      <c r="I49" s="119">
        <f t="shared" ref="I49:J49" si="232">I48*12.21*1.1*1.1207</f>
        <v>6592.8293046000017</v>
      </c>
      <c r="J49" s="119">
        <f t="shared" si="232"/>
        <v>7074.4971990000022</v>
      </c>
      <c r="K49" s="119">
        <f t="shared" ref="K49:L49" si="233">K48*12.21*1.1*1.1207</f>
        <v>6457.3602093000009</v>
      </c>
      <c r="L49" s="119">
        <f t="shared" si="233"/>
        <v>6698.1941565000016</v>
      </c>
      <c r="M49" s="119">
        <f t="shared" ref="M49:N49" si="234">M48*12.21*1.1*1.1207</f>
        <v>6698.1941565000016</v>
      </c>
      <c r="N49" s="119">
        <f t="shared" si="234"/>
        <v>5795.0668545000008</v>
      </c>
      <c r="O49" s="119">
        <f t="shared" ref="O49:P49" si="235">O48*12.21*1.1*1.1207</f>
        <v>8022.7808661000008</v>
      </c>
      <c r="P49" s="119">
        <f t="shared" si="235"/>
        <v>0</v>
      </c>
      <c r="Q49" s="119">
        <f t="shared" ref="Q49:R49" si="236">Q48*12.21*1.1*1.1207</f>
        <v>0</v>
      </c>
      <c r="R49" s="119">
        <f t="shared" si="236"/>
        <v>0</v>
      </c>
      <c r="S49" s="119">
        <f t="shared" ref="S49:T49" si="237">S48*12.21*1.1*1.1207</f>
        <v>0</v>
      </c>
      <c r="T49" s="119">
        <f t="shared" si="237"/>
        <v>0</v>
      </c>
      <c r="U49" s="119"/>
      <c r="V49" s="119"/>
      <c r="W49" s="119"/>
      <c r="X49" s="119"/>
      <c r="Y49" s="119"/>
      <c r="Z49" s="119"/>
      <c r="AA49" s="119">
        <f t="shared" ref="AA49" si="238">AA48*12.21*1.1*1.1207</f>
        <v>7842.1554057000012</v>
      </c>
      <c r="AB49" s="119">
        <f>AB48*12.71*1.1*1.1207</f>
        <v>8555.0046582000014</v>
      </c>
      <c r="AC49" s="119">
        <v>7869</v>
      </c>
      <c r="AD49" s="119">
        <v>7194</v>
      </c>
      <c r="AE49" s="119">
        <v>7195</v>
      </c>
      <c r="AF49" s="119">
        <v>7622</v>
      </c>
      <c r="AG49" s="119">
        <v>7925</v>
      </c>
    </row>
    <row r="50" spans="1:33" ht="15" thickBot="1" x14ac:dyDescent="0.35">
      <c r="A50" s="176"/>
      <c r="B50" s="100" t="s">
        <v>387</v>
      </c>
      <c r="C50" s="101">
        <f t="shared" ref="C50:H50" si="239">C49/C47</f>
        <v>0.38409634345915866</v>
      </c>
      <c r="D50" s="101">
        <f t="shared" si="239"/>
        <v>0.70746583439956146</v>
      </c>
      <c r="E50" s="101">
        <f t="shared" si="239"/>
        <v>0.38714848441801775</v>
      </c>
      <c r="F50" s="101">
        <f t="shared" si="239"/>
        <v>0.43431618572408226</v>
      </c>
      <c r="G50" s="101">
        <f t="shared" si="239"/>
        <v>0.44948961711854252</v>
      </c>
      <c r="H50" s="101">
        <f t="shared" si="239"/>
        <v>0.38449218540671881</v>
      </c>
      <c r="I50" s="101">
        <f t="shared" ref="I50:J50" si="240">I49/I47</f>
        <v>0.43860089176728873</v>
      </c>
      <c r="J50" s="101">
        <f t="shared" si="240"/>
        <v>0.47916130307272042</v>
      </c>
      <c r="K50" s="101">
        <f t="shared" ref="K50:L50" si="241">K49/K47</f>
        <v>0.39039298351336105</v>
      </c>
      <c r="L50" s="101">
        <f t="shared" si="241"/>
        <v>0.39821710108969494</v>
      </c>
      <c r="M50" s="101">
        <f t="shared" ref="M50:N50" si="242">M49/M47</f>
        <v>0.44817339551092444</v>
      </c>
      <c r="N50" s="101">
        <f t="shared" si="242"/>
        <v>0.35200373691643422</v>
      </c>
      <c r="O50" s="101">
        <f t="shared" ref="O50" si="243">O49/O47</f>
        <v>0.32845508147017999</v>
      </c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>
        <f>AB49/AB47</f>
        <v>0.3844247614137507</v>
      </c>
      <c r="AC50" s="101">
        <f>AC49/AC47</f>
        <v>0.38422460709017847</v>
      </c>
      <c r="AD50" s="101">
        <f>AD49/AD47</f>
        <v>0.41715875111383433</v>
      </c>
      <c r="AE50" s="101">
        <f>AE49/AE47</f>
        <v>0.33053105475927963</v>
      </c>
      <c r="AF50" s="101">
        <f>AF49/AF47</f>
        <v>0.30875435253371047</v>
      </c>
      <c r="AG50" s="101">
        <f>AG49/AG47</f>
        <v>0.34123508442069872</v>
      </c>
    </row>
    <row r="51" spans="1:33" ht="15" thickTop="1" x14ac:dyDescent="0.3">
      <c r="A51" s="181" t="s">
        <v>125</v>
      </c>
      <c r="B51" s="123" t="s">
        <v>386</v>
      </c>
      <c r="C51" s="124">
        <f>SALES!FN42</f>
        <v>18887.75</v>
      </c>
      <c r="D51" s="124">
        <f>SALES!FO42</f>
        <v>18523.699999999997</v>
      </c>
      <c r="E51" s="124">
        <f>SALES!FP42</f>
        <v>19740.550000000003</v>
      </c>
      <c r="F51" s="124">
        <f>SALES!FQ42</f>
        <v>18988.75</v>
      </c>
      <c r="G51" s="124">
        <f>SALES!FR42</f>
        <v>19084.449999999997</v>
      </c>
      <c r="H51" s="124">
        <f>SALES!FS42</f>
        <v>17304.449999999997</v>
      </c>
      <c r="I51" s="124">
        <f>SALES!FT42</f>
        <v>18865.449999999997</v>
      </c>
      <c r="J51" s="124">
        <f>SALES!FU42</f>
        <v>19276.099999999999</v>
      </c>
      <c r="K51" s="124">
        <f>SALES!FV42</f>
        <v>14105.1</v>
      </c>
      <c r="L51" s="124">
        <f>SALES!FW42</f>
        <v>22916.5</v>
      </c>
      <c r="M51" s="124">
        <f>SALES!FX42</f>
        <v>22540.050000000003</v>
      </c>
      <c r="N51" s="124">
        <f>SALES!FY42</f>
        <v>22639.85</v>
      </c>
      <c r="O51" s="124">
        <f>SALES!FZ42</f>
        <v>30001.45</v>
      </c>
      <c r="P51" s="124">
        <f>SALES!GA42</f>
        <v>17798.150000000001</v>
      </c>
      <c r="Q51" s="124">
        <f>SALES!GB42</f>
        <v>19642.45</v>
      </c>
      <c r="R51" s="124">
        <f>SALES!GC42</f>
        <v>19724.75</v>
      </c>
      <c r="S51" s="124">
        <f>SALES!GD42</f>
        <v>19606.5</v>
      </c>
      <c r="T51" s="124">
        <f>SALES!GE42</f>
        <v>16063</v>
      </c>
      <c r="U51" s="124">
        <f>SALES!GF42</f>
        <v>21227.9</v>
      </c>
      <c r="V51" s="124">
        <f>SALES!GG42</f>
        <v>21051.85</v>
      </c>
      <c r="W51" s="124">
        <f>SALES!GH42</f>
        <v>17773.150000000001</v>
      </c>
      <c r="X51" s="124">
        <f>SALES!GI42</f>
        <v>21037.95</v>
      </c>
      <c r="Y51" s="124">
        <f>SALES!GJ42</f>
        <v>23461.24</v>
      </c>
      <c r="Z51" s="124">
        <f>SALES!GK42</f>
        <v>18636.7</v>
      </c>
      <c r="AA51" s="124">
        <f>SALES!GL42</f>
        <v>17458.580000000002</v>
      </c>
      <c r="AB51" s="124">
        <f>SALES!GM42</f>
        <v>29631.02</v>
      </c>
      <c r="AC51" s="124">
        <f>SALES!GN42</f>
        <v>23389.35</v>
      </c>
      <c r="AD51" s="124">
        <f>SALES!GO42</f>
        <v>21211.4</v>
      </c>
      <c r="AE51" s="124">
        <f>SALES!GP42</f>
        <v>21089.85</v>
      </c>
      <c r="AF51" s="124">
        <f>SALES!GQ42</f>
        <v>21918.25</v>
      </c>
      <c r="AG51" s="124">
        <f>SALES!GR42</f>
        <v>22959.45</v>
      </c>
    </row>
    <row r="52" spans="1:33" x14ac:dyDescent="0.3">
      <c r="A52" s="175"/>
      <c r="B52" s="99" t="s">
        <v>385</v>
      </c>
      <c r="C52" s="98">
        <f t="shared" ref="C52:H52" si="244">C51/1.2</f>
        <v>15739.791666666668</v>
      </c>
      <c r="D52" s="98">
        <f t="shared" si="244"/>
        <v>15436.416666666664</v>
      </c>
      <c r="E52" s="98">
        <f t="shared" si="244"/>
        <v>16450.458333333336</v>
      </c>
      <c r="F52" s="98">
        <f t="shared" si="244"/>
        <v>15823.958333333334</v>
      </c>
      <c r="G52" s="98">
        <f t="shared" si="244"/>
        <v>15903.708333333332</v>
      </c>
      <c r="H52" s="98">
        <f t="shared" si="244"/>
        <v>14420.374999999998</v>
      </c>
      <c r="I52" s="98">
        <f t="shared" ref="I52:J52" si="245">I51/1.2</f>
        <v>15721.208333333332</v>
      </c>
      <c r="J52" s="98">
        <f t="shared" si="245"/>
        <v>16063.416666666666</v>
      </c>
      <c r="K52" s="98">
        <f t="shared" ref="K52:L52" si="246">K51/1.2</f>
        <v>11754.25</v>
      </c>
      <c r="L52" s="98">
        <f t="shared" si="246"/>
        <v>19097.083333333336</v>
      </c>
      <c r="M52" s="98">
        <f t="shared" ref="M52:N52" si="247">M51/1.2</f>
        <v>18783.375000000004</v>
      </c>
      <c r="N52" s="98">
        <f t="shared" si="247"/>
        <v>18866.541666666668</v>
      </c>
      <c r="O52" s="98">
        <f t="shared" ref="O52:P52" si="248">O51/1.2</f>
        <v>25001.208333333336</v>
      </c>
      <c r="P52" s="98">
        <f t="shared" si="248"/>
        <v>14831.791666666668</v>
      </c>
      <c r="Q52" s="98">
        <f t="shared" ref="Q52:R52" si="249">Q51/1.2</f>
        <v>16368.708333333334</v>
      </c>
      <c r="R52" s="98">
        <f t="shared" si="249"/>
        <v>16437.291666666668</v>
      </c>
      <c r="S52" s="98">
        <f t="shared" ref="S52:W52" si="250">S51/1.2</f>
        <v>16338.75</v>
      </c>
      <c r="T52" s="98">
        <f t="shared" si="250"/>
        <v>13385.833333333334</v>
      </c>
      <c r="U52" s="98">
        <f t="shared" si="250"/>
        <v>17689.916666666668</v>
      </c>
      <c r="V52" s="98">
        <f t="shared" si="250"/>
        <v>17543.208333333332</v>
      </c>
      <c r="W52" s="98">
        <f t="shared" si="250"/>
        <v>14810.958333333336</v>
      </c>
      <c r="X52" s="98">
        <f t="shared" ref="X52:Y52" si="251">X51/1.2</f>
        <v>17531.625</v>
      </c>
      <c r="Y52" s="98">
        <f t="shared" si="251"/>
        <v>19551.033333333336</v>
      </c>
      <c r="Z52" s="98">
        <f t="shared" ref="Z52:AA52" si="252">Z51/1.2</f>
        <v>15530.583333333334</v>
      </c>
      <c r="AA52" s="98">
        <f t="shared" si="252"/>
        <v>14548.816666666669</v>
      </c>
      <c r="AB52" s="98">
        <f t="shared" ref="AB52:AC52" si="253">AB51/1.2</f>
        <v>24692.516666666666</v>
      </c>
      <c r="AC52" s="98">
        <f t="shared" si="253"/>
        <v>19491.125</v>
      </c>
      <c r="AD52" s="98">
        <f t="shared" ref="AD52" si="254">AD51/1.2</f>
        <v>17676.166666666668</v>
      </c>
      <c r="AE52" s="98">
        <f>AE51/1.2</f>
        <v>17574.875</v>
      </c>
      <c r="AF52" s="98">
        <f>AF51/1.2</f>
        <v>18265.208333333336</v>
      </c>
      <c r="AG52" s="98">
        <f>AG51/1.2</f>
        <v>19132.875</v>
      </c>
    </row>
    <row r="53" spans="1:33" hidden="1" x14ac:dyDescent="0.3">
      <c r="A53" s="175"/>
      <c r="B53" s="97" t="s">
        <v>371</v>
      </c>
      <c r="C53" s="126">
        <v>430</v>
      </c>
      <c r="D53" s="126">
        <v>416</v>
      </c>
      <c r="E53" s="126">
        <v>420</v>
      </c>
      <c r="F53" s="126">
        <v>384</v>
      </c>
      <c r="G53" s="126">
        <v>404</v>
      </c>
      <c r="H53" s="126">
        <v>401</v>
      </c>
      <c r="I53" s="126">
        <v>409</v>
      </c>
      <c r="J53" s="126">
        <v>463</v>
      </c>
      <c r="K53" s="126">
        <v>402</v>
      </c>
      <c r="L53" s="126">
        <v>425</v>
      </c>
      <c r="M53" s="126">
        <v>435</v>
      </c>
      <c r="N53" s="126">
        <f>359+20</f>
        <v>379</v>
      </c>
      <c r="O53" s="126">
        <v>498</v>
      </c>
      <c r="P53" s="126">
        <v>405</v>
      </c>
      <c r="Q53" s="126">
        <v>410</v>
      </c>
      <c r="R53" s="126">
        <v>394</v>
      </c>
      <c r="S53" s="126">
        <v>428</v>
      </c>
      <c r="T53" s="126">
        <v>394</v>
      </c>
      <c r="U53" s="126">
        <v>412</v>
      </c>
      <c r="V53" s="126">
        <v>394</v>
      </c>
      <c r="W53" s="126">
        <v>423</v>
      </c>
      <c r="X53" s="126">
        <v>436</v>
      </c>
      <c r="Y53" s="126">
        <v>440</v>
      </c>
      <c r="Z53" s="126">
        <v>419</v>
      </c>
      <c r="AA53" s="126">
        <v>423</v>
      </c>
      <c r="AB53" s="126">
        <v>475</v>
      </c>
      <c r="AC53" s="126"/>
      <c r="AD53" s="126"/>
      <c r="AE53" s="126"/>
      <c r="AF53" s="126"/>
      <c r="AG53" s="126"/>
    </row>
    <row r="54" spans="1:33" x14ac:dyDescent="0.3">
      <c r="A54" s="175"/>
      <c r="B54" s="122" t="s">
        <v>375</v>
      </c>
      <c r="C54" s="119">
        <f t="shared" ref="C54:H54" si="255">C53*12.21*1.1*1.1207</f>
        <v>6472.4123310000014</v>
      </c>
      <c r="D54" s="119">
        <f t="shared" si="255"/>
        <v>6261.6826272000017</v>
      </c>
      <c r="E54" s="119">
        <f t="shared" si="255"/>
        <v>6321.8911140000018</v>
      </c>
      <c r="F54" s="119">
        <f t="shared" si="255"/>
        <v>5780.0147328000012</v>
      </c>
      <c r="G54" s="119">
        <f t="shared" si="255"/>
        <v>6081.0571668000011</v>
      </c>
      <c r="H54" s="119">
        <f t="shared" si="255"/>
        <v>6035.9008017000006</v>
      </c>
      <c r="I54" s="119">
        <f t="shared" ref="I54:J54" si="256">I53*12.21*1.1*1.1207</f>
        <v>6156.3177753000009</v>
      </c>
      <c r="J54" s="119">
        <f t="shared" si="256"/>
        <v>6969.1323471000014</v>
      </c>
      <c r="K54" s="119">
        <f t="shared" ref="K54:L54" si="257">K53*12.21*1.1*1.1207</f>
        <v>6050.9529234000011</v>
      </c>
      <c r="L54" s="119">
        <f t="shared" si="257"/>
        <v>6397.1517225000007</v>
      </c>
      <c r="M54" s="119">
        <f t="shared" ref="M54:N54" si="258">M53*12.21*1.1*1.1207</f>
        <v>6547.6729395000011</v>
      </c>
      <c r="N54" s="119">
        <f t="shared" si="258"/>
        <v>5704.7541243000005</v>
      </c>
      <c r="O54" s="119">
        <f t="shared" ref="O54:P54" si="259">O53*12.21*1.1*1.1207</f>
        <v>7495.9566066000025</v>
      </c>
      <c r="P54" s="119">
        <f t="shared" si="259"/>
        <v>6096.1092885000007</v>
      </c>
      <c r="Q54" s="119">
        <f t="shared" ref="Q54:R54" si="260">Q53*12.21*1.1*1.1207</f>
        <v>6171.3698970000014</v>
      </c>
      <c r="R54" s="119">
        <f t="shared" si="260"/>
        <v>5930.5359498000016</v>
      </c>
      <c r="S54" s="119">
        <f t="shared" ref="S54:W54" si="261">S53*12.21*1.1*1.1207</f>
        <v>6442.3080876000013</v>
      </c>
      <c r="T54" s="119">
        <f t="shared" si="261"/>
        <v>5930.5359498000016</v>
      </c>
      <c r="U54" s="119">
        <f t="shared" si="261"/>
        <v>6201.4741404000015</v>
      </c>
      <c r="V54" s="119">
        <f t="shared" si="261"/>
        <v>5930.5359498000016</v>
      </c>
      <c r="W54" s="119">
        <f t="shared" si="261"/>
        <v>6367.0474791000006</v>
      </c>
      <c r="X54" s="119">
        <f t="shared" ref="X54:Y54" si="262">X53*12.21*1.1*1.1207</f>
        <v>6562.7250612000016</v>
      </c>
      <c r="Y54" s="119">
        <f t="shared" si="262"/>
        <v>6622.9335480000018</v>
      </c>
      <c r="Z54" s="119">
        <f t="shared" ref="Z54:AA54" si="263">Z53*12.21*1.1*1.1207</f>
        <v>6306.8389923000013</v>
      </c>
      <c r="AA54" s="119">
        <f t="shared" si="263"/>
        <v>6367.0474791000006</v>
      </c>
      <c r="AB54" s="119">
        <f>AB53*12.71*1.1*1.1207</f>
        <v>7442.5406825000009</v>
      </c>
      <c r="AC54" s="119">
        <v>6605</v>
      </c>
      <c r="AD54" s="119">
        <f>6870-741</f>
        <v>6129</v>
      </c>
      <c r="AE54" s="119">
        <v>7251</v>
      </c>
      <c r="AF54" s="119">
        <v>8071</v>
      </c>
      <c r="AG54" s="119">
        <v>7540</v>
      </c>
    </row>
    <row r="55" spans="1:33" ht="15" thickBot="1" x14ac:dyDescent="0.35">
      <c r="A55" s="175"/>
      <c r="B55" s="100" t="s">
        <v>387</v>
      </c>
      <c r="C55" s="101">
        <f t="shared" ref="C55:H55" si="264">C54/C52</f>
        <v>0.41121334183266939</v>
      </c>
      <c r="D55" s="101">
        <f t="shared" si="264"/>
        <v>0.40564353518141644</v>
      </c>
      <c r="E55" s="101">
        <f t="shared" si="264"/>
        <v>0.3842987827998714</v>
      </c>
      <c r="F55" s="101">
        <f t="shared" si="264"/>
        <v>0.36526984026647363</v>
      </c>
      <c r="G55" s="101">
        <f t="shared" si="264"/>
        <v>0.38236724664111366</v>
      </c>
      <c r="H55" s="101">
        <f t="shared" si="264"/>
        <v>0.41856753390255119</v>
      </c>
      <c r="I55" s="101">
        <f t="shared" ref="I55:J55" si="265">I54/I52</f>
        <v>0.39159316795305715</v>
      </c>
      <c r="J55" s="101">
        <f t="shared" si="265"/>
        <v>0.4338511844470615</v>
      </c>
      <c r="K55" s="101">
        <f t="shared" ref="K55:L55" si="266">K54/K52</f>
        <v>0.51478851678329129</v>
      </c>
      <c r="L55" s="101">
        <f t="shared" si="266"/>
        <v>0.33498056278227478</v>
      </c>
      <c r="M55" s="101">
        <f t="shared" ref="M55:N55" si="267">M54/M52</f>
        <v>0.34858873549082631</v>
      </c>
      <c r="N55" s="101">
        <f t="shared" si="267"/>
        <v>0.30237413009185132</v>
      </c>
      <c r="O55" s="101">
        <f t="shared" ref="O55:P55" si="268">O54/O52</f>
        <v>0.29982377278164896</v>
      </c>
      <c r="P55" s="101">
        <f t="shared" si="268"/>
        <v>0.411016377893208</v>
      </c>
      <c r="Q55" s="101">
        <f t="shared" ref="Q55:R55" si="269">Q54/Q52</f>
        <v>0.37702241199035769</v>
      </c>
      <c r="R55" s="101">
        <f t="shared" si="269"/>
        <v>0.36079763443186869</v>
      </c>
      <c r="S55" s="101">
        <f t="shared" ref="S55:W55" si="270">S54/S52</f>
        <v>0.39429626425522157</v>
      </c>
      <c r="T55" s="101">
        <f t="shared" si="270"/>
        <v>0.44304570377638058</v>
      </c>
      <c r="U55" s="101">
        <f t="shared" si="270"/>
        <v>0.3505654807343167</v>
      </c>
      <c r="V55" s="101">
        <f t="shared" si="270"/>
        <v>0.33805309935991384</v>
      </c>
      <c r="W55" s="101">
        <f t="shared" si="270"/>
        <v>0.42988760995771708</v>
      </c>
      <c r="X55" s="101">
        <f t="shared" ref="X55:Y55" si="271">X54/X52</f>
        <v>0.37433638132232477</v>
      </c>
      <c r="Y55" s="101">
        <f t="shared" si="271"/>
        <v>0.33875107443596336</v>
      </c>
      <c r="Z55" s="101">
        <f t="shared" ref="Z55:AA55" si="272">Z54/Z52</f>
        <v>0.40609157150997771</v>
      </c>
      <c r="AA55" s="101">
        <f t="shared" si="272"/>
        <v>0.43763335706111262</v>
      </c>
      <c r="AB55" s="101">
        <f t="shared" ref="AB55:AC55" si="273">AB54/AB52</f>
        <v>0.30140875403546691</v>
      </c>
      <c r="AC55" s="101">
        <f t="shared" si="273"/>
        <v>0.33887217900454691</v>
      </c>
      <c r="AD55" s="101">
        <f t="shared" ref="AD55:AE55" si="274">AD54/AD52</f>
        <v>0.34673807480882918</v>
      </c>
      <c r="AE55" s="101">
        <f t="shared" si="274"/>
        <v>0.41257761435003093</v>
      </c>
      <c r="AF55" s="101">
        <f t="shared" ref="AF55:AG55" si="275">AF54/AF52</f>
        <v>0.44187834338964099</v>
      </c>
      <c r="AG55" s="101">
        <f t="shared" si="275"/>
        <v>0.39408609526796157</v>
      </c>
    </row>
    <row r="56" spans="1:33" ht="15" thickTop="1" x14ac:dyDescent="0.3">
      <c r="A56" s="178" t="s">
        <v>112</v>
      </c>
      <c r="B56" s="123" t="s">
        <v>386</v>
      </c>
      <c r="C56" s="124">
        <f>SALES!FN49</f>
        <v>16036.55</v>
      </c>
      <c r="D56" s="124">
        <f>SALES!FO49</f>
        <v>12404.65</v>
      </c>
      <c r="E56" s="124">
        <f>SALES!FP49</f>
        <v>9818.9500000000007</v>
      </c>
      <c r="F56" s="124">
        <f>SALES!FQ49</f>
        <v>13864.449999999999</v>
      </c>
      <c r="G56" s="124">
        <f>SALES!FR49</f>
        <v>13815.66</v>
      </c>
      <c r="H56" s="124">
        <f>SALES!FS49</f>
        <v>12945.3</v>
      </c>
      <c r="I56" s="124">
        <f>SALES!FT49</f>
        <v>13876.67</v>
      </c>
      <c r="J56" s="124">
        <f>SALES!FU49</f>
        <v>14934.2</v>
      </c>
      <c r="K56" s="124">
        <f>SALES!FV49</f>
        <v>15036.539999999999</v>
      </c>
      <c r="L56" s="124">
        <f>SALES!FW49</f>
        <v>17795.309999999998</v>
      </c>
      <c r="M56" s="124">
        <f>SALES!FX49</f>
        <v>20408.71</v>
      </c>
      <c r="N56" s="124">
        <f>SALES!FY49</f>
        <v>15292.599999999999</v>
      </c>
      <c r="O56" s="124">
        <f>SALES!FZ49</f>
        <v>19236.7</v>
      </c>
      <c r="P56" s="124">
        <f>SALES!GA49</f>
        <v>13922.25</v>
      </c>
      <c r="Q56" s="124">
        <f>SALES!GB49</f>
        <v>14794.76</v>
      </c>
      <c r="R56" s="124">
        <f>SALES!GC49</f>
        <v>13539.46</v>
      </c>
      <c r="S56" s="124">
        <f>SALES!GD49</f>
        <v>15428.75</v>
      </c>
      <c r="T56" s="124">
        <f>SALES!GE49</f>
        <v>11895.92</v>
      </c>
      <c r="U56" s="124">
        <f>SALES!GF49</f>
        <v>16890.88</v>
      </c>
      <c r="V56" s="124">
        <f>SALES!GG49</f>
        <v>16409.3</v>
      </c>
      <c r="W56" s="124">
        <f>SALES!GH49</f>
        <v>13613.449999999999</v>
      </c>
      <c r="X56" s="124">
        <f>SALES!GI49</f>
        <v>13977.91</v>
      </c>
      <c r="Y56" s="124">
        <f>SALES!GJ49</f>
        <v>16132.95</v>
      </c>
      <c r="Z56" s="124">
        <f>SALES!GK49</f>
        <v>17852.25</v>
      </c>
      <c r="AA56" s="124">
        <f>SALES!GL49</f>
        <v>16583.349999999999</v>
      </c>
      <c r="AB56" s="124">
        <f>SALES!GM49</f>
        <v>18872.75</v>
      </c>
      <c r="AC56" s="124">
        <f>SALES!GN49</f>
        <v>19044.54</v>
      </c>
      <c r="AD56" s="124">
        <f>SALES!GO49</f>
        <v>16788.55</v>
      </c>
      <c r="AE56" s="124">
        <f>SALES!GP49</f>
        <v>19674.25</v>
      </c>
      <c r="AF56" s="124">
        <f>SALES!GQ49</f>
        <v>23056</v>
      </c>
      <c r="AG56" s="124">
        <f>SALES!GR49</f>
        <v>19397.05</v>
      </c>
    </row>
    <row r="57" spans="1:33" x14ac:dyDescent="0.3">
      <c r="A57" s="176"/>
      <c r="B57" s="99" t="s">
        <v>385</v>
      </c>
      <c r="C57" s="98">
        <f t="shared" ref="C57:H57" si="276">C56/1.2</f>
        <v>13363.791666666666</v>
      </c>
      <c r="D57" s="98">
        <f t="shared" si="276"/>
        <v>10337.208333333334</v>
      </c>
      <c r="E57" s="98">
        <f t="shared" si="276"/>
        <v>8182.4583333333339</v>
      </c>
      <c r="F57" s="98">
        <f t="shared" si="276"/>
        <v>11553.708333333332</v>
      </c>
      <c r="G57" s="98">
        <f t="shared" si="276"/>
        <v>11513.050000000001</v>
      </c>
      <c r="H57" s="98">
        <f t="shared" si="276"/>
        <v>10787.75</v>
      </c>
      <c r="I57" s="98">
        <f t="shared" ref="I57:J57" si="277">I56/1.2</f>
        <v>11563.891666666666</v>
      </c>
      <c r="J57" s="98">
        <f t="shared" si="277"/>
        <v>12445.166666666668</v>
      </c>
      <c r="K57" s="98">
        <f t="shared" ref="K57:L57" si="278">K56/1.2</f>
        <v>12530.449999999999</v>
      </c>
      <c r="L57" s="98">
        <f t="shared" si="278"/>
        <v>14829.424999999999</v>
      </c>
      <c r="M57" s="98">
        <f t="shared" ref="M57:N57" si="279">M56/1.2</f>
        <v>17007.258333333335</v>
      </c>
      <c r="N57" s="98">
        <f t="shared" si="279"/>
        <v>12743.833333333332</v>
      </c>
      <c r="O57" s="98">
        <f t="shared" ref="O57:P57" si="280">O56/1.2</f>
        <v>16030.583333333334</v>
      </c>
      <c r="P57" s="98">
        <f t="shared" si="280"/>
        <v>11601.875</v>
      </c>
      <c r="Q57" s="98">
        <f t="shared" ref="Q57:R57" si="281">Q56/1.2</f>
        <v>12328.966666666667</v>
      </c>
      <c r="R57" s="98">
        <f t="shared" si="281"/>
        <v>11282.883333333333</v>
      </c>
      <c r="S57" s="98">
        <f t="shared" ref="S57:W57" si="282">S56/1.2</f>
        <v>12857.291666666668</v>
      </c>
      <c r="T57" s="98">
        <f t="shared" si="282"/>
        <v>9913.2666666666664</v>
      </c>
      <c r="U57" s="98">
        <f t="shared" si="282"/>
        <v>14075.733333333335</v>
      </c>
      <c r="V57" s="98">
        <f t="shared" si="282"/>
        <v>13674.416666666666</v>
      </c>
      <c r="W57" s="98">
        <f t="shared" si="282"/>
        <v>11344.541666666666</v>
      </c>
      <c r="X57" s="98">
        <f t="shared" ref="X57:Y57" si="283">X56/1.2</f>
        <v>11648.258333333333</v>
      </c>
      <c r="Y57" s="98">
        <f t="shared" si="283"/>
        <v>13444.125000000002</v>
      </c>
      <c r="Z57" s="98">
        <f t="shared" ref="Z57:AA57" si="284">Z56/1.2</f>
        <v>14876.875</v>
      </c>
      <c r="AA57" s="98">
        <f t="shared" si="284"/>
        <v>13819.458333333332</v>
      </c>
      <c r="AB57" s="98">
        <f t="shared" ref="AB57:AC57" si="285">AB56/1.2</f>
        <v>15727.291666666668</v>
      </c>
      <c r="AC57" s="98">
        <f t="shared" si="285"/>
        <v>15870.45</v>
      </c>
      <c r="AD57" s="98">
        <f t="shared" ref="AD57:AE57" si="286">AD56/1.2</f>
        <v>13990.458333333334</v>
      </c>
      <c r="AE57" s="98">
        <f t="shared" si="286"/>
        <v>16395.208333333336</v>
      </c>
      <c r="AF57" s="98">
        <f t="shared" ref="AF57:AG57" si="287">AF56/1.2</f>
        <v>19213.333333333336</v>
      </c>
      <c r="AG57" s="98">
        <f t="shared" si="287"/>
        <v>16164.208333333334</v>
      </c>
    </row>
    <row r="58" spans="1:33" hidden="1" x14ac:dyDescent="0.3">
      <c r="A58" s="176"/>
      <c r="B58" s="97" t="s">
        <v>371</v>
      </c>
      <c r="C58" s="126">
        <v>278</v>
      </c>
      <c r="D58" s="126">
        <v>239</v>
      </c>
      <c r="E58" s="126">
        <v>174</v>
      </c>
      <c r="F58" s="126">
        <v>228</v>
      </c>
      <c r="G58" s="126">
        <v>254</v>
      </c>
      <c r="H58" s="126">
        <v>268</v>
      </c>
      <c r="I58" s="126">
        <v>263</v>
      </c>
      <c r="J58" s="126">
        <v>255</v>
      </c>
      <c r="K58" s="126">
        <v>280</v>
      </c>
      <c r="L58" s="126">
        <v>265</v>
      </c>
      <c r="M58" s="126">
        <v>330</v>
      </c>
      <c r="N58" s="126">
        <f>225+5</f>
        <v>230</v>
      </c>
      <c r="O58" s="126">
        <v>305</v>
      </c>
      <c r="P58" s="126">
        <v>240</v>
      </c>
      <c r="Q58" s="126">
        <v>196</v>
      </c>
      <c r="R58" s="126">
        <v>180</v>
      </c>
      <c r="S58" s="126">
        <v>201</v>
      </c>
      <c r="T58" s="126">
        <v>191</v>
      </c>
      <c r="U58" s="126">
        <v>193</v>
      </c>
      <c r="V58" s="126">
        <v>181</v>
      </c>
      <c r="W58" s="126">
        <v>224</v>
      </c>
      <c r="X58" s="126">
        <v>214</v>
      </c>
      <c r="Y58" s="126">
        <v>200</v>
      </c>
      <c r="Z58" s="126">
        <v>220</v>
      </c>
      <c r="AA58" s="126">
        <v>240</v>
      </c>
      <c r="AB58" s="126">
        <v>281</v>
      </c>
      <c r="AC58" s="126"/>
      <c r="AD58" s="126"/>
      <c r="AE58" s="126"/>
      <c r="AF58" s="126"/>
      <c r="AG58" s="126"/>
    </row>
    <row r="59" spans="1:33" x14ac:dyDescent="0.3">
      <c r="A59" s="176"/>
      <c r="B59" s="122" t="s">
        <v>375</v>
      </c>
      <c r="C59" s="119">
        <f t="shared" ref="C59:H59" si="288">C58*12.21*1.1*1.1207</f>
        <v>4184.4898326000002</v>
      </c>
      <c r="D59" s="119">
        <f t="shared" si="288"/>
        <v>3597.4570863000008</v>
      </c>
      <c r="E59" s="119">
        <f t="shared" si="288"/>
        <v>2619.0691758000003</v>
      </c>
      <c r="F59" s="119">
        <f t="shared" si="288"/>
        <v>3431.8837476000008</v>
      </c>
      <c r="G59" s="119">
        <f t="shared" si="288"/>
        <v>3823.238911800001</v>
      </c>
      <c r="H59" s="119">
        <f t="shared" si="288"/>
        <v>4033.9686156000007</v>
      </c>
      <c r="I59" s="119">
        <f t="shared" ref="I59:J59" si="289">I58*12.21*1.1*1.1207</f>
        <v>3958.7080071000005</v>
      </c>
      <c r="J59" s="119">
        <f t="shared" si="289"/>
        <v>3838.291033500001</v>
      </c>
      <c r="K59" s="119">
        <f t="shared" ref="K59:L59" si="290">K58*12.21*1.1*1.1207</f>
        <v>4214.5940760000003</v>
      </c>
      <c r="L59" s="119">
        <f t="shared" si="290"/>
        <v>3988.8122505000006</v>
      </c>
      <c r="M59" s="119">
        <f t="shared" ref="M59:N59" si="291">M58*12.21*1.1*1.1207</f>
        <v>4967.2001610000007</v>
      </c>
      <c r="N59" s="119">
        <f t="shared" si="291"/>
        <v>3461.9879910000009</v>
      </c>
      <c r="O59" s="119">
        <f t="shared" ref="O59:P59" si="292">O58*12.21*1.1*1.1207</f>
        <v>4590.8971185000009</v>
      </c>
      <c r="P59" s="119">
        <f t="shared" si="292"/>
        <v>3612.5092080000009</v>
      </c>
      <c r="Q59" s="119">
        <f t="shared" ref="Q59:R59" si="293">Q58*12.21*1.1*1.1207</f>
        <v>2950.2158532000008</v>
      </c>
      <c r="R59" s="119">
        <f t="shared" si="293"/>
        <v>2709.3819060000005</v>
      </c>
      <c r="S59" s="119">
        <f t="shared" ref="S59:W59" si="294">S58*12.21*1.1*1.1207</f>
        <v>3025.4764617000005</v>
      </c>
      <c r="T59" s="119">
        <f t="shared" si="294"/>
        <v>2874.9552447000005</v>
      </c>
      <c r="U59" s="119">
        <f t="shared" si="294"/>
        <v>2905.0594881000006</v>
      </c>
      <c r="V59" s="119">
        <f t="shared" si="294"/>
        <v>2724.4340277000006</v>
      </c>
      <c r="W59" s="119">
        <f t="shared" si="294"/>
        <v>3371.6752608000006</v>
      </c>
      <c r="X59" s="119">
        <f t="shared" ref="X59:Y59" si="295">X58*12.21*1.1*1.1207</f>
        <v>3221.1540438000006</v>
      </c>
      <c r="Y59" s="119">
        <f t="shared" si="295"/>
        <v>3010.4243400000005</v>
      </c>
      <c r="Z59" s="119">
        <f t="shared" ref="Z59:AA59" si="296">Z58*12.21*1.1*1.1207</f>
        <v>3311.4667740000009</v>
      </c>
      <c r="AA59" s="119">
        <f t="shared" si="296"/>
        <v>3612.5092080000009</v>
      </c>
      <c r="AB59" s="119">
        <f>AB58*12.71*1.1*1.1207</f>
        <v>4402.8503827000004</v>
      </c>
      <c r="AC59" s="119">
        <v>3473</v>
      </c>
      <c r="AD59" s="119">
        <v>2788</v>
      </c>
      <c r="AE59" s="119">
        <v>3411</v>
      </c>
      <c r="AF59" s="119">
        <v>3318</v>
      </c>
      <c r="AG59" s="119">
        <v>3852</v>
      </c>
    </row>
    <row r="60" spans="1:33" ht="15" thickBot="1" x14ac:dyDescent="0.35">
      <c r="A60" s="176"/>
      <c r="B60" s="100" t="s">
        <v>387</v>
      </c>
      <c r="C60" s="101">
        <f t="shared" ref="C60:H60" si="297">C59/C57</f>
        <v>0.31312145063121433</v>
      </c>
      <c r="D60" s="101">
        <f t="shared" si="297"/>
        <v>0.34801050441245829</v>
      </c>
      <c r="E60" s="101">
        <f t="shared" si="297"/>
        <v>0.32008341125680445</v>
      </c>
      <c r="F60" s="101">
        <f t="shared" si="297"/>
        <v>0.29703742284187268</v>
      </c>
      <c r="G60" s="101">
        <f t="shared" si="297"/>
        <v>0.33207872039120828</v>
      </c>
      <c r="H60" s="101">
        <f t="shared" si="297"/>
        <v>0.37393975718755074</v>
      </c>
      <c r="I60" s="101">
        <f t="shared" ref="I60:J60" si="298">I59/I57</f>
        <v>0.34233354317138048</v>
      </c>
      <c r="J60" s="101">
        <f t="shared" si="298"/>
        <v>0.3084162017516841</v>
      </c>
      <c r="K60" s="101">
        <f t="shared" ref="K60:L60" si="299">K59/K57</f>
        <v>0.33634818190887006</v>
      </c>
      <c r="L60" s="101">
        <f t="shared" si="299"/>
        <v>0.26897956262633249</v>
      </c>
      <c r="M60" s="101">
        <f t="shared" ref="M60:N60" si="300">M59/M57</f>
        <v>0.29206354508442722</v>
      </c>
      <c r="N60" s="101">
        <f t="shared" si="300"/>
        <v>0.2716598609261997</v>
      </c>
      <c r="O60" s="101">
        <f t="shared" ref="O60:P60" si="301">O59/O57</f>
        <v>0.28638365947381833</v>
      </c>
      <c r="P60" s="101">
        <f t="shared" si="301"/>
        <v>0.31137287791843998</v>
      </c>
      <c r="Q60" s="101">
        <f t="shared" ref="Q60:R60" si="302">Q59/Q57</f>
        <v>0.2392914128948358</v>
      </c>
      <c r="R60" s="101">
        <f t="shared" si="302"/>
        <v>0.24013205011130434</v>
      </c>
      <c r="S60" s="101">
        <f t="shared" ref="S60:W60" si="303">S59/S57</f>
        <v>0.23531211239018068</v>
      </c>
      <c r="T60" s="101">
        <f t="shared" si="303"/>
        <v>0.29001088555067628</v>
      </c>
      <c r="U60" s="101">
        <f t="shared" si="303"/>
        <v>0.20638778948876554</v>
      </c>
      <c r="V60" s="101">
        <f t="shared" si="303"/>
        <v>0.19923584998994479</v>
      </c>
      <c r="W60" s="101">
        <f t="shared" si="303"/>
        <v>0.29720682949289129</v>
      </c>
      <c r="X60" s="101">
        <f t="shared" ref="X60:Y60" si="304">X59/X57</f>
        <v>0.27653525116129668</v>
      </c>
      <c r="Y60" s="101">
        <f t="shared" si="304"/>
        <v>0.22392118044127082</v>
      </c>
      <c r="Z60" s="101">
        <f t="shared" ref="Z60:AA60" si="305">Z59/Z57</f>
        <v>0.22259155729950011</v>
      </c>
      <c r="AA60" s="101">
        <f t="shared" si="305"/>
        <v>0.26140743876237321</v>
      </c>
      <c r="AB60" s="101">
        <f t="shared" ref="AB60:AC60" si="306">AB59/AB57</f>
        <v>0.27994968720721675</v>
      </c>
      <c r="AC60" s="101">
        <f t="shared" si="306"/>
        <v>0.21883437457665031</v>
      </c>
      <c r="AD60" s="101">
        <f t="shared" ref="AD60:AE60" si="307">AD59/AD57</f>
        <v>0.199278675049364</v>
      </c>
      <c r="AE60" s="101">
        <f t="shared" si="307"/>
        <v>0.20804859143296436</v>
      </c>
      <c r="AF60" s="101">
        <f t="shared" ref="AF60:AG60" si="308">AF59/AF57</f>
        <v>0.17269257460097154</v>
      </c>
      <c r="AG60" s="101">
        <f t="shared" si="308"/>
        <v>0.23830427822787484</v>
      </c>
    </row>
    <row r="61" spans="1:33" ht="15" thickTop="1" x14ac:dyDescent="0.3">
      <c r="A61" s="181" t="s">
        <v>402</v>
      </c>
      <c r="B61" s="123" t="s">
        <v>386</v>
      </c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>
        <f>SALES!GP85</f>
        <v>21466.65</v>
      </c>
      <c r="AF61" s="124">
        <f>SALES!GQ85</f>
        <v>23648.46</v>
      </c>
      <c r="AG61" s="124">
        <f>SALES!GR85</f>
        <v>22644.276000000002</v>
      </c>
    </row>
    <row r="62" spans="1:33" x14ac:dyDescent="0.3">
      <c r="A62" s="175"/>
      <c r="B62" s="99" t="s">
        <v>385</v>
      </c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>
        <f>AE61/1.2</f>
        <v>17888.875000000004</v>
      </c>
      <c r="AF62" s="98">
        <f>AF61/1.2</f>
        <v>19707.05</v>
      </c>
      <c r="AG62" s="98">
        <f>AG61/1.2</f>
        <v>18870.230000000003</v>
      </c>
    </row>
    <row r="63" spans="1:33" x14ac:dyDescent="0.3">
      <c r="A63" s="175"/>
      <c r="B63" s="122" t="s">
        <v>375</v>
      </c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>
        <v>3526</v>
      </c>
      <c r="AF63" s="119">
        <v>3939</v>
      </c>
      <c r="AG63" s="119">
        <v>3817</v>
      </c>
    </row>
    <row r="64" spans="1:33" ht="15" thickBot="1" x14ac:dyDescent="0.35">
      <c r="A64" s="175"/>
      <c r="B64" s="100" t="s">
        <v>387</v>
      </c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>
        <f>AE63/AE62</f>
        <v>0.197105743094521</v>
      </c>
      <c r="AF64" s="101">
        <f>AF63/AF62</f>
        <v>0.19987770873875085</v>
      </c>
      <c r="AG64" s="101">
        <f>AG63/AG62</f>
        <v>0.20227628386087501</v>
      </c>
    </row>
    <row r="65" spans="1:33" ht="15" thickTop="1" x14ac:dyDescent="0.3">
      <c r="A65" s="178" t="s">
        <v>403</v>
      </c>
      <c r="B65" s="123" t="s">
        <v>386</v>
      </c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>
        <f>SALES!GP92</f>
        <v>29414.899999999998</v>
      </c>
      <c r="AF65" s="124">
        <f>SALES!GQ92</f>
        <v>27614.49</v>
      </c>
      <c r="AG65" s="124">
        <f>SALES!GR92</f>
        <v>19621.2</v>
      </c>
    </row>
    <row r="66" spans="1:33" x14ac:dyDescent="0.3">
      <c r="A66" s="176"/>
      <c r="B66" s="99" t="s">
        <v>385</v>
      </c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>
        <f>AE65/1.2</f>
        <v>24512.416666666664</v>
      </c>
      <c r="AF66" s="98">
        <f>AF65/1.2</f>
        <v>23012.075000000001</v>
      </c>
      <c r="AG66" s="98">
        <f>AG65/1.2</f>
        <v>16351.000000000002</v>
      </c>
    </row>
    <row r="67" spans="1:33" x14ac:dyDescent="0.3">
      <c r="A67" s="176"/>
      <c r="B67" s="122" t="s">
        <v>375</v>
      </c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>
        <v>3431</v>
      </c>
      <c r="AF67" s="119">
        <v>4044</v>
      </c>
      <c r="AG67" s="119">
        <v>3420</v>
      </c>
    </row>
    <row r="68" spans="1:33" ht="15" thickBot="1" x14ac:dyDescent="0.35">
      <c r="A68" s="176"/>
      <c r="B68" s="100" t="s">
        <v>387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>
        <f>AE67/AE66</f>
        <v>0.13996987921087614</v>
      </c>
      <c r="AF68" s="101">
        <f>AF67/AF66</f>
        <v>0.17573382669750554</v>
      </c>
      <c r="AG68" s="101">
        <f>AG67/AG66</f>
        <v>0.20916151917313924</v>
      </c>
    </row>
    <row r="69" spans="1:33" ht="15" thickTop="1" x14ac:dyDescent="0.3">
      <c r="A69" s="181" t="s">
        <v>404</v>
      </c>
      <c r="B69" s="123" t="s">
        <v>386</v>
      </c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>
        <f>SALES!GP99</f>
        <v>9757.9500000000007</v>
      </c>
      <c r="AF69" s="124">
        <f>SALES!GQ99</f>
        <v>13145.5</v>
      </c>
      <c r="AG69" s="124">
        <f>SALES!GR99</f>
        <v>9886.9500000000007</v>
      </c>
    </row>
    <row r="70" spans="1:33" x14ac:dyDescent="0.3">
      <c r="A70" s="175"/>
      <c r="B70" s="99" t="s">
        <v>385</v>
      </c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>
        <f>AE69/1.2</f>
        <v>8131.6250000000009</v>
      </c>
      <c r="AF70" s="98">
        <f>AF69/1.2</f>
        <v>10954.583333333334</v>
      </c>
      <c r="AG70" s="98">
        <f>AG69/1.2</f>
        <v>8239.1250000000018</v>
      </c>
    </row>
    <row r="71" spans="1:33" x14ac:dyDescent="0.3">
      <c r="A71" s="175"/>
      <c r="B71" s="122" t="s">
        <v>375</v>
      </c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>
        <v>1646</v>
      </c>
      <c r="AF71" s="119">
        <v>1754</v>
      </c>
      <c r="AG71" s="119">
        <v>1201</v>
      </c>
    </row>
    <row r="72" spans="1:33" ht="15" thickBot="1" x14ac:dyDescent="0.35">
      <c r="A72" s="175"/>
      <c r="B72" s="100" t="s">
        <v>387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>
        <f>AE71/AE70</f>
        <v>0.20241956558498453</v>
      </c>
      <c r="AF72" s="101">
        <f>AF71/AF70</f>
        <v>0.16011562892244494</v>
      </c>
      <c r="AG72" s="101">
        <f>AG71/AG70</f>
        <v>0.14576790617935761</v>
      </c>
    </row>
    <row r="73" spans="1:33" ht="15" thickTop="1" x14ac:dyDescent="0.3">
      <c r="A73" s="178" t="s">
        <v>406</v>
      </c>
      <c r="B73" s="123" t="s">
        <v>386</v>
      </c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>
        <f>SALES!GP106</f>
        <v>11655.25</v>
      </c>
      <c r="AF73" s="124">
        <f>SALES!GQ106</f>
        <v>15361.25</v>
      </c>
      <c r="AG73" s="124">
        <f>SALES!GR106</f>
        <v>15476.300000000001</v>
      </c>
    </row>
    <row r="74" spans="1:33" x14ac:dyDescent="0.3">
      <c r="A74" s="176"/>
      <c r="B74" s="99" t="s">
        <v>385</v>
      </c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>
        <f>AE73/1.2</f>
        <v>9712.7083333333339</v>
      </c>
      <c r="AF74" s="98">
        <f>AF73/1.2</f>
        <v>12801.041666666668</v>
      </c>
      <c r="AG74" s="98">
        <f>AG73/1.2</f>
        <v>12896.916666666668</v>
      </c>
    </row>
    <row r="75" spans="1:33" x14ac:dyDescent="0.3">
      <c r="A75" s="176"/>
      <c r="B75" s="122" t="s">
        <v>375</v>
      </c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>
        <v>2081</v>
      </c>
      <c r="AF75" s="119">
        <v>2161</v>
      </c>
      <c r="AG75" s="119">
        <v>1946</v>
      </c>
    </row>
    <row r="76" spans="1:33" ht="15" thickBot="1" x14ac:dyDescent="0.35">
      <c r="A76" s="176"/>
      <c r="B76" s="100" t="s">
        <v>387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>
        <f>AE75/AE74</f>
        <v>0.21425537847751011</v>
      </c>
      <c r="AF76" s="101">
        <f>AF75/AF74</f>
        <v>0.16881438685002847</v>
      </c>
      <c r="AG76" s="101">
        <f>AG75/AG74</f>
        <v>0.15088877832556877</v>
      </c>
    </row>
    <row r="77" spans="1:33" ht="15" thickTop="1" x14ac:dyDescent="0.3">
      <c r="A77" s="181" t="s">
        <v>405</v>
      </c>
      <c r="B77" s="123" t="s">
        <v>386</v>
      </c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>
        <f>SALES!GP113</f>
        <v>6976.9</v>
      </c>
      <c r="AF77" s="124">
        <f>SALES!GQ113</f>
        <v>8188.25</v>
      </c>
      <c r="AG77" s="124">
        <f>SALES!GR113</f>
        <v>7632.35</v>
      </c>
    </row>
    <row r="78" spans="1:33" x14ac:dyDescent="0.3">
      <c r="A78" s="175"/>
      <c r="B78" s="99" t="s">
        <v>385</v>
      </c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>
        <f>AE77/1.2</f>
        <v>5814.083333333333</v>
      </c>
      <c r="AF78" s="98">
        <f>AF77/1.2</f>
        <v>6823.541666666667</v>
      </c>
      <c r="AG78" s="98">
        <f>AG77/1.2</f>
        <v>6360.291666666667</v>
      </c>
    </row>
    <row r="79" spans="1:33" x14ac:dyDescent="0.3">
      <c r="A79" s="175"/>
      <c r="B79" s="122" t="s">
        <v>375</v>
      </c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>
        <v>880</v>
      </c>
      <c r="AF79" s="119">
        <v>1000</v>
      </c>
      <c r="AG79" s="119">
        <v>1000</v>
      </c>
    </row>
    <row r="80" spans="1:33" ht="15" thickBot="1" x14ac:dyDescent="0.35">
      <c r="A80" s="175"/>
      <c r="B80" s="100" t="s">
        <v>387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>
        <f>AE79/AE78</f>
        <v>0.15135661970215999</v>
      </c>
      <c r="AF80" s="101">
        <f>AF79/AF78</f>
        <v>0.1465514609348762</v>
      </c>
      <c r="AG80" s="101">
        <f>AG79/AG78</f>
        <v>0.15722549411387055</v>
      </c>
    </row>
    <row r="81" spans="1:33" ht="15" thickTop="1" x14ac:dyDescent="0.3">
      <c r="A81" s="179" t="s">
        <v>377</v>
      </c>
      <c r="B81" s="97" t="s">
        <v>383</v>
      </c>
      <c r="C81" s="98">
        <f t="shared" ref="C81:AE81" si="309">C57+C52+C47+C41+C35+C29+C24+C18+C12+C6</f>
        <v>213378.95833333334</v>
      </c>
      <c r="D81" s="98">
        <f t="shared" si="309"/>
        <v>202719.75833333333</v>
      </c>
      <c r="E81" s="98">
        <f t="shared" si="309"/>
        <v>229927.04166666669</v>
      </c>
      <c r="F81" s="98">
        <f t="shared" si="309"/>
        <v>220296.03333333333</v>
      </c>
      <c r="G81" s="98">
        <f t="shared" si="309"/>
        <v>206533.15000000002</v>
      </c>
      <c r="H81" s="98">
        <f t="shared" si="309"/>
        <v>211822.22500000001</v>
      </c>
      <c r="I81" s="98">
        <f t="shared" si="309"/>
        <v>210947.15000000002</v>
      </c>
      <c r="J81" s="98">
        <f t="shared" si="309"/>
        <v>219821.40833333333</v>
      </c>
      <c r="K81" s="98">
        <f t="shared" si="309"/>
        <v>222117.7166666667</v>
      </c>
      <c r="L81" s="98">
        <f t="shared" si="309"/>
        <v>240404.89166666666</v>
      </c>
      <c r="M81" s="98">
        <f t="shared" si="309"/>
        <v>263496.16666666669</v>
      </c>
      <c r="N81" s="98">
        <f t="shared" si="309"/>
        <v>224574.21666666667</v>
      </c>
      <c r="O81" s="98">
        <f t="shared" si="309"/>
        <v>330034.15833333333</v>
      </c>
      <c r="P81" s="98">
        <f t="shared" si="309"/>
        <v>155940.63333333333</v>
      </c>
      <c r="Q81" s="98">
        <f t="shared" si="309"/>
        <v>176425.00833333336</v>
      </c>
      <c r="R81" s="98">
        <f t="shared" si="309"/>
        <v>160510.35833333337</v>
      </c>
      <c r="S81" s="98">
        <f t="shared" si="309"/>
        <v>192222.47500000001</v>
      </c>
      <c r="T81" s="98">
        <f t="shared" si="309"/>
        <v>182268</v>
      </c>
      <c r="U81" s="98">
        <f t="shared" si="309"/>
        <v>207468.56666666665</v>
      </c>
      <c r="V81" s="98">
        <f t="shared" si="309"/>
        <v>214217.72500000001</v>
      </c>
      <c r="W81" s="98">
        <f t="shared" si="309"/>
        <v>193486.53333333335</v>
      </c>
      <c r="X81" s="98">
        <f t="shared" si="309"/>
        <v>197277.79166666666</v>
      </c>
      <c r="Y81" s="98">
        <f t="shared" si="309"/>
        <v>230895.68333333335</v>
      </c>
      <c r="Z81" s="98">
        <f t="shared" si="309"/>
        <v>218604.02500000002</v>
      </c>
      <c r="AA81" s="98">
        <f t="shared" si="309"/>
        <v>215691.82500000001</v>
      </c>
      <c r="AB81" s="98">
        <f t="shared" si="309"/>
        <v>285637.45833333337</v>
      </c>
      <c r="AC81" s="98">
        <f t="shared" si="309"/>
        <v>264843.29166666663</v>
      </c>
      <c r="AD81" s="98">
        <f t="shared" si="309"/>
        <v>235335.02500000005</v>
      </c>
      <c r="AE81" s="98">
        <f t="shared" si="309"/>
        <v>242208.26666666669</v>
      </c>
      <c r="AF81" s="98">
        <f t="shared" ref="AF81:AG81" si="310">AF57+AF52+AF47+AF41+AF35+AF29+AF24+AF18+AF12+AF6</f>
        <v>267299.32500000001</v>
      </c>
      <c r="AG81" s="98">
        <f>AG57+AG52+AG47+AG41+AG35+AG29+AG24+AG18+AG12+AG6</f>
        <v>252168.83333333331</v>
      </c>
    </row>
    <row r="82" spans="1:33" x14ac:dyDescent="0.3">
      <c r="A82" s="177"/>
      <c r="B82" s="122" t="s">
        <v>375</v>
      </c>
      <c r="C82" s="119">
        <f t="shared" ref="C82:AE82" si="311">C59+C54+C49+C43+C37+C31+C26+C20+C14+C8</f>
        <v>82595.786964300016</v>
      </c>
      <c r="D82" s="119">
        <f t="shared" si="311"/>
        <v>80780.198413100021</v>
      </c>
      <c r="E82" s="119">
        <f t="shared" si="311"/>
        <v>82714.43848555001</v>
      </c>
      <c r="F82" s="119">
        <f t="shared" si="311"/>
        <v>77150.555898600011</v>
      </c>
      <c r="G82" s="119">
        <f t="shared" si="311"/>
        <v>79958.009301700018</v>
      </c>
      <c r="H82" s="119">
        <f t="shared" si="311"/>
        <v>79669.310502600012</v>
      </c>
      <c r="I82" s="119">
        <f t="shared" si="311"/>
        <v>81600.32387350002</v>
      </c>
      <c r="J82" s="119">
        <f t="shared" si="311"/>
        <v>84577.647653300024</v>
      </c>
      <c r="K82" s="119">
        <f t="shared" si="311"/>
        <v>83309.165187100007</v>
      </c>
      <c r="L82" s="119">
        <f t="shared" si="311"/>
        <v>84890.323393800019</v>
      </c>
      <c r="M82" s="119">
        <f t="shared" si="311"/>
        <v>90405.629639800012</v>
      </c>
      <c r="N82" s="119">
        <f t="shared" si="311"/>
        <v>74090.774552800009</v>
      </c>
      <c r="O82" s="119">
        <f t="shared" si="311"/>
        <v>104356.47920200002</v>
      </c>
      <c r="P82" s="119">
        <f t="shared" si="311"/>
        <v>64450.049971300003</v>
      </c>
      <c r="Q82" s="119">
        <f t="shared" si="311"/>
        <v>65852.723390500003</v>
      </c>
      <c r="R82" s="119">
        <f t="shared" si="311"/>
        <v>68170.750132300018</v>
      </c>
      <c r="S82" s="119">
        <f t="shared" si="311"/>
        <v>73546.035161300024</v>
      </c>
      <c r="T82" s="119">
        <f t="shared" si="311"/>
        <v>71844.255128163015</v>
      </c>
      <c r="U82" s="119">
        <f t="shared" si="311"/>
        <v>72958.328623178022</v>
      </c>
      <c r="V82" s="119">
        <f t="shared" si="311"/>
        <v>73231.212743400014</v>
      </c>
      <c r="W82" s="119">
        <f t="shared" si="311"/>
        <v>72328.17815550002</v>
      </c>
      <c r="X82" s="119">
        <f t="shared" si="311"/>
        <v>72210.043007400003</v>
      </c>
      <c r="Y82" s="119">
        <f t="shared" si="311"/>
        <v>78347.401375100017</v>
      </c>
      <c r="Z82" s="119">
        <f t="shared" si="311"/>
        <v>74972.23764360002</v>
      </c>
      <c r="AA82" s="119">
        <f t="shared" si="311"/>
        <v>82177.422112400003</v>
      </c>
      <c r="AB82" s="119">
        <f t="shared" si="311"/>
        <v>89965.122286100013</v>
      </c>
      <c r="AC82" s="119">
        <f t="shared" si="311"/>
        <v>88284.5</v>
      </c>
      <c r="AD82" s="119">
        <f t="shared" si="311"/>
        <v>84500</v>
      </c>
      <c r="AE82" s="119">
        <f t="shared" si="311"/>
        <v>83886</v>
      </c>
      <c r="AF82" s="119">
        <f t="shared" ref="AF82:AG82" si="312">AF59+AF54+AF49+AF43+AF37+AF31+AF26+AF20+AF14+AF8</f>
        <v>88006.774999999994</v>
      </c>
      <c r="AG82" s="119">
        <f t="shared" si="312"/>
        <v>87679.345000000001</v>
      </c>
    </row>
    <row r="83" spans="1:33" ht="15" thickBot="1" x14ac:dyDescent="0.35">
      <c r="A83" s="180"/>
      <c r="B83" s="100" t="s">
        <v>387</v>
      </c>
      <c r="C83" s="101">
        <f t="shared" ref="C83:H83" si="313">C82/C81</f>
        <v>0.3870849666220213</v>
      </c>
      <c r="D83" s="101">
        <f t="shared" si="313"/>
        <v>0.39848211677656331</v>
      </c>
      <c r="E83" s="101">
        <f t="shared" si="313"/>
        <v>0.3597421072614157</v>
      </c>
      <c r="F83" s="101">
        <f t="shared" si="313"/>
        <v>0.35021309612898166</v>
      </c>
      <c r="G83" s="101">
        <f t="shared" si="313"/>
        <v>0.38714370696278061</v>
      </c>
      <c r="H83" s="101">
        <f t="shared" si="313"/>
        <v>0.37611402912324243</v>
      </c>
      <c r="I83" s="101">
        <f t="shared" ref="I83" si="314">I82/I81</f>
        <v>0.38682828316713458</v>
      </c>
      <c r="J83" s="101">
        <f t="shared" ref="J83:O83" si="315">J82/J81</f>
        <v>0.38475619046643522</v>
      </c>
      <c r="K83" s="101">
        <f t="shared" si="315"/>
        <v>0.37506762827083501</v>
      </c>
      <c r="L83" s="101">
        <f t="shared" si="315"/>
        <v>0.35311396039105841</v>
      </c>
      <c r="M83" s="101">
        <f t="shared" si="315"/>
        <v>0.34310035999182786</v>
      </c>
      <c r="N83" s="101">
        <f t="shared" si="315"/>
        <v>0.32991665585000002</v>
      </c>
      <c r="O83" s="101">
        <f t="shared" si="315"/>
        <v>0.31619902536452105</v>
      </c>
      <c r="P83" s="101">
        <f t="shared" ref="P83:Q83" si="316">P82/P81</f>
        <v>0.41329862905926379</v>
      </c>
      <c r="Q83" s="101">
        <f t="shared" si="316"/>
        <v>0.3732618408954777</v>
      </c>
      <c r="R83" s="101">
        <f t="shared" ref="R83:W83" si="317">R82/R81</f>
        <v>0.42471246616202291</v>
      </c>
      <c r="S83" s="101">
        <f t="shared" si="317"/>
        <v>0.38260892833317239</v>
      </c>
      <c r="T83" s="101">
        <f t="shared" si="317"/>
        <v>0.39416823100139914</v>
      </c>
      <c r="U83" s="101">
        <f t="shared" si="317"/>
        <v>0.35165967450094704</v>
      </c>
      <c r="V83" s="101">
        <f t="shared" si="317"/>
        <v>0.34185412408520355</v>
      </c>
      <c r="W83" s="101">
        <f t="shared" si="317"/>
        <v>0.37381505011976723</v>
      </c>
      <c r="X83" s="101">
        <f t="shared" ref="X83:Y83" si="318">X82/X81</f>
        <v>0.36603229586739683</v>
      </c>
      <c r="Y83" s="101">
        <f t="shared" si="318"/>
        <v>0.33931947208382202</v>
      </c>
      <c r="Z83" s="101">
        <f t="shared" ref="Z83:AA83" si="319">Z82/Z81</f>
        <v>0.34295909072854452</v>
      </c>
      <c r="AA83" s="101">
        <f t="shared" si="319"/>
        <v>0.38099460706218236</v>
      </c>
      <c r="AB83" s="101">
        <f t="shared" ref="AB83:AC83" si="320">AB82/AB81</f>
        <v>0.31496262013756077</v>
      </c>
      <c r="AC83" s="101">
        <f t="shared" si="320"/>
        <v>0.33334618160204493</v>
      </c>
      <c r="AD83" s="101">
        <f t="shared" ref="AD83" si="321">AD82/AD81</f>
        <v>0.35906257472724251</v>
      </c>
      <c r="AE83" s="101">
        <f t="shared" ref="AE83:AF83" si="322">AE82/AE81</f>
        <v>0.34633830279395911</v>
      </c>
      <c r="AF83" s="101">
        <f t="shared" si="322"/>
        <v>0.32924428447396936</v>
      </c>
      <c r="AG83" s="101">
        <f t="shared" ref="AG83" si="323">AG82/AG81</f>
        <v>0.34770095828654485</v>
      </c>
    </row>
  </sheetData>
  <mergeCells count="16">
    <mergeCell ref="A3:A9"/>
    <mergeCell ref="A10:A15"/>
    <mergeCell ref="A16:A21"/>
    <mergeCell ref="A22:A27"/>
    <mergeCell ref="A28:A32"/>
    <mergeCell ref="A33:A38"/>
    <mergeCell ref="A81:A83"/>
    <mergeCell ref="A39:A44"/>
    <mergeCell ref="A45:A50"/>
    <mergeCell ref="A51:A55"/>
    <mergeCell ref="A56:A60"/>
    <mergeCell ref="A61:A64"/>
    <mergeCell ref="A65:A68"/>
    <mergeCell ref="A69:A72"/>
    <mergeCell ref="A73:A76"/>
    <mergeCell ref="A77:A80"/>
  </mergeCells>
  <conditionalFormatting sqref="C55:AG55 C44:AG44 C60:AG60 C9:AG9 C15:AG15 C21:AG21 C27:AG27 C32:AG32 C38:AG38 C50:AG50 C64:AG64 C68:AG68 C72:AG72 C76:AG76 C80:AG80 C83:AG8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scale="4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18BE-D91B-488D-8199-B5282AEDCF7D}">
  <sheetPr>
    <tabColor rgb="FF00B050"/>
  </sheetPr>
  <dimension ref="A1:HA134"/>
  <sheetViews>
    <sheetView tabSelected="1" workbookViewId="0">
      <pane xSplit="3" ySplit="4" topLeftCell="GO5" activePane="bottomRight" state="frozen"/>
      <selection pane="topRight" activeCell="D1" sqref="D1"/>
      <selection pane="bottomLeft" activeCell="A5" sqref="A5"/>
      <selection pane="bottomRight" activeCell="GR3" sqref="GR3"/>
    </sheetView>
  </sheetViews>
  <sheetFormatPr defaultColWidth="8.5546875" defaultRowHeight="15" customHeight="1" x14ac:dyDescent="0.3"/>
  <cols>
    <col min="1" max="1" width="19.44140625" customWidth="1"/>
    <col min="2" max="2" width="14.5546875" customWidth="1"/>
    <col min="3" max="3" width="12.44140625" customWidth="1"/>
    <col min="4" max="4" width="13.44140625" customWidth="1"/>
    <col min="5" max="5" width="12.5546875" customWidth="1"/>
    <col min="6" max="6" width="13.5546875" customWidth="1"/>
    <col min="7" max="13" width="13" customWidth="1"/>
    <col min="14" max="14" width="12.5546875" customWidth="1"/>
    <col min="15" max="16" width="12.44140625" customWidth="1"/>
    <col min="17" max="17" width="12.5546875" customWidth="1"/>
    <col min="18" max="18" width="13" customWidth="1"/>
    <col min="19" max="19" width="12.44140625" customWidth="1"/>
    <col min="20" max="21" width="13.44140625" customWidth="1"/>
    <col min="22" max="22" width="12" customWidth="1"/>
    <col min="23" max="23" width="12.5546875" customWidth="1"/>
    <col min="24" max="25" width="12.44140625" customWidth="1"/>
    <col min="26" max="26" width="13" customWidth="1"/>
    <col min="27" max="27" width="13.5546875" customWidth="1"/>
    <col min="28" max="30" width="12.5546875" customWidth="1"/>
    <col min="31" max="31" width="13" customWidth="1"/>
    <col min="32" max="32" width="13.44140625" customWidth="1"/>
    <col min="33" max="33" width="13" customWidth="1"/>
    <col min="34" max="34" width="11.44140625" customWidth="1"/>
    <col min="35" max="35" width="13.5546875" customWidth="1"/>
    <col min="36" max="37" width="13.44140625" customWidth="1"/>
    <col min="38" max="39" width="12.44140625" customWidth="1"/>
    <col min="40" max="199" width="13" customWidth="1"/>
    <col min="200" max="200" width="14.44140625" customWidth="1"/>
    <col min="201" max="201" width="10.5546875" style="151" customWidth="1"/>
    <col min="202" max="202" width="19.5546875" customWidth="1"/>
    <col min="203" max="203" width="11.5546875" customWidth="1"/>
    <col min="204" max="204" width="10.5546875" customWidth="1"/>
    <col min="205" max="209" width="9.5546875" customWidth="1"/>
  </cols>
  <sheetData>
    <row r="1" spans="1:209" ht="15" customHeight="1" x14ac:dyDescent="0.3">
      <c r="A1" t="s">
        <v>380</v>
      </c>
      <c r="FE1">
        <v>1</v>
      </c>
      <c r="FF1">
        <v>2</v>
      </c>
      <c r="FG1">
        <v>3</v>
      </c>
      <c r="FH1">
        <v>4</v>
      </c>
      <c r="FI1">
        <v>5</v>
      </c>
      <c r="FJ1">
        <v>6</v>
      </c>
      <c r="FK1">
        <v>7</v>
      </c>
      <c r="FL1">
        <v>8</v>
      </c>
      <c r="FM1">
        <v>9</v>
      </c>
      <c r="FN1">
        <v>10</v>
      </c>
      <c r="FO1">
        <v>11</v>
      </c>
      <c r="FP1">
        <v>12</v>
      </c>
      <c r="FQ1">
        <v>13</v>
      </c>
      <c r="FR1">
        <v>14</v>
      </c>
      <c r="FS1">
        <v>15</v>
      </c>
      <c r="FT1">
        <v>16</v>
      </c>
      <c r="FU1">
        <v>17</v>
      </c>
      <c r="FV1">
        <v>18</v>
      </c>
      <c r="FW1">
        <v>19</v>
      </c>
      <c r="FX1">
        <v>20</v>
      </c>
      <c r="FY1">
        <v>21</v>
      </c>
      <c r="FZ1">
        <v>22</v>
      </c>
      <c r="GA1">
        <v>23</v>
      </c>
      <c r="GB1">
        <v>24</v>
      </c>
      <c r="GC1">
        <v>25</v>
      </c>
      <c r="GD1">
        <v>26</v>
      </c>
      <c r="GE1">
        <v>27</v>
      </c>
      <c r="GF1">
        <v>28</v>
      </c>
      <c r="GG1">
        <v>29</v>
      </c>
      <c r="GH1">
        <v>30</v>
      </c>
      <c r="GI1">
        <v>31</v>
      </c>
      <c r="GJ1">
        <v>32</v>
      </c>
      <c r="GK1">
        <v>32</v>
      </c>
      <c r="GL1">
        <v>33</v>
      </c>
      <c r="GM1">
        <v>34</v>
      </c>
      <c r="GN1">
        <v>35</v>
      </c>
      <c r="GO1">
        <v>36</v>
      </c>
      <c r="GP1">
        <v>37</v>
      </c>
      <c r="GQ1">
        <v>38</v>
      </c>
      <c r="GR1">
        <v>39</v>
      </c>
      <c r="GU1" s="12"/>
    </row>
    <row r="2" spans="1:209" ht="15" customHeight="1" x14ac:dyDescent="0.3">
      <c r="A2" t="s">
        <v>379</v>
      </c>
      <c r="B2" s="1" t="s">
        <v>7</v>
      </c>
      <c r="Z2">
        <v>1</v>
      </c>
      <c r="AA2">
        <v>2</v>
      </c>
      <c r="AB2">
        <v>3</v>
      </c>
      <c r="AC2">
        <v>4</v>
      </c>
      <c r="AD2">
        <v>5</v>
      </c>
      <c r="AE2">
        <v>6</v>
      </c>
      <c r="AF2">
        <v>7</v>
      </c>
      <c r="AG2">
        <v>8</v>
      </c>
      <c r="AH2">
        <v>9</v>
      </c>
      <c r="AI2">
        <v>10</v>
      </c>
      <c r="AJ2">
        <v>11</v>
      </c>
      <c r="AK2">
        <v>12</v>
      </c>
      <c r="AL2">
        <v>13</v>
      </c>
      <c r="AM2">
        <v>14</v>
      </c>
      <c r="AN2">
        <v>15</v>
      </c>
      <c r="AO2">
        <v>16</v>
      </c>
      <c r="AP2">
        <v>17</v>
      </c>
      <c r="AQ2">
        <v>18</v>
      </c>
      <c r="AR2">
        <v>19</v>
      </c>
      <c r="AS2">
        <v>20</v>
      </c>
      <c r="AT2">
        <v>21</v>
      </c>
      <c r="AU2">
        <v>22</v>
      </c>
      <c r="AV2">
        <v>23</v>
      </c>
      <c r="AW2">
        <v>24</v>
      </c>
      <c r="AX2">
        <v>25</v>
      </c>
      <c r="AY2">
        <v>26</v>
      </c>
      <c r="AZ2">
        <v>27</v>
      </c>
      <c r="BA2">
        <v>28</v>
      </c>
      <c r="BB2">
        <v>29</v>
      </c>
      <c r="BC2">
        <v>30</v>
      </c>
      <c r="BD2">
        <v>31</v>
      </c>
      <c r="BE2">
        <v>32</v>
      </c>
      <c r="BF2">
        <v>33</v>
      </c>
      <c r="BG2">
        <v>34</v>
      </c>
      <c r="BH2">
        <v>35</v>
      </c>
      <c r="BI2">
        <v>36</v>
      </c>
      <c r="BJ2">
        <v>37</v>
      </c>
      <c r="BK2">
        <v>38</v>
      </c>
      <c r="BL2">
        <v>39</v>
      </c>
      <c r="BM2">
        <v>40</v>
      </c>
      <c r="BN2">
        <v>41</v>
      </c>
      <c r="BO2">
        <v>42</v>
      </c>
      <c r="BP2">
        <v>43</v>
      </c>
      <c r="BQ2">
        <v>44</v>
      </c>
      <c r="BR2">
        <v>45</v>
      </c>
      <c r="BS2">
        <v>46</v>
      </c>
      <c r="BT2">
        <v>47</v>
      </c>
      <c r="BU2">
        <v>48</v>
      </c>
      <c r="BV2">
        <v>49</v>
      </c>
      <c r="BW2">
        <v>50</v>
      </c>
      <c r="BX2">
        <v>51</v>
      </c>
      <c r="BY2">
        <v>52</v>
      </c>
      <c r="BZ2">
        <v>1</v>
      </c>
      <c r="CA2">
        <v>2</v>
      </c>
      <c r="CB2">
        <v>3</v>
      </c>
      <c r="CC2">
        <v>4</v>
      </c>
      <c r="CD2">
        <v>5</v>
      </c>
      <c r="CE2">
        <v>6</v>
      </c>
      <c r="CF2">
        <v>7</v>
      </c>
      <c r="CG2">
        <v>8</v>
      </c>
      <c r="CH2">
        <v>9</v>
      </c>
      <c r="CI2">
        <v>10</v>
      </c>
      <c r="CJ2">
        <v>11</v>
      </c>
      <c r="CK2">
        <v>12</v>
      </c>
      <c r="CL2" s="67" t="s">
        <v>131</v>
      </c>
      <c r="CM2">
        <v>14</v>
      </c>
      <c r="CN2">
        <v>15</v>
      </c>
      <c r="CO2">
        <v>16</v>
      </c>
      <c r="CP2">
        <v>17</v>
      </c>
      <c r="CQ2">
        <v>18</v>
      </c>
      <c r="CR2">
        <v>19</v>
      </c>
      <c r="CS2">
        <v>20</v>
      </c>
      <c r="CT2">
        <v>21</v>
      </c>
      <c r="CU2">
        <v>22</v>
      </c>
      <c r="CV2">
        <v>23</v>
      </c>
      <c r="CW2">
        <v>24</v>
      </c>
      <c r="CX2">
        <v>25</v>
      </c>
      <c r="CY2">
        <v>26</v>
      </c>
      <c r="CZ2">
        <v>27</v>
      </c>
      <c r="DA2">
        <v>28</v>
      </c>
      <c r="DB2">
        <v>29</v>
      </c>
      <c r="DC2">
        <v>30</v>
      </c>
      <c r="DD2">
        <v>31</v>
      </c>
      <c r="DE2">
        <v>32</v>
      </c>
      <c r="DF2">
        <v>33</v>
      </c>
      <c r="DG2">
        <v>34</v>
      </c>
      <c r="DH2">
        <v>35</v>
      </c>
      <c r="DI2">
        <v>36</v>
      </c>
      <c r="DJ2">
        <v>37</v>
      </c>
      <c r="DK2">
        <v>38</v>
      </c>
      <c r="DL2">
        <v>39</v>
      </c>
      <c r="DM2">
        <v>40</v>
      </c>
      <c r="DN2">
        <v>41</v>
      </c>
      <c r="DO2">
        <v>42</v>
      </c>
      <c r="DP2">
        <v>43</v>
      </c>
      <c r="DQ2">
        <v>44</v>
      </c>
      <c r="DR2">
        <v>45</v>
      </c>
      <c r="DS2">
        <v>46</v>
      </c>
      <c r="DT2">
        <v>47</v>
      </c>
      <c r="DU2">
        <v>48</v>
      </c>
      <c r="DV2">
        <v>49</v>
      </c>
      <c r="DW2">
        <v>50</v>
      </c>
      <c r="DX2">
        <v>51</v>
      </c>
      <c r="DY2">
        <v>52</v>
      </c>
      <c r="DZ2">
        <v>1</v>
      </c>
      <c r="EA2">
        <v>2</v>
      </c>
      <c r="EB2">
        <v>3</v>
      </c>
      <c r="EC2">
        <v>4</v>
      </c>
      <c r="ED2">
        <v>5</v>
      </c>
      <c r="EE2">
        <v>6</v>
      </c>
      <c r="EF2">
        <v>7</v>
      </c>
      <c r="EG2">
        <v>8</v>
      </c>
      <c r="EH2">
        <v>9</v>
      </c>
      <c r="EI2">
        <v>10</v>
      </c>
      <c r="EJ2">
        <v>11</v>
      </c>
      <c r="EK2">
        <v>12</v>
      </c>
      <c r="EL2">
        <v>13</v>
      </c>
      <c r="EM2">
        <v>14</v>
      </c>
      <c r="EN2">
        <v>15</v>
      </c>
      <c r="EO2">
        <v>16</v>
      </c>
      <c r="EP2">
        <v>17</v>
      </c>
      <c r="EQ2">
        <v>18</v>
      </c>
      <c r="ER2">
        <v>19</v>
      </c>
      <c r="ES2">
        <v>20</v>
      </c>
      <c r="ET2">
        <v>21</v>
      </c>
      <c r="EU2">
        <v>22</v>
      </c>
      <c r="EV2">
        <v>23</v>
      </c>
      <c r="EW2">
        <v>24</v>
      </c>
      <c r="EX2">
        <v>25</v>
      </c>
      <c r="EY2">
        <v>26</v>
      </c>
      <c r="EZ2">
        <v>27</v>
      </c>
      <c r="FA2">
        <v>28</v>
      </c>
      <c r="FB2">
        <v>29</v>
      </c>
      <c r="FC2">
        <v>30</v>
      </c>
      <c r="FD2">
        <v>31</v>
      </c>
      <c r="FE2">
        <v>32</v>
      </c>
      <c r="FF2">
        <v>33</v>
      </c>
      <c r="FG2">
        <v>34</v>
      </c>
      <c r="FH2">
        <v>35</v>
      </c>
      <c r="FI2">
        <v>36</v>
      </c>
      <c r="FJ2">
        <v>37</v>
      </c>
      <c r="FK2">
        <v>38</v>
      </c>
      <c r="FL2">
        <v>39</v>
      </c>
      <c r="FM2">
        <v>40</v>
      </c>
      <c r="FN2">
        <v>41</v>
      </c>
      <c r="FO2">
        <v>42</v>
      </c>
      <c r="FP2">
        <v>43</v>
      </c>
      <c r="FQ2">
        <v>44</v>
      </c>
      <c r="FR2">
        <v>45</v>
      </c>
      <c r="FS2">
        <v>46</v>
      </c>
      <c r="FT2">
        <v>47</v>
      </c>
      <c r="FU2">
        <v>48</v>
      </c>
      <c r="FV2">
        <v>49</v>
      </c>
      <c r="FW2">
        <v>50</v>
      </c>
      <c r="FX2">
        <v>51</v>
      </c>
      <c r="FY2">
        <v>52</v>
      </c>
      <c r="FZ2">
        <v>53</v>
      </c>
      <c r="GA2">
        <v>1</v>
      </c>
      <c r="GB2">
        <v>2</v>
      </c>
      <c r="GC2">
        <v>3</v>
      </c>
      <c r="GD2">
        <v>4</v>
      </c>
      <c r="GE2">
        <v>5</v>
      </c>
      <c r="GF2">
        <v>6</v>
      </c>
      <c r="GG2">
        <v>7</v>
      </c>
      <c r="GH2">
        <v>8</v>
      </c>
      <c r="GI2">
        <v>9</v>
      </c>
      <c r="GJ2">
        <v>10</v>
      </c>
      <c r="GK2">
        <v>11</v>
      </c>
      <c r="GL2">
        <v>12</v>
      </c>
      <c r="GM2">
        <v>13</v>
      </c>
      <c r="GN2">
        <v>14</v>
      </c>
      <c r="GO2">
        <v>15</v>
      </c>
      <c r="GP2">
        <v>16</v>
      </c>
      <c r="GQ2">
        <v>17</v>
      </c>
      <c r="GR2">
        <v>18</v>
      </c>
      <c r="GT2" s="1"/>
      <c r="GU2" s="132"/>
      <c r="GV2" s="1"/>
    </row>
    <row r="3" spans="1:209" ht="45.6" customHeight="1" x14ac:dyDescent="0.3">
      <c r="A3" s="71" t="s">
        <v>134</v>
      </c>
      <c r="B3" s="72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3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  <c r="DD3" s="71"/>
      <c r="DE3" s="71"/>
      <c r="DF3" s="71"/>
      <c r="DG3" s="71"/>
      <c r="DH3" s="71"/>
      <c r="DI3" s="71"/>
      <c r="DJ3" s="71"/>
      <c r="DK3" s="71"/>
      <c r="DL3" s="71"/>
      <c r="DM3" s="71"/>
      <c r="DN3" s="71"/>
      <c r="DO3" s="71"/>
      <c r="DP3" s="71"/>
      <c r="DQ3" s="71"/>
      <c r="DR3" s="71"/>
      <c r="DS3" s="71"/>
      <c r="DT3" s="71"/>
      <c r="DU3" s="71"/>
      <c r="DV3" s="71"/>
      <c r="DW3" s="71"/>
      <c r="DX3" s="71"/>
      <c r="DY3" s="71"/>
      <c r="DZ3" s="71"/>
      <c r="EA3" s="71"/>
      <c r="EB3" s="71"/>
      <c r="EC3" s="71"/>
      <c r="ED3" s="71"/>
      <c r="EE3" s="71"/>
      <c r="EF3" s="71"/>
      <c r="EG3" s="71"/>
      <c r="EH3" s="71"/>
      <c r="EI3" s="71"/>
      <c r="EJ3" s="71"/>
      <c r="EK3" s="71"/>
      <c r="EL3" s="71" t="s">
        <v>138</v>
      </c>
      <c r="EM3" s="71"/>
      <c r="EN3" s="71"/>
      <c r="EO3" s="71" t="s">
        <v>136</v>
      </c>
      <c r="EP3" s="71" t="s">
        <v>137</v>
      </c>
      <c r="EQ3" s="71"/>
      <c r="ER3" s="71" t="s">
        <v>139</v>
      </c>
      <c r="ES3" s="71"/>
      <c r="ET3" s="71"/>
      <c r="EU3" s="71" t="s">
        <v>139</v>
      </c>
      <c r="EV3" s="71"/>
      <c r="EW3" s="71" t="s">
        <v>135</v>
      </c>
      <c r="EX3" s="71"/>
      <c r="EY3" s="71"/>
      <c r="EZ3" s="71"/>
      <c r="FA3" s="71"/>
      <c r="FB3" s="71"/>
      <c r="FC3" s="71"/>
      <c r="FD3" s="71"/>
      <c r="FE3" s="71"/>
      <c r="FF3" s="71"/>
      <c r="FG3" s="71"/>
      <c r="FH3" s="71"/>
      <c r="FI3" s="71"/>
      <c r="FJ3" s="71"/>
      <c r="FK3" s="71" t="s">
        <v>364</v>
      </c>
      <c r="FL3" s="71"/>
      <c r="FM3" s="71"/>
      <c r="FN3" s="71"/>
      <c r="FO3" s="120" t="s">
        <v>388</v>
      </c>
      <c r="FP3" s="120" t="s">
        <v>389</v>
      </c>
      <c r="FQ3" s="120" t="s">
        <v>392</v>
      </c>
      <c r="FR3" s="120"/>
      <c r="FS3" s="120"/>
      <c r="FT3" s="120"/>
      <c r="FU3" s="120"/>
      <c r="FV3" s="120" t="s">
        <v>393</v>
      </c>
      <c r="FW3" s="120"/>
      <c r="FX3" s="120"/>
      <c r="FY3" s="120"/>
      <c r="FZ3" s="120"/>
      <c r="GA3" s="120"/>
      <c r="GB3" s="120"/>
      <c r="GC3" s="120" t="s">
        <v>395</v>
      </c>
      <c r="GD3" s="120"/>
      <c r="GE3" s="120" t="s">
        <v>396</v>
      </c>
      <c r="GF3" s="120"/>
      <c r="GG3" s="120"/>
      <c r="GH3" s="120"/>
      <c r="GI3" s="120"/>
      <c r="GJ3" s="120" t="s">
        <v>138</v>
      </c>
      <c r="GK3" s="120"/>
      <c r="GL3" s="120" t="s">
        <v>400</v>
      </c>
      <c r="GM3" s="120" t="s">
        <v>401</v>
      </c>
      <c r="GN3" s="120" t="s">
        <v>137</v>
      </c>
      <c r="GO3" s="120"/>
      <c r="GP3" s="120"/>
      <c r="GQ3" s="120" t="s">
        <v>407</v>
      </c>
      <c r="GR3" s="120" t="s">
        <v>408</v>
      </c>
      <c r="GT3" s="1"/>
      <c r="GU3" s="1"/>
      <c r="GV3" s="1"/>
    </row>
    <row r="4" spans="1:209" ht="15" customHeight="1" x14ac:dyDescent="0.3">
      <c r="A4" s="4" t="s">
        <v>22</v>
      </c>
      <c r="B4" s="13" t="s">
        <v>93</v>
      </c>
      <c r="C4" s="14" t="s">
        <v>9</v>
      </c>
      <c r="D4" s="15" t="s">
        <v>12</v>
      </c>
      <c r="E4" s="15" t="s">
        <v>13</v>
      </c>
      <c r="F4" s="15" t="s">
        <v>10</v>
      </c>
      <c r="G4" s="15" t="s">
        <v>11</v>
      </c>
      <c r="H4" s="15" t="s">
        <v>14</v>
      </c>
      <c r="I4" s="15" t="s">
        <v>15</v>
      </c>
      <c r="J4" s="15" t="s">
        <v>16</v>
      </c>
      <c r="K4" s="15" t="s">
        <v>17</v>
      </c>
      <c r="L4" s="15" t="s">
        <v>18</v>
      </c>
      <c r="M4" s="15" t="s">
        <v>19</v>
      </c>
      <c r="N4" s="15" t="s">
        <v>20</v>
      </c>
      <c r="O4" s="15" t="s">
        <v>25</v>
      </c>
      <c r="P4" s="15" t="s">
        <v>26</v>
      </c>
      <c r="Q4" s="15" t="s">
        <v>27</v>
      </c>
      <c r="R4" s="15" t="s">
        <v>28</v>
      </c>
      <c r="S4" s="15" t="s">
        <v>29</v>
      </c>
      <c r="T4" s="15" t="s">
        <v>30</v>
      </c>
      <c r="U4" s="15" t="s">
        <v>31</v>
      </c>
      <c r="V4" s="15" t="s">
        <v>32</v>
      </c>
      <c r="W4" s="15" t="s">
        <v>33</v>
      </c>
      <c r="X4" s="15" t="s">
        <v>34</v>
      </c>
      <c r="Y4" s="15" t="s">
        <v>35</v>
      </c>
      <c r="Z4" s="15" t="s">
        <v>36</v>
      </c>
      <c r="AA4" s="15" t="s">
        <v>37</v>
      </c>
      <c r="AB4" s="15" t="s">
        <v>38</v>
      </c>
      <c r="AC4" s="15" t="s">
        <v>39</v>
      </c>
      <c r="AD4" s="15" t="s">
        <v>40</v>
      </c>
      <c r="AE4" s="15" t="s">
        <v>41</v>
      </c>
      <c r="AF4" s="15" t="s">
        <v>42</v>
      </c>
      <c r="AG4" s="15" t="s">
        <v>43</v>
      </c>
      <c r="AH4" s="15" t="s">
        <v>44</v>
      </c>
      <c r="AI4" s="15" t="s">
        <v>45</v>
      </c>
      <c r="AJ4" s="15" t="s">
        <v>46</v>
      </c>
      <c r="AK4" s="15" t="s">
        <v>47</v>
      </c>
      <c r="AL4" s="15" t="s">
        <v>48</v>
      </c>
      <c r="AM4" s="15" t="s">
        <v>50</v>
      </c>
      <c r="AN4" s="15" t="s">
        <v>51</v>
      </c>
      <c r="AO4" s="15" t="s">
        <v>52</v>
      </c>
      <c r="AP4" s="15" t="s">
        <v>53</v>
      </c>
      <c r="AQ4" s="15" t="s">
        <v>54</v>
      </c>
      <c r="AR4" s="15" t="s">
        <v>55</v>
      </c>
      <c r="AS4" s="15" t="s">
        <v>56</v>
      </c>
      <c r="AT4" s="15" t="s">
        <v>57</v>
      </c>
      <c r="AU4" s="15" t="s">
        <v>58</v>
      </c>
      <c r="AV4" s="15" t="s">
        <v>59</v>
      </c>
      <c r="AW4" s="15" t="s">
        <v>60</v>
      </c>
      <c r="AX4" s="15" t="s">
        <v>61</v>
      </c>
      <c r="AY4" s="15" t="s">
        <v>62</v>
      </c>
      <c r="AZ4" s="15" t="s">
        <v>63</v>
      </c>
      <c r="BA4" s="15" t="s">
        <v>64</v>
      </c>
      <c r="BB4" s="15" t="s">
        <v>65</v>
      </c>
      <c r="BC4" s="15" t="s">
        <v>66</v>
      </c>
      <c r="BD4" s="15" t="s">
        <v>67</v>
      </c>
      <c r="BE4" s="15" t="s">
        <v>68</v>
      </c>
      <c r="BF4" s="15" t="s">
        <v>69</v>
      </c>
      <c r="BG4" s="15" t="s">
        <v>70</v>
      </c>
      <c r="BH4" s="15" t="s">
        <v>71</v>
      </c>
      <c r="BI4" s="15" t="s">
        <v>73</v>
      </c>
      <c r="BJ4" s="15" t="s">
        <v>74</v>
      </c>
      <c r="BK4" s="15" t="s">
        <v>75</v>
      </c>
      <c r="BL4" s="15" t="s">
        <v>76</v>
      </c>
      <c r="BM4" s="15" t="s">
        <v>77</v>
      </c>
      <c r="BN4" s="15" t="s">
        <v>78</v>
      </c>
      <c r="BO4" s="15" t="s">
        <v>79</v>
      </c>
      <c r="BP4" s="15" t="s">
        <v>80</v>
      </c>
      <c r="BQ4" s="15" t="s">
        <v>81</v>
      </c>
      <c r="BR4" s="15" t="s">
        <v>82</v>
      </c>
      <c r="BS4" s="15" t="s">
        <v>83</v>
      </c>
      <c r="BT4" s="15" t="s">
        <v>84</v>
      </c>
      <c r="BU4" s="15" t="s">
        <v>86</v>
      </c>
      <c r="BV4" s="15" t="s">
        <v>87</v>
      </c>
      <c r="BW4" s="15" t="s">
        <v>88</v>
      </c>
      <c r="BX4" s="15" t="s">
        <v>89</v>
      </c>
      <c r="BY4" s="15" t="s">
        <v>90</v>
      </c>
      <c r="BZ4" s="15" t="s">
        <v>96</v>
      </c>
      <c r="CA4" s="15" t="s">
        <v>97</v>
      </c>
      <c r="CB4" s="15">
        <v>45306</v>
      </c>
      <c r="CC4" s="15">
        <v>45313</v>
      </c>
      <c r="CD4" s="15">
        <v>45320</v>
      </c>
      <c r="CE4" s="15">
        <v>45327</v>
      </c>
      <c r="CF4" s="15">
        <v>45334</v>
      </c>
      <c r="CG4" s="15">
        <v>45341</v>
      </c>
      <c r="CH4" s="15">
        <v>45348</v>
      </c>
      <c r="CI4" s="15">
        <v>45355</v>
      </c>
      <c r="CJ4" s="15">
        <v>45362</v>
      </c>
      <c r="CK4" s="15">
        <v>45369</v>
      </c>
      <c r="CL4" s="15">
        <v>45376</v>
      </c>
      <c r="CM4" s="15">
        <v>45017</v>
      </c>
      <c r="CN4" s="15">
        <v>45390</v>
      </c>
      <c r="CO4" s="15">
        <v>45397</v>
      </c>
      <c r="CP4" s="15">
        <v>45404</v>
      </c>
      <c r="CQ4" s="15">
        <v>45411</v>
      </c>
      <c r="CR4" s="15">
        <v>45418</v>
      </c>
      <c r="CS4" s="15">
        <v>45425</v>
      </c>
      <c r="CT4" s="15">
        <v>45432</v>
      </c>
      <c r="CU4" s="15">
        <v>45439</v>
      </c>
      <c r="CV4" s="15">
        <v>45446</v>
      </c>
      <c r="CW4" s="15">
        <v>45453</v>
      </c>
      <c r="CX4" s="15">
        <v>45460</v>
      </c>
      <c r="CY4" s="15">
        <v>45467</v>
      </c>
      <c r="CZ4" s="15">
        <v>45474</v>
      </c>
      <c r="DA4" s="15">
        <v>45481</v>
      </c>
      <c r="DB4" s="15">
        <v>45488</v>
      </c>
      <c r="DC4" s="15">
        <v>45495</v>
      </c>
      <c r="DD4" s="15">
        <v>45502</v>
      </c>
      <c r="DE4" s="15">
        <v>45509</v>
      </c>
      <c r="DF4" s="15">
        <v>45516</v>
      </c>
      <c r="DG4" s="15">
        <v>45523</v>
      </c>
      <c r="DH4" s="15">
        <v>45530</v>
      </c>
      <c r="DI4" s="15">
        <v>45537</v>
      </c>
      <c r="DJ4" s="15">
        <v>45544</v>
      </c>
      <c r="DK4" s="15">
        <f>DJ4+7</f>
        <v>45551</v>
      </c>
      <c r="DL4" s="15">
        <f>DK4+7</f>
        <v>45558</v>
      </c>
      <c r="DM4" s="15">
        <f>DL4+7</f>
        <v>45565</v>
      </c>
      <c r="DN4" s="15">
        <f>DM4+7</f>
        <v>45572</v>
      </c>
      <c r="DO4" s="15">
        <v>45579</v>
      </c>
      <c r="DP4" s="15">
        <v>45586</v>
      </c>
      <c r="DQ4" s="15">
        <v>45593</v>
      </c>
      <c r="DR4" s="15">
        <v>45600</v>
      </c>
      <c r="DS4" s="15">
        <v>45607</v>
      </c>
      <c r="DT4" s="15">
        <v>45614</v>
      </c>
      <c r="DU4" s="15">
        <v>45621</v>
      </c>
      <c r="DV4" s="15">
        <v>45628</v>
      </c>
      <c r="DW4" s="15">
        <v>45635</v>
      </c>
      <c r="DX4" s="15">
        <v>45642</v>
      </c>
      <c r="DY4" s="15">
        <v>45649</v>
      </c>
      <c r="DZ4" s="15">
        <v>45656</v>
      </c>
      <c r="EA4" s="15">
        <v>45663</v>
      </c>
      <c r="EB4" s="15">
        <v>45670</v>
      </c>
      <c r="EC4" s="15">
        <v>45677</v>
      </c>
      <c r="ED4" s="15">
        <v>45684</v>
      </c>
      <c r="EE4" s="15">
        <v>45691</v>
      </c>
      <c r="EF4" s="15">
        <v>45698</v>
      </c>
      <c r="EG4" s="15">
        <v>45705</v>
      </c>
      <c r="EH4" s="15">
        <v>45712</v>
      </c>
      <c r="EI4" s="15">
        <v>45719</v>
      </c>
      <c r="EJ4" s="15">
        <v>45726</v>
      </c>
      <c r="EK4" s="15">
        <v>45733</v>
      </c>
      <c r="EL4" s="15">
        <v>45740</v>
      </c>
      <c r="EM4" s="15">
        <v>45747</v>
      </c>
      <c r="EN4" s="15">
        <v>45754</v>
      </c>
      <c r="EO4" s="15">
        <v>45761</v>
      </c>
      <c r="EP4" s="15">
        <v>45768</v>
      </c>
      <c r="EQ4" s="15">
        <v>45775</v>
      </c>
      <c r="ER4" s="15">
        <v>45782</v>
      </c>
      <c r="ES4" s="15">
        <v>45789</v>
      </c>
      <c r="ET4" s="15">
        <v>45796</v>
      </c>
      <c r="EU4" s="15">
        <v>45803</v>
      </c>
      <c r="EV4" s="15">
        <v>45810</v>
      </c>
      <c r="EW4" s="15">
        <v>45817</v>
      </c>
      <c r="EX4" s="15">
        <v>45824</v>
      </c>
      <c r="EY4" s="15">
        <v>45831</v>
      </c>
      <c r="EZ4" s="15">
        <f>EY4+7</f>
        <v>45838</v>
      </c>
      <c r="FA4" s="15">
        <v>45845</v>
      </c>
      <c r="FB4" s="15">
        <v>45852</v>
      </c>
      <c r="FC4" s="15">
        <v>45859</v>
      </c>
      <c r="FD4" s="15">
        <v>45866</v>
      </c>
      <c r="FE4" s="15">
        <v>45873</v>
      </c>
      <c r="FF4" s="15">
        <v>45880</v>
      </c>
      <c r="FG4" s="15">
        <v>45887</v>
      </c>
      <c r="FH4" s="15">
        <v>45894</v>
      </c>
      <c r="FI4" s="15">
        <v>45901</v>
      </c>
      <c r="FJ4" s="15">
        <v>45908</v>
      </c>
      <c r="FK4" s="15">
        <v>45915</v>
      </c>
      <c r="FL4" s="15">
        <v>45922</v>
      </c>
      <c r="FM4" s="15">
        <v>45929</v>
      </c>
      <c r="FN4" s="15">
        <v>45936</v>
      </c>
      <c r="FO4" s="15">
        <v>45943</v>
      </c>
      <c r="FP4" s="15">
        <v>45950</v>
      </c>
      <c r="FQ4" s="15">
        <v>45957</v>
      </c>
      <c r="FR4" s="15">
        <v>45964</v>
      </c>
      <c r="FS4" s="15">
        <v>45971</v>
      </c>
      <c r="FT4" s="15">
        <v>45978</v>
      </c>
      <c r="FU4" s="15">
        <v>45984</v>
      </c>
      <c r="FV4" s="15">
        <v>45992</v>
      </c>
      <c r="FW4" s="15">
        <v>45999</v>
      </c>
      <c r="FX4" s="15">
        <v>46006</v>
      </c>
      <c r="FY4" s="15">
        <v>46013</v>
      </c>
      <c r="FZ4" s="15">
        <v>46385</v>
      </c>
      <c r="GA4" s="15">
        <v>46027</v>
      </c>
      <c r="GB4" s="15">
        <v>46034</v>
      </c>
      <c r="GC4" s="15">
        <v>46041</v>
      </c>
      <c r="GD4" s="15">
        <v>46048</v>
      </c>
      <c r="GE4" s="15">
        <v>46055</v>
      </c>
      <c r="GF4" s="15">
        <v>46062</v>
      </c>
      <c r="GG4" s="15">
        <v>46069</v>
      </c>
      <c r="GH4" s="15">
        <v>46076</v>
      </c>
      <c r="GI4" s="15">
        <v>46083</v>
      </c>
      <c r="GJ4" s="15">
        <v>46090</v>
      </c>
      <c r="GK4" s="15">
        <v>46097</v>
      </c>
      <c r="GL4" s="15">
        <v>46104</v>
      </c>
      <c r="GM4" s="15">
        <v>46111</v>
      </c>
      <c r="GN4" s="15">
        <v>46118</v>
      </c>
      <c r="GO4" s="15">
        <f>GN4+7</f>
        <v>46125</v>
      </c>
      <c r="GP4" s="15">
        <f>GO4+7</f>
        <v>46132</v>
      </c>
      <c r="GQ4" s="15">
        <f>GP4+7</f>
        <v>46139</v>
      </c>
      <c r="GR4" s="118">
        <v>46146</v>
      </c>
      <c r="GS4" s="152"/>
      <c r="GT4" s="85"/>
      <c r="GU4" s="85"/>
      <c r="GV4" s="85"/>
      <c r="GW4" s="61" t="s">
        <v>104</v>
      </c>
      <c r="GX4" s="61" t="s">
        <v>105</v>
      </c>
      <c r="GY4" s="61" t="s">
        <v>107</v>
      </c>
      <c r="GZ4" s="61" t="s">
        <v>108</v>
      </c>
      <c r="HA4" s="61" t="s">
        <v>106</v>
      </c>
    </row>
    <row r="5" spans="1:209" s="5" customFormat="1" ht="15" customHeight="1" x14ac:dyDescent="0.3">
      <c r="A5" s="168" t="s">
        <v>0</v>
      </c>
      <c r="B5" s="16" t="s">
        <v>0</v>
      </c>
      <c r="C5" s="17" t="s">
        <v>23</v>
      </c>
      <c r="D5" s="17">
        <v>16059.93</v>
      </c>
      <c r="E5" s="17">
        <v>14743.2</v>
      </c>
      <c r="F5" s="17">
        <v>13060.15</v>
      </c>
      <c r="G5" s="17">
        <v>14018.67</v>
      </c>
      <c r="H5" s="17">
        <v>12910.32</v>
      </c>
      <c r="I5" s="17">
        <v>10380.94</v>
      </c>
      <c r="J5" s="17">
        <v>14393.38</v>
      </c>
      <c r="K5" s="17">
        <v>14639.05</v>
      </c>
      <c r="L5" s="17">
        <v>9804.33</v>
      </c>
      <c r="M5" s="17">
        <v>10976.16</v>
      </c>
      <c r="N5" s="17">
        <v>3400.74</v>
      </c>
      <c r="O5" s="17">
        <v>8820.59</v>
      </c>
      <c r="P5" s="17">
        <v>9837.2199999999993</v>
      </c>
      <c r="Q5" s="17">
        <v>8261.9699999999993</v>
      </c>
      <c r="R5" s="17">
        <v>10154.5</v>
      </c>
      <c r="S5" s="17">
        <v>8111.16</v>
      </c>
      <c r="T5" s="17">
        <v>7634.04</v>
      </c>
      <c r="U5" s="17">
        <v>8959.86</v>
      </c>
      <c r="V5" s="17">
        <v>8900.0300000000007</v>
      </c>
      <c r="W5" s="17">
        <v>10074.19</v>
      </c>
      <c r="X5" s="17">
        <v>15168.63</v>
      </c>
      <c r="Y5" s="17">
        <v>9231.34</v>
      </c>
      <c r="Z5" s="17">
        <v>6885.7</v>
      </c>
      <c r="AA5" s="17">
        <v>7292.26</v>
      </c>
      <c r="AB5" s="17">
        <v>6874.75</v>
      </c>
      <c r="AC5" s="17">
        <v>7019.35</v>
      </c>
      <c r="AD5" s="17">
        <v>8384.2999999999993</v>
      </c>
      <c r="AE5" s="17">
        <v>9339.1200000000008</v>
      </c>
      <c r="AF5" s="17">
        <v>12390.8</v>
      </c>
      <c r="AG5" s="17">
        <v>9908.0400000000009</v>
      </c>
      <c r="AH5" s="17">
        <v>11229.05</v>
      </c>
      <c r="AI5" s="17">
        <v>10400.51</v>
      </c>
      <c r="AJ5" s="17">
        <v>10087.07</v>
      </c>
      <c r="AK5" s="17">
        <v>10727.69</v>
      </c>
      <c r="AL5" s="17">
        <v>11847.27</v>
      </c>
      <c r="AM5" s="17">
        <v>17493.89</v>
      </c>
      <c r="AN5" s="17">
        <v>14955.66</v>
      </c>
      <c r="AO5" s="17">
        <v>10543.3</v>
      </c>
      <c r="AP5" s="17">
        <v>13703.75</v>
      </c>
      <c r="AQ5" s="17">
        <v>12235.01</v>
      </c>
      <c r="AR5" s="17">
        <v>12383.32</v>
      </c>
      <c r="AS5" s="17">
        <v>13696.76</v>
      </c>
      <c r="AT5" s="17">
        <v>15493.92</v>
      </c>
      <c r="AU5" s="17">
        <v>19694.509999999998</v>
      </c>
      <c r="AV5" s="17">
        <v>15963.98</v>
      </c>
      <c r="AW5" s="17">
        <v>16931.52</v>
      </c>
      <c r="AX5" s="17">
        <v>18523.22</v>
      </c>
      <c r="AY5" s="17">
        <v>18404.169999999998</v>
      </c>
      <c r="AZ5" s="17">
        <v>16303.4</v>
      </c>
      <c r="BA5" s="17">
        <v>15982.92</v>
      </c>
      <c r="BB5" s="17">
        <v>18571.419999999998</v>
      </c>
      <c r="BC5" s="17">
        <v>15198.53</v>
      </c>
      <c r="BD5" s="17">
        <v>18973.05</v>
      </c>
      <c r="BE5" s="17">
        <v>16255.49</v>
      </c>
      <c r="BF5" s="17">
        <v>17193.68</v>
      </c>
      <c r="BG5" s="17">
        <v>20226.89</v>
      </c>
      <c r="BH5" s="17">
        <v>16116.01</v>
      </c>
      <c r="BI5" s="17">
        <v>19664.189999999999</v>
      </c>
      <c r="BJ5" s="17">
        <v>16813.45</v>
      </c>
      <c r="BK5" s="17">
        <v>9962.5499999999993</v>
      </c>
      <c r="BL5" s="17">
        <v>14874.35</v>
      </c>
      <c r="BM5" s="17">
        <v>14770.21</v>
      </c>
      <c r="BN5" s="17">
        <v>11796.8</v>
      </c>
      <c r="BO5" s="17">
        <v>11610.34</v>
      </c>
      <c r="BP5" s="17">
        <v>11660.45</v>
      </c>
      <c r="BQ5" s="17">
        <v>10999.3</v>
      </c>
      <c r="BR5" s="17">
        <v>11437.75</v>
      </c>
      <c r="BS5" s="17">
        <v>15361.59</v>
      </c>
      <c r="BT5" s="17">
        <v>12289.77</v>
      </c>
      <c r="BU5" s="17">
        <v>12149.54</v>
      </c>
      <c r="BV5" s="17">
        <v>14465.39</v>
      </c>
      <c r="BW5" s="17">
        <v>14677.05</v>
      </c>
      <c r="BX5" s="17">
        <v>20832.689999999999</v>
      </c>
      <c r="BY5" s="17">
        <v>13794</v>
      </c>
      <c r="BZ5" s="17">
        <v>11436.34</v>
      </c>
      <c r="CA5" s="17">
        <v>10462.15</v>
      </c>
      <c r="CB5" s="17">
        <v>11166.39</v>
      </c>
      <c r="CC5" s="17">
        <v>11059.39</v>
      </c>
      <c r="CD5" s="17">
        <v>13380.57</v>
      </c>
      <c r="CE5" s="17">
        <v>12087.76</v>
      </c>
      <c r="CF5" s="17">
        <v>12606.34</v>
      </c>
      <c r="CG5" s="17">
        <v>11476.21</v>
      </c>
      <c r="CH5" s="17">
        <v>12727.6</v>
      </c>
      <c r="CI5" s="17">
        <v>12835.84</v>
      </c>
      <c r="CJ5" s="17">
        <v>12100.97</v>
      </c>
      <c r="CK5" s="17">
        <v>12838.33</v>
      </c>
      <c r="CL5" s="17">
        <v>17314.62</v>
      </c>
      <c r="CM5" s="17">
        <v>15891.1</v>
      </c>
      <c r="CN5" s="17">
        <v>15921.27</v>
      </c>
      <c r="CO5" s="17">
        <v>14073.81</v>
      </c>
      <c r="CP5" s="17">
        <v>12666.1</v>
      </c>
      <c r="CQ5" s="17">
        <v>17605.29</v>
      </c>
      <c r="CR5" s="17">
        <v>18507.86</v>
      </c>
      <c r="CS5" s="17">
        <v>14311.87</v>
      </c>
      <c r="CT5" s="17">
        <v>19474.95</v>
      </c>
      <c r="CU5" s="17">
        <v>18546.62</v>
      </c>
      <c r="CV5" s="17">
        <v>14699.07</v>
      </c>
      <c r="CW5" s="17">
        <v>17458.14</v>
      </c>
      <c r="CX5" s="17">
        <v>22063.17</v>
      </c>
      <c r="CY5" s="17">
        <v>17503.72</v>
      </c>
      <c r="CZ5" s="17">
        <v>17085.59</v>
      </c>
      <c r="DA5" s="17">
        <v>22507.4</v>
      </c>
      <c r="DB5" s="17">
        <v>17925.599999999999</v>
      </c>
      <c r="DC5" s="17">
        <v>19148.37</v>
      </c>
      <c r="DD5" s="17">
        <v>23981.25</v>
      </c>
      <c r="DE5" s="17">
        <v>17433.27</v>
      </c>
      <c r="DF5" s="17">
        <v>20703.490000000002</v>
      </c>
      <c r="DG5" s="17">
        <v>18434.599999999999</v>
      </c>
      <c r="DH5" s="17">
        <v>19472.77</v>
      </c>
      <c r="DI5" s="17">
        <v>16315.68</v>
      </c>
      <c r="DJ5" s="17">
        <v>14446.85</v>
      </c>
      <c r="DK5" s="17">
        <v>17713.75</v>
      </c>
      <c r="DL5" s="17">
        <v>17239.759999999998</v>
      </c>
      <c r="DM5" s="17">
        <v>14670.97</v>
      </c>
      <c r="DN5" s="17">
        <v>15526.1</v>
      </c>
      <c r="DO5" s="17">
        <v>14054.64</v>
      </c>
      <c r="DP5" s="17">
        <v>16005.95</v>
      </c>
      <c r="DQ5" s="17">
        <v>14622.45</v>
      </c>
      <c r="DR5" s="17">
        <v>13738.36</v>
      </c>
      <c r="DS5" s="17">
        <v>11966.32</v>
      </c>
      <c r="DT5" s="17">
        <v>12596.89</v>
      </c>
      <c r="DU5" s="17">
        <v>15642.97</v>
      </c>
      <c r="DV5" s="17">
        <v>16214.9</v>
      </c>
      <c r="DW5" s="17">
        <v>16519.45</v>
      </c>
      <c r="DX5" s="17">
        <v>20979.27</v>
      </c>
      <c r="DY5" s="17">
        <v>18559.7</v>
      </c>
      <c r="DZ5" s="17">
        <v>12716.05</v>
      </c>
      <c r="EA5" s="17">
        <v>10937.12</v>
      </c>
      <c r="EB5" s="17">
        <v>12726.52</v>
      </c>
      <c r="EC5" s="17">
        <v>13617</v>
      </c>
      <c r="ED5" s="17">
        <v>12252.45</v>
      </c>
      <c r="EE5" s="17">
        <v>11010.73</v>
      </c>
      <c r="EF5" s="17">
        <v>12996.7</v>
      </c>
      <c r="EG5" s="17">
        <v>16875.71</v>
      </c>
      <c r="EH5" s="17">
        <v>14614.85</v>
      </c>
      <c r="EI5" s="17">
        <v>14073.32</v>
      </c>
      <c r="EJ5" s="17">
        <v>14207.57</v>
      </c>
      <c r="EK5" s="17">
        <v>13359.06</v>
      </c>
      <c r="EL5" s="17">
        <v>16295.5</v>
      </c>
      <c r="EM5" s="17">
        <v>19701.45</v>
      </c>
      <c r="EN5" s="17">
        <v>17682.46</v>
      </c>
      <c r="EO5" s="17">
        <v>19957.79</v>
      </c>
      <c r="EP5" s="17">
        <v>17483.04</v>
      </c>
      <c r="EQ5" s="17">
        <v>19745.2</v>
      </c>
      <c r="ER5" s="17">
        <v>16520.2</v>
      </c>
      <c r="ES5" s="17">
        <v>15780.63</v>
      </c>
      <c r="ET5" s="17">
        <v>15801.1</v>
      </c>
      <c r="EU5" s="17">
        <v>20531.490000000002</v>
      </c>
      <c r="EV5" s="17">
        <v>17645.650000000001</v>
      </c>
      <c r="EW5" s="17">
        <v>22130.29</v>
      </c>
      <c r="EX5" s="17">
        <v>19959.57</v>
      </c>
      <c r="EY5" s="17">
        <v>22901</v>
      </c>
      <c r="EZ5" s="17">
        <v>24710.54</v>
      </c>
      <c r="FA5" s="17">
        <v>23529.26</v>
      </c>
      <c r="FB5" s="17">
        <v>20823.84</v>
      </c>
      <c r="FC5" s="17">
        <v>24409.62</v>
      </c>
      <c r="FD5" s="17">
        <v>21834.77</v>
      </c>
      <c r="FE5" s="17">
        <v>21427.7</v>
      </c>
      <c r="FF5" s="17">
        <v>24161.05</v>
      </c>
      <c r="FG5" s="17">
        <v>20856.82</v>
      </c>
      <c r="FH5" s="17">
        <v>19494.939999999999</v>
      </c>
      <c r="FI5" s="17">
        <v>16093.85</v>
      </c>
      <c r="FJ5" s="17">
        <v>19481.439999999999</v>
      </c>
      <c r="FK5" s="17">
        <v>16252.1</v>
      </c>
      <c r="FL5" s="17">
        <v>14809.29</v>
      </c>
      <c r="FM5" s="17">
        <v>16019.65</v>
      </c>
      <c r="FN5" s="17">
        <v>15433.05</v>
      </c>
      <c r="FO5" s="17">
        <v>15281.36</v>
      </c>
      <c r="FP5" s="17">
        <v>19441.41</v>
      </c>
      <c r="FQ5" s="17">
        <f>15983.44+2000</f>
        <v>17983.440000000002</v>
      </c>
      <c r="FR5" s="17">
        <f>16987.39-2000</f>
        <v>14987.39</v>
      </c>
      <c r="FS5" s="17">
        <v>14674.37</v>
      </c>
      <c r="FT5" s="17">
        <v>14800.06</v>
      </c>
      <c r="FU5" s="17">
        <v>13914.99</v>
      </c>
      <c r="FV5" s="17">
        <v>16030</v>
      </c>
      <c r="FW5" s="17">
        <v>17931.78</v>
      </c>
      <c r="FX5" s="17">
        <f>23193.68+1164.6+632.57</f>
        <v>24990.85</v>
      </c>
      <c r="FY5" s="17">
        <f>16545.65-1164.6-632.57</f>
        <v>14748.480000000001</v>
      </c>
      <c r="FZ5" s="17">
        <v>20149.25</v>
      </c>
      <c r="GA5" s="17">
        <v>13751.34</v>
      </c>
      <c r="GB5" s="17">
        <v>16372.77</v>
      </c>
      <c r="GC5" s="17">
        <v>8290.0400000000009</v>
      </c>
      <c r="GD5" s="17">
        <v>13979.77</v>
      </c>
      <c r="GE5" s="17">
        <v>13718.23</v>
      </c>
      <c r="GF5" s="17">
        <v>15512.47</v>
      </c>
      <c r="GG5" s="17">
        <f>2385.65+12179.4</f>
        <v>14565.05</v>
      </c>
      <c r="GH5" s="17">
        <v>15149.75</v>
      </c>
      <c r="GI5" s="17">
        <v>15800.34</v>
      </c>
      <c r="GJ5" s="17">
        <v>18289.5</v>
      </c>
      <c r="GK5" s="17">
        <v>18612.330000000002</v>
      </c>
      <c r="GL5" s="17">
        <v>16332.29</v>
      </c>
      <c r="GM5" s="17">
        <v>20450.810000000001</v>
      </c>
      <c r="GN5" s="17">
        <v>20043.63</v>
      </c>
      <c r="GO5" s="17">
        <v>16105.84</v>
      </c>
      <c r="GP5" s="17">
        <v>18227.28</v>
      </c>
      <c r="GQ5" s="17">
        <v>21234.97</v>
      </c>
      <c r="GR5" s="107">
        <v>18503.98</v>
      </c>
      <c r="GS5" s="153">
        <f>EQ5</f>
        <v>19745.2</v>
      </c>
      <c r="GT5" s="84" t="s">
        <v>23</v>
      </c>
      <c r="GU5" s="137" t="s">
        <v>369</v>
      </c>
      <c r="GV5" s="138"/>
      <c r="GW5" s="55"/>
      <c r="GX5" s="55"/>
      <c r="GY5" s="55"/>
      <c r="GZ5" s="55"/>
      <c r="HA5" s="55"/>
    </row>
    <row r="6" spans="1:209" s="5" customFormat="1" ht="15" customHeight="1" x14ac:dyDescent="0.3">
      <c r="A6" s="169"/>
      <c r="B6" s="18"/>
      <c r="C6" s="17" t="s">
        <v>24</v>
      </c>
      <c r="D6" s="17">
        <v>26988.400000000001</v>
      </c>
      <c r="E6" s="17">
        <v>24638.39</v>
      </c>
      <c r="F6" s="17">
        <v>23660.75</v>
      </c>
      <c r="G6" s="17">
        <v>23119.67</v>
      </c>
      <c r="H6" s="17">
        <v>25149.63</v>
      </c>
      <c r="I6" s="17">
        <v>19736.5</v>
      </c>
      <c r="J6" s="17">
        <v>18496.25</v>
      </c>
      <c r="K6" s="17">
        <v>16527.419999999998</v>
      </c>
      <c r="L6" s="17">
        <v>16170.75</v>
      </c>
      <c r="M6" s="17">
        <v>17821.57</v>
      </c>
      <c r="N6" s="17">
        <v>14138.75</v>
      </c>
      <c r="O6" s="17">
        <v>15903.16</v>
      </c>
      <c r="P6" s="17">
        <v>18564.13</v>
      </c>
      <c r="Q6" s="17">
        <v>15174.15</v>
      </c>
      <c r="R6" s="17">
        <v>17495.68</v>
      </c>
      <c r="S6" s="17">
        <v>15674.35</v>
      </c>
      <c r="T6" s="17">
        <v>13759</v>
      </c>
      <c r="U6" s="17">
        <v>17398.099999999999</v>
      </c>
      <c r="V6" s="17">
        <v>17542</v>
      </c>
      <c r="W6" s="17">
        <v>18377.2</v>
      </c>
      <c r="X6" s="17">
        <v>20429.259999999998</v>
      </c>
      <c r="Y6" s="17">
        <v>15338.6</v>
      </c>
      <c r="Z6" s="17">
        <v>13169.75</v>
      </c>
      <c r="AA6" s="17">
        <v>10372.700000000001</v>
      </c>
      <c r="AB6" s="17">
        <v>12875.25</v>
      </c>
      <c r="AC6" s="17">
        <v>12784.5</v>
      </c>
      <c r="AD6" s="17">
        <v>15188.8</v>
      </c>
      <c r="AE6" s="17">
        <v>15200.3</v>
      </c>
      <c r="AF6" s="17">
        <v>19723.48</v>
      </c>
      <c r="AG6" s="17">
        <v>17835.830000000002</v>
      </c>
      <c r="AH6" s="17">
        <v>22249.55</v>
      </c>
      <c r="AI6" s="17">
        <v>16972.150000000001</v>
      </c>
      <c r="AJ6" s="17">
        <v>20107.650000000001</v>
      </c>
      <c r="AK6" s="17">
        <v>18834</v>
      </c>
      <c r="AL6" s="17">
        <v>21032.5</v>
      </c>
      <c r="AM6" s="17">
        <v>28058.5</v>
      </c>
      <c r="AN6" s="17">
        <v>25519.8</v>
      </c>
      <c r="AO6" s="17">
        <v>18569.23</v>
      </c>
      <c r="AP6" s="17">
        <v>25943.7</v>
      </c>
      <c r="AQ6" s="17">
        <v>19053.05</v>
      </c>
      <c r="AR6" s="17">
        <v>18887.8</v>
      </c>
      <c r="AS6" s="17">
        <v>22257.85</v>
      </c>
      <c r="AT6" s="17">
        <v>26242.35</v>
      </c>
      <c r="AU6" s="17">
        <v>30256.35</v>
      </c>
      <c r="AV6" s="17">
        <v>23426.5</v>
      </c>
      <c r="AW6" s="17">
        <v>27747.96</v>
      </c>
      <c r="AX6" s="17">
        <v>26386.799999999999</v>
      </c>
      <c r="AY6" s="17">
        <v>31460.99</v>
      </c>
      <c r="AZ6" s="17">
        <v>26694.22</v>
      </c>
      <c r="BA6" s="17">
        <v>26440.5</v>
      </c>
      <c r="BB6" s="17">
        <v>32258.2</v>
      </c>
      <c r="BC6" s="17">
        <v>27154</v>
      </c>
      <c r="BD6" s="17">
        <v>32974.269999999997</v>
      </c>
      <c r="BE6" s="17">
        <v>28687.77</v>
      </c>
      <c r="BF6" s="17">
        <v>28130.6</v>
      </c>
      <c r="BG6" s="17">
        <v>32845.17</v>
      </c>
      <c r="BH6" s="17">
        <v>31128.46</v>
      </c>
      <c r="BI6" s="17">
        <v>27924.400000000001</v>
      </c>
      <c r="BJ6" s="17">
        <v>26948.75</v>
      </c>
      <c r="BK6" s="17">
        <v>21222.32</v>
      </c>
      <c r="BL6" s="17">
        <v>23588.65</v>
      </c>
      <c r="BM6" s="17">
        <v>24922.31</v>
      </c>
      <c r="BN6" s="17">
        <v>23283.85</v>
      </c>
      <c r="BO6" s="17">
        <v>23024.6</v>
      </c>
      <c r="BP6" s="17">
        <v>22669.599999999999</v>
      </c>
      <c r="BQ6" s="17">
        <v>20395.849999999999</v>
      </c>
      <c r="BR6" s="17">
        <v>24775.25</v>
      </c>
      <c r="BS6" s="17">
        <v>26049.18</v>
      </c>
      <c r="BT6" s="17">
        <v>21722</v>
      </c>
      <c r="BU6" s="17">
        <v>23479.9</v>
      </c>
      <c r="BV6" s="17">
        <v>30071.599999999999</v>
      </c>
      <c r="BW6" s="17">
        <v>29489.34</v>
      </c>
      <c r="BX6" s="17">
        <v>28745.88</v>
      </c>
      <c r="BY6" s="17">
        <v>24382.03</v>
      </c>
      <c r="BZ6" s="17">
        <v>25339.5</v>
      </c>
      <c r="CA6" s="17">
        <v>21628.25</v>
      </c>
      <c r="CB6" s="17">
        <v>20737.900000000001</v>
      </c>
      <c r="CC6" s="17">
        <v>20259.150000000001</v>
      </c>
      <c r="CD6" s="17">
        <v>22952.25</v>
      </c>
      <c r="CE6" s="17">
        <v>22122.7</v>
      </c>
      <c r="CF6" s="17">
        <v>25050.1</v>
      </c>
      <c r="CG6" s="17">
        <v>22297.85</v>
      </c>
      <c r="CH6" s="17">
        <v>25201.35</v>
      </c>
      <c r="CI6" s="17">
        <v>26510.63</v>
      </c>
      <c r="CJ6" s="17">
        <v>22851.3</v>
      </c>
      <c r="CK6" s="17">
        <v>24215.200000000001</v>
      </c>
      <c r="CL6" s="17">
        <v>30498.95</v>
      </c>
      <c r="CM6" s="17">
        <v>29117.35</v>
      </c>
      <c r="CN6" s="17">
        <v>30092.7</v>
      </c>
      <c r="CO6" s="17">
        <v>26206.37</v>
      </c>
      <c r="CP6" s="17">
        <v>26193.61</v>
      </c>
      <c r="CQ6" s="17">
        <v>30332.2</v>
      </c>
      <c r="CR6" s="17">
        <v>28235</v>
      </c>
      <c r="CS6" s="17">
        <v>23848.7</v>
      </c>
      <c r="CT6" s="17">
        <v>32905.949999999997</v>
      </c>
      <c r="CU6" s="17">
        <v>32026.1</v>
      </c>
      <c r="CV6" s="17">
        <v>27081.9</v>
      </c>
      <c r="CW6" s="17">
        <v>33904.9</v>
      </c>
      <c r="CX6" s="17">
        <v>32719.5</v>
      </c>
      <c r="CY6" s="17">
        <v>31105.439999999999</v>
      </c>
      <c r="CZ6" s="17">
        <v>31269.75</v>
      </c>
      <c r="DA6" s="17">
        <v>33524.06</v>
      </c>
      <c r="DB6" s="17">
        <v>31440.75</v>
      </c>
      <c r="DC6" s="17">
        <v>33081.300000000003</v>
      </c>
      <c r="DD6" s="17">
        <v>37381.550000000003</v>
      </c>
      <c r="DE6" s="17">
        <v>38604.400000000001</v>
      </c>
      <c r="DF6" s="17">
        <v>36050.75</v>
      </c>
      <c r="DG6" s="17">
        <v>35919.65</v>
      </c>
      <c r="DH6" s="17">
        <v>36422.699999999997</v>
      </c>
      <c r="DI6" s="17">
        <v>30723.25</v>
      </c>
      <c r="DJ6" s="17">
        <v>24686.799999999999</v>
      </c>
      <c r="DK6" s="17">
        <v>31361.65</v>
      </c>
      <c r="DL6" s="17">
        <v>32314.5</v>
      </c>
      <c r="DM6" s="17">
        <v>28626.6</v>
      </c>
      <c r="DN6" s="17">
        <v>27819.919999999998</v>
      </c>
      <c r="DO6" s="17">
        <v>26298.84</v>
      </c>
      <c r="DP6" s="17">
        <v>29840.1</v>
      </c>
      <c r="DQ6" s="17">
        <v>29883.119999999999</v>
      </c>
      <c r="DR6" s="17">
        <v>25292.55</v>
      </c>
      <c r="DS6" s="17">
        <v>22608.97</v>
      </c>
      <c r="DT6" s="17">
        <v>23005.75</v>
      </c>
      <c r="DU6" s="17">
        <v>32375.8</v>
      </c>
      <c r="DV6" s="17">
        <v>31392.5</v>
      </c>
      <c r="DW6" s="17">
        <v>34010.870000000003</v>
      </c>
      <c r="DX6" s="17">
        <v>35173.769999999997</v>
      </c>
      <c r="DY6" s="17">
        <v>29640.05</v>
      </c>
      <c r="DZ6" s="17">
        <v>23149.95</v>
      </c>
      <c r="EA6" s="17">
        <v>24365.64</v>
      </c>
      <c r="EB6" s="17">
        <v>26671.27</v>
      </c>
      <c r="EC6" s="17">
        <v>26861.25</v>
      </c>
      <c r="ED6" s="17">
        <v>25523.19</v>
      </c>
      <c r="EE6" s="17">
        <v>23396.05</v>
      </c>
      <c r="EF6" s="17">
        <v>26153.4</v>
      </c>
      <c r="EG6" s="17">
        <v>32740.07</v>
      </c>
      <c r="EH6" s="17">
        <v>26675.8</v>
      </c>
      <c r="EI6" s="17">
        <v>29021.37</v>
      </c>
      <c r="EJ6" s="17">
        <v>28525.1</v>
      </c>
      <c r="EK6" s="17">
        <v>28719.5</v>
      </c>
      <c r="EL6" s="17">
        <v>35795.5</v>
      </c>
      <c r="EM6" s="17">
        <v>34969.5</v>
      </c>
      <c r="EN6" s="17">
        <v>30905.25</v>
      </c>
      <c r="EO6" s="17">
        <v>39463.75</v>
      </c>
      <c r="EP6" s="17">
        <v>32186.65</v>
      </c>
      <c r="EQ6" s="17">
        <v>32723.7</v>
      </c>
      <c r="ER6" s="17">
        <v>32052.15</v>
      </c>
      <c r="ES6" s="17">
        <v>30029.05</v>
      </c>
      <c r="ET6" s="17">
        <v>30566.55</v>
      </c>
      <c r="EU6" s="17">
        <v>42214.45</v>
      </c>
      <c r="EV6" s="17">
        <v>30756</v>
      </c>
      <c r="EW6" s="17">
        <v>39317.949999999997</v>
      </c>
      <c r="EX6" s="17">
        <v>32122.6</v>
      </c>
      <c r="EY6" s="17">
        <v>39197.300000000003</v>
      </c>
      <c r="EZ6" s="17">
        <v>40449.51</v>
      </c>
      <c r="FA6" s="17">
        <v>36274.589999999997</v>
      </c>
      <c r="FB6" s="17">
        <v>37249.35</v>
      </c>
      <c r="FC6" s="17">
        <v>36181.1</v>
      </c>
      <c r="FD6" s="17">
        <v>39902.050000000003</v>
      </c>
      <c r="FE6" s="17">
        <v>39336.050000000003</v>
      </c>
      <c r="FF6" s="17">
        <v>42864.57</v>
      </c>
      <c r="FG6" s="17">
        <v>40145.699999999997</v>
      </c>
      <c r="FH6" s="17">
        <v>36935.15</v>
      </c>
      <c r="FI6" s="17">
        <v>33302.85</v>
      </c>
      <c r="FJ6" s="17">
        <v>40161.800000000003</v>
      </c>
      <c r="FK6" s="17">
        <v>30025.55</v>
      </c>
      <c r="FL6" s="17">
        <v>28626.35</v>
      </c>
      <c r="FM6" s="17">
        <v>30845</v>
      </c>
      <c r="FN6" s="17">
        <v>28202.799999999999</v>
      </c>
      <c r="FO6" s="17">
        <v>31285.95</v>
      </c>
      <c r="FP6" s="17">
        <v>34208.92</v>
      </c>
      <c r="FQ6" s="17">
        <f>28458.8+2000</f>
        <v>30458.799999999999</v>
      </c>
      <c r="FR6" s="17">
        <f>32573.05-2000</f>
        <v>30573.05</v>
      </c>
      <c r="FS6" s="17">
        <v>29545.65</v>
      </c>
      <c r="FT6" s="17">
        <v>30339.4</v>
      </c>
      <c r="FU6" s="17">
        <v>28930.75</v>
      </c>
      <c r="FV6" s="17">
        <v>32639.9</v>
      </c>
      <c r="FW6" s="17">
        <v>37935.5</v>
      </c>
      <c r="FX6" s="17">
        <f>40863.21+1750+632.57</f>
        <v>43245.78</v>
      </c>
      <c r="FY6" s="17">
        <f>29505.77-1750-632.57</f>
        <v>27123.200000000001</v>
      </c>
      <c r="FZ6" s="17">
        <v>43763.18</v>
      </c>
      <c r="GA6" s="17">
        <v>27393.41</v>
      </c>
      <c r="GB6" s="17">
        <v>32888.07</v>
      </c>
      <c r="GC6" s="17">
        <v>18852.849999999999</v>
      </c>
      <c r="GD6" s="17">
        <v>31057.55</v>
      </c>
      <c r="GE6" s="17">
        <v>29598.3</v>
      </c>
      <c r="GF6" s="17">
        <v>31926.05</v>
      </c>
      <c r="GG6" s="17">
        <f>3379.35+27303</f>
        <v>30682.35</v>
      </c>
      <c r="GH6" s="17">
        <v>30581.59</v>
      </c>
      <c r="GI6" s="17">
        <v>31685.93</v>
      </c>
      <c r="GJ6" s="17">
        <v>40598.43</v>
      </c>
      <c r="GK6" s="17">
        <v>33340.6</v>
      </c>
      <c r="GL6" s="17">
        <v>30841.39</v>
      </c>
      <c r="GM6" s="17">
        <v>39514.120000000003</v>
      </c>
      <c r="GN6" s="17">
        <v>39419.17</v>
      </c>
      <c r="GO6" s="17">
        <v>31642.42</v>
      </c>
      <c r="GP6" s="17">
        <v>34138.519999999997</v>
      </c>
      <c r="GQ6" s="17">
        <v>36054.730000000003</v>
      </c>
      <c r="GR6" s="107">
        <v>37097.82</v>
      </c>
      <c r="GS6" s="153">
        <f>EQ6</f>
        <v>32723.7</v>
      </c>
      <c r="GT6" s="5" t="s">
        <v>24</v>
      </c>
      <c r="GU6" s="94" t="s">
        <v>367</v>
      </c>
      <c r="GV6" s="104">
        <f>DRY!AG37</f>
        <v>0.79967281096301612</v>
      </c>
      <c r="GW6" s="55"/>
      <c r="GX6" s="55"/>
      <c r="GY6" s="55"/>
      <c r="GZ6" s="55"/>
      <c r="HA6" s="55"/>
    </row>
    <row r="7" spans="1:209" s="6" customFormat="1" ht="15" customHeight="1" x14ac:dyDescent="0.3">
      <c r="A7" s="169"/>
      <c r="B7" s="19" t="s">
        <v>21</v>
      </c>
      <c r="C7" s="20"/>
      <c r="D7" s="20">
        <f>SUM(D5+D6)</f>
        <v>43048.33</v>
      </c>
      <c r="E7" s="20">
        <f t="shared" ref="E7:BR7" si="0">SUM(E5+E6)</f>
        <v>39381.589999999997</v>
      </c>
      <c r="F7" s="20">
        <f t="shared" si="0"/>
        <v>36720.9</v>
      </c>
      <c r="G7" s="20">
        <f t="shared" si="0"/>
        <v>37138.339999999997</v>
      </c>
      <c r="H7" s="20">
        <f t="shared" si="0"/>
        <v>38059.949999999997</v>
      </c>
      <c r="I7" s="20">
        <f t="shared" si="0"/>
        <v>30117.440000000002</v>
      </c>
      <c r="J7" s="20">
        <f t="shared" si="0"/>
        <v>32889.629999999997</v>
      </c>
      <c r="K7" s="20">
        <f t="shared" si="0"/>
        <v>31166.469999999998</v>
      </c>
      <c r="L7" s="20">
        <f t="shared" si="0"/>
        <v>25975.08</v>
      </c>
      <c r="M7" s="20">
        <f t="shared" si="0"/>
        <v>28797.73</v>
      </c>
      <c r="N7" s="20">
        <f t="shared" si="0"/>
        <v>17539.489999999998</v>
      </c>
      <c r="O7" s="20">
        <f t="shared" si="0"/>
        <v>24723.75</v>
      </c>
      <c r="P7" s="20">
        <f t="shared" si="0"/>
        <v>28401.35</v>
      </c>
      <c r="Q7" s="20">
        <f t="shared" si="0"/>
        <v>23436.12</v>
      </c>
      <c r="R7" s="20">
        <f t="shared" si="0"/>
        <v>27650.18</v>
      </c>
      <c r="S7" s="20">
        <f t="shared" si="0"/>
        <v>23785.510000000002</v>
      </c>
      <c r="T7" s="20">
        <f t="shared" si="0"/>
        <v>21393.040000000001</v>
      </c>
      <c r="U7" s="20">
        <f t="shared" si="0"/>
        <v>26357.96</v>
      </c>
      <c r="V7" s="20">
        <f t="shared" si="0"/>
        <v>26442.03</v>
      </c>
      <c r="W7" s="20">
        <f t="shared" si="0"/>
        <v>28451.39</v>
      </c>
      <c r="X7" s="20">
        <f t="shared" si="0"/>
        <v>35597.89</v>
      </c>
      <c r="Y7" s="20">
        <f t="shared" si="0"/>
        <v>24569.940000000002</v>
      </c>
      <c r="Z7" s="20">
        <f t="shared" si="0"/>
        <v>20055.45</v>
      </c>
      <c r="AA7" s="20">
        <f t="shared" si="0"/>
        <v>17664.96</v>
      </c>
      <c r="AB7" s="20">
        <f t="shared" si="0"/>
        <v>19750</v>
      </c>
      <c r="AC7" s="20">
        <f t="shared" si="0"/>
        <v>19803.849999999999</v>
      </c>
      <c r="AD7" s="20">
        <f t="shared" si="0"/>
        <v>23573.1</v>
      </c>
      <c r="AE7" s="20">
        <f t="shared" si="0"/>
        <v>24539.42</v>
      </c>
      <c r="AF7" s="20">
        <f t="shared" si="0"/>
        <v>32114.28</v>
      </c>
      <c r="AG7" s="20">
        <f t="shared" si="0"/>
        <v>27743.870000000003</v>
      </c>
      <c r="AH7" s="20">
        <f t="shared" si="0"/>
        <v>33478.6</v>
      </c>
      <c r="AI7" s="20">
        <f t="shared" si="0"/>
        <v>27372.660000000003</v>
      </c>
      <c r="AJ7" s="20">
        <f t="shared" si="0"/>
        <v>30194.720000000001</v>
      </c>
      <c r="AK7" s="20">
        <f t="shared" si="0"/>
        <v>29561.690000000002</v>
      </c>
      <c r="AL7" s="20">
        <f t="shared" si="0"/>
        <v>32879.770000000004</v>
      </c>
      <c r="AM7" s="20">
        <f t="shared" si="0"/>
        <v>45552.39</v>
      </c>
      <c r="AN7" s="20">
        <f t="shared" si="0"/>
        <v>40475.46</v>
      </c>
      <c r="AO7" s="20">
        <f t="shared" si="0"/>
        <v>29112.53</v>
      </c>
      <c r="AP7" s="20">
        <f t="shared" si="0"/>
        <v>39647.449999999997</v>
      </c>
      <c r="AQ7" s="20">
        <f t="shared" si="0"/>
        <v>31288.059999999998</v>
      </c>
      <c r="AR7" s="20">
        <f t="shared" si="0"/>
        <v>31271.119999999999</v>
      </c>
      <c r="AS7" s="20">
        <f t="shared" si="0"/>
        <v>35954.61</v>
      </c>
      <c r="AT7" s="20">
        <f t="shared" si="0"/>
        <v>41736.269999999997</v>
      </c>
      <c r="AU7" s="20">
        <f t="shared" si="0"/>
        <v>49950.86</v>
      </c>
      <c r="AV7" s="20">
        <f t="shared" si="0"/>
        <v>39390.479999999996</v>
      </c>
      <c r="AW7" s="20">
        <f t="shared" si="0"/>
        <v>44679.479999999996</v>
      </c>
      <c r="AX7" s="20">
        <f t="shared" si="0"/>
        <v>44910.020000000004</v>
      </c>
      <c r="AY7" s="20">
        <f t="shared" si="0"/>
        <v>49865.16</v>
      </c>
      <c r="AZ7" s="20">
        <f t="shared" si="0"/>
        <v>42997.62</v>
      </c>
      <c r="BA7" s="20">
        <f t="shared" si="0"/>
        <v>42423.42</v>
      </c>
      <c r="BB7" s="20">
        <f t="shared" si="0"/>
        <v>50829.619999999995</v>
      </c>
      <c r="BC7" s="20">
        <f t="shared" si="0"/>
        <v>42352.53</v>
      </c>
      <c r="BD7" s="20">
        <f t="shared" si="0"/>
        <v>51947.319999999992</v>
      </c>
      <c r="BE7" s="20">
        <f t="shared" si="0"/>
        <v>44943.26</v>
      </c>
      <c r="BF7" s="20">
        <f t="shared" si="0"/>
        <v>45324.28</v>
      </c>
      <c r="BG7" s="20">
        <f t="shared" si="0"/>
        <v>53072.06</v>
      </c>
      <c r="BH7" s="20">
        <f t="shared" si="0"/>
        <v>47244.47</v>
      </c>
      <c r="BI7" s="20">
        <f t="shared" si="0"/>
        <v>47588.59</v>
      </c>
      <c r="BJ7" s="20">
        <f t="shared" si="0"/>
        <v>43762.2</v>
      </c>
      <c r="BK7" s="20">
        <f t="shared" si="0"/>
        <v>31184.87</v>
      </c>
      <c r="BL7" s="20">
        <f t="shared" si="0"/>
        <v>38463</v>
      </c>
      <c r="BM7" s="20">
        <f t="shared" si="0"/>
        <v>39692.520000000004</v>
      </c>
      <c r="BN7" s="20">
        <f t="shared" si="0"/>
        <v>35080.649999999994</v>
      </c>
      <c r="BO7" s="20">
        <f t="shared" si="0"/>
        <v>34634.94</v>
      </c>
      <c r="BP7" s="20">
        <f t="shared" si="0"/>
        <v>34330.050000000003</v>
      </c>
      <c r="BQ7" s="20">
        <f t="shared" si="0"/>
        <v>31395.149999999998</v>
      </c>
      <c r="BR7" s="20">
        <f t="shared" si="0"/>
        <v>36213</v>
      </c>
      <c r="BS7" s="20">
        <f t="shared" ref="BS7:BW7" si="1">SUM(BS5+BS6)</f>
        <v>41410.770000000004</v>
      </c>
      <c r="BT7" s="20">
        <f t="shared" si="1"/>
        <v>34011.770000000004</v>
      </c>
      <c r="BU7" s="20">
        <f t="shared" si="1"/>
        <v>35629.440000000002</v>
      </c>
      <c r="BV7" s="20">
        <f t="shared" si="1"/>
        <v>44536.99</v>
      </c>
      <c r="BW7" s="20">
        <f t="shared" si="1"/>
        <v>44166.39</v>
      </c>
      <c r="BX7" s="20">
        <f t="shared" ref="BX7:CN7" si="2">SUM(BX5+BX6)</f>
        <v>49578.57</v>
      </c>
      <c r="BY7" s="20">
        <f t="shared" si="2"/>
        <v>38176.03</v>
      </c>
      <c r="BZ7" s="20">
        <f t="shared" si="2"/>
        <v>36775.839999999997</v>
      </c>
      <c r="CA7" s="20">
        <f t="shared" si="2"/>
        <v>32090.400000000001</v>
      </c>
      <c r="CB7" s="20">
        <f t="shared" si="2"/>
        <v>31904.29</v>
      </c>
      <c r="CC7" s="20">
        <f t="shared" si="2"/>
        <v>31318.54</v>
      </c>
      <c r="CD7" s="20">
        <f t="shared" si="2"/>
        <v>36332.82</v>
      </c>
      <c r="CE7" s="20">
        <f t="shared" si="2"/>
        <v>34210.46</v>
      </c>
      <c r="CF7" s="20">
        <f t="shared" si="2"/>
        <v>37656.44</v>
      </c>
      <c r="CG7" s="20">
        <f t="shared" si="2"/>
        <v>33774.06</v>
      </c>
      <c r="CH7" s="20">
        <f t="shared" si="2"/>
        <v>37928.949999999997</v>
      </c>
      <c r="CI7" s="20">
        <f t="shared" si="2"/>
        <v>39346.47</v>
      </c>
      <c r="CJ7" s="20">
        <f t="shared" si="2"/>
        <v>34952.269999999997</v>
      </c>
      <c r="CK7" s="20">
        <f t="shared" si="2"/>
        <v>37053.53</v>
      </c>
      <c r="CL7" s="20">
        <f t="shared" si="2"/>
        <v>47813.57</v>
      </c>
      <c r="CM7" s="20">
        <f t="shared" si="2"/>
        <v>45008.45</v>
      </c>
      <c r="CN7" s="20">
        <f t="shared" si="2"/>
        <v>46013.97</v>
      </c>
      <c r="CO7" s="20">
        <f t="shared" ref="CO7:CZ7" si="3">SUM(CO5+CO6)</f>
        <v>40280.18</v>
      </c>
      <c r="CP7" s="20">
        <f t="shared" si="3"/>
        <v>38859.71</v>
      </c>
      <c r="CQ7" s="20">
        <f t="shared" si="3"/>
        <v>47937.490000000005</v>
      </c>
      <c r="CR7" s="20">
        <f t="shared" si="3"/>
        <v>46742.86</v>
      </c>
      <c r="CS7" s="20">
        <f t="shared" si="3"/>
        <v>38160.57</v>
      </c>
      <c r="CT7" s="20">
        <f t="shared" si="3"/>
        <v>52380.899999999994</v>
      </c>
      <c r="CU7" s="20">
        <f t="shared" si="3"/>
        <v>50572.72</v>
      </c>
      <c r="CV7" s="20">
        <f t="shared" si="3"/>
        <v>41780.97</v>
      </c>
      <c r="CW7" s="20">
        <f t="shared" si="3"/>
        <v>51363.040000000001</v>
      </c>
      <c r="CX7" s="20">
        <f t="shared" si="3"/>
        <v>54782.67</v>
      </c>
      <c r="CY7" s="20">
        <f t="shared" si="3"/>
        <v>48609.16</v>
      </c>
      <c r="CZ7" s="20">
        <f t="shared" si="3"/>
        <v>48355.34</v>
      </c>
      <c r="DA7" s="20">
        <f t="shared" ref="DA7:DB7" si="4">SUM(DA5+DA6)</f>
        <v>56031.46</v>
      </c>
      <c r="DB7" s="20">
        <f t="shared" si="4"/>
        <v>49366.35</v>
      </c>
      <c r="DC7" s="20">
        <f t="shared" ref="DC7:DD7" si="5">SUM(DC5+DC6)</f>
        <v>52229.67</v>
      </c>
      <c r="DD7" s="20">
        <f t="shared" si="5"/>
        <v>61362.8</v>
      </c>
      <c r="DE7" s="20">
        <f t="shared" ref="DE7:DF7" si="6">SUM(DE5+DE6)</f>
        <v>56037.67</v>
      </c>
      <c r="DF7" s="20">
        <f t="shared" si="6"/>
        <v>56754.240000000005</v>
      </c>
      <c r="DG7" s="20">
        <f t="shared" ref="DG7:DH7" si="7">SUM(DG5+DG6)</f>
        <v>54354.25</v>
      </c>
      <c r="DH7" s="20">
        <f t="shared" si="7"/>
        <v>55895.47</v>
      </c>
      <c r="DI7" s="20">
        <f t="shared" ref="DI7:DJ7" si="8">SUM(DI5+DI6)</f>
        <v>47038.93</v>
      </c>
      <c r="DJ7" s="20">
        <f t="shared" si="8"/>
        <v>39133.65</v>
      </c>
      <c r="DK7" s="20">
        <f t="shared" ref="DK7:DL7" si="9">SUM(DK5+DK6)</f>
        <v>49075.4</v>
      </c>
      <c r="DL7" s="20">
        <f t="shared" si="9"/>
        <v>49554.259999999995</v>
      </c>
      <c r="DM7" s="20">
        <f t="shared" ref="DM7:DN7" si="10">SUM(DM5+DM6)</f>
        <v>43297.57</v>
      </c>
      <c r="DN7" s="20">
        <f t="shared" si="10"/>
        <v>43346.02</v>
      </c>
      <c r="DO7" s="20">
        <f t="shared" ref="DO7:DP7" si="11">SUM(DO5+DO6)</f>
        <v>40353.479999999996</v>
      </c>
      <c r="DP7" s="20">
        <f t="shared" si="11"/>
        <v>45846.05</v>
      </c>
      <c r="DQ7" s="20">
        <f t="shared" ref="DQ7:DR7" si="12">SUM(DQ5+DQ6)</f>
        <v>44505.57</v>
      </c>
      <c r="DR7" s="20">
        <f t="shared" si="12"/>
        <v>39030.910000000003</v>
      </c>
      <c r="DS7" s="20">
        <f t="shared" ref="DS7:DT7" si="13">SUM(DS5+DS6)</f>
        <v>34575.29</v>
      </c>
      <c r="DT7" s="20">
        <f t="shared" si="13"/>
        <v>35602.639999999999</v>
      </c>
      <c r="DU7" s="20">
        <f t="shared" ref="DU7:DV7" si="14">SUM(DU5+DU6)</f>
        <v>48018.77</v>
      </c>
      <c r="DV7" s="20">
        <f t="shared" si="14"/>
        <v>47607.4</v>
      </c>
      <c r="DW7" s="20">
        <f t="shared" ref="DW7:DX7" si="15">SUM(DW5+DW6)</f>
        <v>50530.320000000007</v>
      </c>
      <c r="DX7" s="20">
        <f t="shared" si="15"/>
        <v>56153.039999999994</v>
      </c>
      <c r="DY7" s="20">
        <f t="shared" ref="DY7:DZ7" si="16">SUM(DY5+DY6)</f>
        <v>48199.75</v>
      </c>
      <c r="DZ7" s="20">
        <f t="shared" si="16"/>
        <v>35866</v>
      </c>
      <c r="EA7" s="20">
        <f t="shared" ref="EA7:EB7" si="17">SUM(EA5+EA6)</f>
        <v>35302.76</v>
      </c>
      <c r="EB7" s="20">
        <f t="shared" si="17"/>
        <v>39397.79</v>
      </c>
      <c r="EC7" s="20">
        <f t="shared" ref="EC7:ED7" si="18">SUM(EC5+EC6)</f>
        <v>40478.25</v>
      </c>
      <c r="ED7" s="20">
        <f t="shared" si="18"/>
        <v>37775.64</v>
      </c>
      <c r="EE7" s="20">
        <f t="shared" ref="EE7:EF7" si="19">SUM(EE5+EE6)</f>
        <v>34406.78</v>
      </c>
      <c r="EF7" s="20">
        <f t="shared" si="19"/>
        <v>39150.100000000006</v>
      </c>
      <c r="EG7" s="20">
        <f t="shared" ref="EG7:EH7" si="20">SUM(EG5+EG6)</f>
        <v>49615.78</v>
      </c>
      <c r="EH7" s="20">
        <f t="shared" si="20"/>
        <v>41290.65</v>
      </c>
      <c r="EI7" s="20">
        <f t="shared" ref="EI7:EJ7" si="21">SUM(EI5+EI6)</f>
        <v>43094.69</v>
      </c>
      <c r="EJ7" s="20">
        <f t="shared" si="21"/>
        <v>42732.67</v>
      </c>
      <c r="EK7" s="20">
        <f t="shared" ref="EK7:EL7" si="22">SUM(EK5+EK6)</f>
        <v>42078.559999999998</v>
      </c>
      <c r="EL7" s="20">
        <f t="shared" si="22"/>
        <v>52091</v>
      </c>
      <c r="EM7" s="20">
        <f t="shared" ref="EM7:EN7" si="23">SUM(EM5+EM6)</f>
        <v>54670.95</v>
      </c>
      <c r="EN7" s="20">
        <f t="shared" si="23"/>
        <v>48587.71</v>
      </c>
      <c r="EO7" s="20">
        <f t="shared" ref="EO7:EP7" si="24">SUM(EO5+EO6)</f>
        <v>59421.54</v>
      </c>
      <c r="EP7" s="20">
        <f t="shared" si="24"/>
        <v>49669.69</v>
      </c>
      <c r="EQ7" s="20">
        <f t="shared" ref="EQ7:ER7" si="25">SUM(EQ5+EQ6)</f>
        <v>52468.9</v>
      </c>
      <c r="ER7" s="20">
        <f t="shared" si="25"/>
        <v>48572.350000000006</v>
      </c>
      <c r="ES7" s="20">
        <f t="shared" ref="ES7:ET7" si="26">SUM(ES5+ES6)</f>
        <v>45809.68</v>
      </c>
      <c r="ET7" s="20">
        <f t="shared" si="26"/>
        <v>46367.65</v>
      </c>
      <c r="EU7" s="20">
        <f t="shared" ref="EU7:EV7" si="27">SUM(EU5+EU6)</f>
        <v>62745.94</v>
      </c>
      <c r="EV7" s="20">
        <f t="shared" si="27"/>
        <v>48401.65</v>
      </c>
      <c r="EW7" s="20">
        <f t="shared" ref="EW7:EX7" si="28">SUM(EW5+EW6)</f>
        <v>61448.24</v>
      </c>
      <c r="EX7" s="20">
        <f t="shared" si="28"/>
        <v>52082.17</v>
      </c>
      <c r="EY7" s="20">
        <f t="shared" ref="EY7:EZ7" si="29">SUM(EY5+EY6)</f>
        <v>62098.3</v>
      </c>
      <c r="EZ7" s="20">
        <f t="shared" si="29"/>
        <v>65160.05</v>
      </c>
      <c r="FA7" s="20">
        <f t="shared" ref="FA7:FB7" si="30">SUM(FA5+FA6)</f>
        <v>59803.849999999991</v>
      </c>
      <c r="FB7" s="20">
        <f t="shared" si="30"/>
        <v>58073.19</v>
      </c>
      <c r="FC7" s="20">
        <f t="shared" ref="FC7:FD7" si="31">SUM(FC5+FC6)</f>
        <v>60590.720000000001</v>
      </c>
      <c r="FD7" s="20">
        <f t="shared" si="31"/>
        <v>61736.820000000007</v>
      </c>
      <c r="FE7" s="20">
        <f t="shared" ref="FE7:FF7" si="32">SUM(FE5+FE6)</f>
        <v>60763.75</v>
      </c>
      <c r="FF7" s="20">
        <f t="shared" si="32"/>
        <v>67025.62</v>
      </c>
      <c r="FG7" s="20">
        <f t="shared" ref="FG7:FH7" si="33">SUM(FG5+FG6)</f>
        <v>61002.52</v>
      </c>
      <c r="FH7" s="20">
        <f t="shared" si="33"/>
        <v>56430.09</v>
      </c>
      <c r="FI7" s="20">
        <f t="shared" ref="FI7:FJ7" si="34">SUM(FI5+FI6)</f>
        <v>49396.7</v>
      </c>
      <c r="FJ7" s="20">
        <f t="shared" si="34"/>
        <v>59643.240000000005</v>
      </c>
      <c r="FK7" s="20">
        <f t="shared" ref="FK7:FL7" si="35">SUM(FK5+FK6)</f>
        <v>46277.65</v>
      </c>
      <c r="FL7" s="20">
        <f t="shared" si="35"/>
        <v>43435.64</v>
      </c>
      <c r="FM7" s="20">
        <f t="shared" ref="FM7" si="36">SUM(FM5+FM6)</f>
        <v>46864.65</v>
      </c>
      <c r="FN7" s="20">
        <f t="shared" ref="FN7:FO7" si="37">SUM(FN5+FN6)</f>
        <v>43635.85</v>
      </c>
      <c r="FO7" s="20">
        <f t="shared" si="37"/>
        <v>46567.31</v>
      </c>
      <c r="FP7" s="20">
        <f t="shared" ref="FP7:FQ7" si="38">SUM(FP5+FP6)</f>
        <v>53650.33</v>
      </c>
      <c r="FQ7" s="20">
        <f t="shared" si="38"/>
        <v>48442.240000000005</v>
      </c>
      <c r="FR7" s="20">
        <f t="shared" ref="FR7:FS7" si="39">SUM(FR5+FR6)</f>
        <v>45560.44</v>
      </c>
      <c r="FS7" s="20">
        <f t="shared" si="39"/>
        <v>44220.020000000004</v>
      </c>
      <c r="FT7" s="20">
        <f t="shared" ref="FT7" si="40">SUM(FT5+FT6)</f>
        <v>45139.46</v>
      </c>
      <c r="FU7" s="20">
        <f t="shared" ref="FU7:FZ7" si="41">SUM(FU5+FU6)</f>
        <v>42845.74</v>
      </c>
      <c r="FV7" s="20">
        <f t="shared" si="41"/>
        <v>48669.9</v>
      </c>
      <c r="FW7" s="20">
        <f t="shared" si="41"/>
        <v>55867.28</v>
      </c>
      <c r="FX7" s="20">
        <f t="shared" si="41"/>
        <v>68236.63</v>
      </c>
      <c r="FY7" s="20">
        <f t="shared" si="41"/>
        <v>41871.68</v>
      </c>
      <c r="FZ7" s="20">
        <f t="shared" si="41"/>
        <v>63912.43</v>
      </c>
      <c r="GA7" s="20">
        <f t="shared" ref="GA7:GB7" si="42">SUM(GA5+GA6)</f>
        <v>41144.75</v>
      </c>
      <c r="GB7" s="20">
        <f t="shared" si="42"/>
        <v>49260.84</v>
      </c>
      <c r="GC7" s="20">
        <f t="shared" ref="GC7:GD7" si="43">SUM(GC5+GC6)</f>
        <v>27142.89</v>
      </c>
      <c r="GD7" s="20">
        <f t="shared" si="43"/>
        <v>45037.32</v>
      </c>
      <c r="GE7" s="20">
        <f t="shared" ref="GE7:GF7" si="44">SUM(GE5+GE6)</f>
        <v>43316.53</v>
      </c>
      <c r="GF7" s="20">
        <f t="shared" si="44"/>
        <v>47438.52</v>
      </c>
      <c r="GG7" s="20">
        <f t="shared" ref="GG7:GH7" si="45">SUM(GG5+GG6)</f>
        <v>45247.399999999994</v>
      </c>
      <c r="GH7" s="20">
        <f t="shared" si="45"/>
        <v>45731.34</v>
      </c>
      <c r="GI7" s="20">
        <f t="shared" ref="GI7:GJ7" si="46">SUM(GI5+GI6)</f>
        <v>47486.270000000004</v>
      </c>
      <c r="GJ7" s="20">
        <f t="shared" si="46"/>
        <v>58887.93</v>
      </c>
      <c r="GK7" s="20">
        <f t="shared" ref="GK7:GL7" si="47">SUM(GK5+GK6)</f>
        <v>51952.93</v>
      </c>
      <c r="GL7" s="20">
        <f t="shared" si="47"/>
        <v>47173.68</v>
      </c>
      <c r="GM7" s="20">
        <f t="shared" ref="GM7" si="48">SUM(GM5+GM6)</f>
        <v>59964.930000000008</v>
      </c>
      <c r="GN7" s="20">
        <f>SUM(GN6+GN5)</f>
        <v>59462.8</v>
      </c>
      <c r="GO7" s="20">
        <f>SUM(GO6+GO5)</f>
        <v>47748.259999999995</v>
      </c>
      <c r="GP7" s="20">
        <f>SUM(GP6+GP5)</f>
        <v>52365.799999999996</v>
      </c>
      <c r="GQ7" s="20">
        <f>SUM(GQ6+GQ5)</f>
        <v>57289.700000000004</v>
      </c>
      <c r="GR7" s="108">
        <f>SUM(GR6+GR5)</f>
        <v>55601.8</v>
      </c>
      <c r="GS7" s="154">
        <f t="shared" ref="GS7" si="49">SUM(GS5+GS6)</f>
        <v>52468.9</v>
      </c>
      <c r="GT7" s="10" t="str">
        <f>B5</f>
        <v>PEMBROKE ARMS</v>
      </c>
      <c r="GU7" s="139" t="s">
        <v>398</v>
      </c>
      <c r="GV7" s="140">
        <f>DRY!AH37</f>
        <v>0.75308452366227674</v>
      </c>
      <c r="GW7" s="56">
        <f>AVERAGE(ES7:GR7)</f>
        <v>52039.05999999999</v>
      </c>
      <c r="GX7" s="56">
        <f>AVERAGE(FS7:GR7)</f>
        <v>49731.416538461548</v>
      </c>
      <c r="GY7" s="56">
        <f>AVERAGE(GF7:GR7)</f>
        <v>52027.027692307689</v>
      </c>
      <c r="GZ7" s="56">
        <f>AVERAGE(GN7:GR7)</f>
        <v>54493.671999999999</v>
      </c>
      <c r="HA7" s="56">
        <f>MAX(D7:GR7)</f>
        <v>68236.63</v>
      </c>
    </row>
    <row r="8" spans="1:209" s="7" customFormat="1" ht="15" customHeight="1" x14ac:dyDescent="0.3">
      <c r="A8" s="169"/>
      <c r="B8" s="35" t="s">
        <v>365</v>
      </c>
      <c r="C8" s="21"/>
      <c r="D8" s="21"/>
      <c r="E8" s="21">
        <f>SUM(E7-D7)</f>
        <v>-3666.7400000000052</v>
      </c>
      <c r="F8" s="21">
        <f t="shared" ref="F8:P8" si="50">SUM(F7-E7)</f>
        <v>-2660.6899999999951</v>
      </c>
      <c r="G8" s="21">
        <f t="shared" si="50"/>
        <v>417.43999999999505</v>
      </c>
      <c r="H8" s="21">
        <f t="shared" si="50"/>
        <v>921.61000000000058</v>
      </c>
      <c r="I8" s="21">
        <f t="shared" si="50"/>
        <v>-7942.5099999999948</v>
      </c>
      <c r="J8" s="21">
        <f t="shared" si="50"/>
        <v>2772.1899999999951</v>
      </c>
      <c r="K8" s="21">
        <f t="shared" si="50"/>
        <v>-1723.1599999999999</v>
      </c>
      <c r="L8" s="21">
        <f t="shared" si="50"/>
        <v>-5191.3899999999958</v>
      </c>
      <c r="M8" s="21">
        <f t="shared" si="50"/>
        <v>2822.6499999999978</v>
      </c>
      <c r="N8" s="21">
        <f t="shared" si="50"/>
        <v>-11258.240000000002</v>
      </c>
      <c r="O8" s="21">
        <f t="shared" si="50"/>
        <v>7184.260000000002</v>
      </c>
      <c r="P8" s="21">
        <f t="shared" si="50"/>
        <v>3677.5999999999985</v>
      </c>
      <c r="Q8" s="21">
        <f t="shared" ref="Q8" si="51">SUM(Q7-P7)</f>
        <v>-4965.2299999999996</v>
      </c>
      <c r="R8" s="21">
        <f t="shared" ref="R8:AN8" si="52">SUM(R7-Q7)</f>
        <v>4214.0600000000013</v>
      </c>
      <c r="S8" s="21">
        <f t="shared" si="52"/>
        <v>-3864.6699999999983</v>
      </c>
      <c r="T8" s="21">
        <f t="shared" si="52"/>
        <v>-2392.4700000000012</v>
      </c>
      <c r="U8" s="21">
        <f t="shared" si="52"/>
        <v>4964.9199999999983</v>
      </c>
      <c r="V8" s="21">
        <f t="shared" si="52"/>
        <v>84.069999999999709</v>
      </c>
      <c r="W8" s="21">
        <f t="shared" si="52"/>
        <v>2009.3600000000006</v>
      </c>
      <c r="X8" s="21">
        <f t="shared" si="52"/>
        <v>7146.5</v>
      </c>
      <c r="Y8" s="21">
        <f t="shared" si="52"/>
        <v>-11027.949999999997</v>
      </c>
      <c r="Z8" s="21">
        <f t="shared" si="52"/>
        <v>-4514.4900000000016</v>
      </c>
      <c r="AA8" s="21">
        <f t="shared" si="52"/>
        <v>-2390.4900000000016</v>
      </c>
      <c r="AB8" s="21">
        <f t="shared" si="52"/>
        <v>2085.0400000000009</v>
      </c>
      <c r="AC8" s="21">
        <f t="shared" si="52"/>
        <v>53.849999999998545</v>
      </c>
      <c r="AD8" s="21">
        <f t="shared" si="52"/>
        <v>3769.25</v>
      </c>
      <c r="AE8" s="21">
        <f t="shared" si="52"/>
        <v>966.31999999999971</v>
      </c>
      <c r="AF8" s="21">
        <f t="shared" si="52"/>
        <v>7574.8600000000006</v>
      </c>
      <c r="AG8" s="21">
        <f t="shared" si="52"/>
        <v>-4370.4099999999962</v>
      </c>
      <c r="AH8" s="21">
        <f t="shared" si="52"/>
        <v>5734.7299999999959</v>
      </c>
      <c r="AI8" s="21">
        <f t="shared" si="52"/>
        <v>-6105.9399999999951</v>
      </c>
      <c r="AJ8" s="21">
        <f t="shared" si="52"/>
        <v>2822.0599999999977</v>
      </c>
      <c r="AK8" s="21">
        <f t="shared" si="52"/>
        <v>-633.02999999999884</v>
      </c>
      <c r="AL8" s="21">
        <f t="shared" si="52"/>
        <v>3318.0800000000017</v>
      </c>
      <c r="AM8" s="21">
        <f t="shared" si="52"/>
        <v>12672.619999999995</v>
      </c>
      <c r="AN8" s="21">
        <f t="shared" si="52"/>
        <v>-5076.93</v>
      </c>
      <c r="AO8" s="21">
        <f t="shared" ref="AO8:BA8" si="53">SUM(AO7-AN7)</f>
        <v>-11362.93</v>
      </c>
      <c r="AP8" s="21">
        <f t="shared" si="53"/>
        <v>10534.919999999998</v>
      </c>
      <c r="AQ8" s="21">
        <f t="shared" si="53"/>
        <v>-8359.39</v>
      </c>
      <c r="AR8" s="21">
        <f t="shared" si="53"/>
        <v>-16.93999999999869</v>
      </c>
      <c r="AS8" s="21">
        <f t="shared" si="53"/>
        <v>4683.4900000000016</v>
      </c>
      <c r="AT8" s="21">
        <f t="shared" si="53"/>
        <v>5781.6599999999962</v>
      </c>
      <c r="AU8" s="21">
        <f t="shared" si="53"/>
        <v>8214.5900000000038</v>
      </c>
      <c r="AV8" s="21">
        <f t="shared" si="53"/>
        <v>-10560.380000000005</v>
      </c>
      <c r="AW8" s="21">
        <f t="shared" si="53"/>
        <v>5289</v>
      </c>
      <c r="AX8" s="21">
        <f t="shared" si="53"/>
        <v>230.54000000000815</v>
      </c>
      <c r="AY8" s="21">
        <f t="shared" si="53"/>
        <v>4955.1399999999994</v>
      </c>
      <c r="AZ8" s="21">
        <f t="shared" si="53"/>
        <v>-6867.5400000000009</v>
      </c>
      <c r="BA8" s="21">
        <f t="shared" si="53"/>
        <v>-574.20000000000437</v>
      </c>
      <c r="BB8" s="21">
        <f>SUM(BB7-BA7)</f>
        <v>8406.1999999999971</v>
      </c>
      <c r="BC8" s="21">
        <f t="shared" ref="BC8:CO8" si="54">SUM(BC7-BB7)</f>
        <v>-8477.0899999999965</v>
      </c>
      <c r="BD8" s="21">
        <f t="shared" si="54"/>
        <v>9594.7899999999936</v>
      </c>
      <c r="BE8" s="21">
        <f t="shared" si="54"/>
        <v>-7004.0599999999904</v>
      </c>
      <c r="BF8" s="21">
        <f t="shared" si="54"/>
        <v>381.0199999999968</v>
      </c>
      <c r="BG8" s="21">
        <f t="shared" si="54"/>
        <v>7747.7799999999988</v>
      </c>
      <c r="BH8" s="21">
        <f t="shared" si="54"/>
        <v>-5827.5899999999965</v>
      </c>
      <c r="BI8" s="21">
        <f t="shared" si="54"/>
        <v>344.11999999999534</v>
      </c>
      <c r="BJ8" s="21">
        <f t="shared" si="54"/>
        <v>-3826.3899999999994</v>
      </c>
      <c r="BK8" s="21">
        <f t="shared" si="54"/>
        <v>-12577.329999999998</v>
      </c>
      <c r="BL8" s="21">
        <f t="shared" si="54"/>
        <v>7278.130000000001</v>
      </c>
      <c r="BM8" s="21">
        <f t="shared" si="54"/>
        <v>1229.5200000000041</v>
      </c>
      <c r="BN8" s="21">
        <f t="shared" si="54"/>
        <v>-4611.8700000000099</v>
      </c>
      <c r="BO8" s="21">
        <f t="shared" si="54"/>
        <v>-445.70999999999185</v>
      </c>
      <c r="BP8" s="21">
        <f t="shared" si="54"/>
        <v>-304.88999999999942</v>
      </c>
      <c r="BQ8" s="21">
        <f t="shared" si="54"/>
        <v>-2934.9000000000051</v>
      </c>
      <c r="BR8" s="21">
        <f t="shared" si="54"/>
        <v>4817.8500000000022</v>
      </c>
      <c r="BS8" s="21">
        <f t="shared" si="54"/>
        <v>5197.7700000000041</v>
      </c>
      <c r="BT8" s="21">
        <f t="shared" si="54"/>
        <v>-7399</v>
      </c>
      <c r="BU8" s="21">
        <f t="shared" si="54"/>
        <v>1617.6699999999983</v>
      </c>
      <c r="BV8" s="21">
        <f t="shared" si="54"/>
        <v>8907.5499999999956</v>
      </c>
      <c r="BW8" s="21">
        <f t="shared" si="54"/>
        <v>-370.59999999999854</v>
      </c>
      <c r="BX8" s="21">
        <f t="shared" si="54"/>
        <v>5412.18</v>
      </c>
      <c r="BY8" s="21">
        <f t="shared" si="54"/>
        <v>-11402.54</v>
      </c>
      <c r="BZ8" s="21">
        <f t="shared" si="54"/>
        <v>-1400.1900000000023</v>
      </c>
      <c r="CA8" s="21">
        <f t="shared" si="54"/>
        <v>-4685.4399999999951</v>
      </c>
      <c r="CB8" s="21">
        <f t="shared" si="54"/>
        <v>-186.11000000000058</v>
      </c>
      <c r="CC8" s="21">
        <f t="shared" si="54"/>
        <v>-585.75</v>
      </c>
      <c r="CD8" s="21">
        <f t="shared" si="54"/>
        <v>5014.2799999999988</v>
      </c>
      <c r="CE8" s="21">
        <f t="shared" si="54"/>
        <v>-2122.3600000000006</v>
      </c>
      <c r="CF8" s="21">
        <f t="shared" si="54"/>
        <v>3445.9800000000032</v>
      </c>
      <c r="CG8" s="21">
        <f t="shared" si="54"/>
        <v>-3882.3800000000047</v>
      </c>
      <c r="CH8" s="21">
        <f t="shared" si="54"/>
        <v>4154.8899999999994</v>
      </c>
      <c r="CI8" s="21">
        <f t="shared" si="54"/>
        <v>1417.5200000000041</v>
      </c>
      <c r="CJ8" s="21">
        <f t="shared" si="54"/>
        <v>-4394.2000000000044</v>
      </c>
      <c r="CK8" s="21">
        <f t="shared" si="54"/>
        <v>2101.260000000002</v>
      </c>
      <c r="CL8" s="21">
        <f t="shared" si="54"/>
        <v>10760.04</v>
      </c>
      <c r="CM8" s="21">
        <f t="shared" si="54"/>
        <v>-2805.1200000000026</v>
      </c>
      <c r="CN8" s="21">
        <f t="shared" si="54"/>
        <v>1005.5200000000041</v>
      </c>
      <c r="CO8" s="21">
        <f t="shared" si="54"/>
        <v>-5733.7900000000009</v>
      </c>
      <c r="CP8" s="21">
        <f t="shared" ref="CP8:DH8" si="55">SUM(CP7-CO7)</f>
        <v>-1420.4700000000012</v>
      </c>
      <c r="CQ8" s="21">
        <f t="shared" si="55"/>
        <v>9077.7800000000061</v>
      </c>
      <c r="CR8" s="21">
        <f t="shared" si="55"/>
        <v>-1194.6300000000047</v>
      </c>
      <c r="CS8" s="21">
        <f t="shared" si="55"/>
        <v>-8582.2900000000009</v>
      </c>
      <c r="CT8" s="21">
        <f t="shared" si="55"/>
        <v>14220.329999999994</v>
      </c>
      <c r="CU8" s="21">
        <f t="shared" si="55"/>
        <v>-1808.179999999993</v>
      </c>
      <c r="CV8" s="21">
        <f t="shared" si="55"/>
        <v>-8791.75</v>
      </c>
      <c r="CW8" s="21">
        <f t="shared" si="55"/>
        <v>9582.07</v>
      </c>
      <c r="CX8" s="21">
        <f t="shared" si="55"/>
        <v>3419.6299999999974</v>
      </c>
      <c r="CY8" s="21">
        <f t="shared" si="55"/>
        <v>-6173.5099999999948</v>
      </c>
      <c r="CZ8" s="21">
        <f t="shared" si="55"/>
        <v>-253.82000000000698</v>
      </c>
      <c r="DA8" s="21">
        <f t="shared" si="55"/>
        <v>7676.1200000000026</v>
      </c>
      <c r="DB8" s="21">
        <f t="shared" si="55"/>
        <v>-6665.1100000000006</v>
      </c>
      <c r="DC8" s="21">
        <f t="shared" si="55"/>
        <v>2863.3199999999997</v>
      </c>
      <c r="DD8" s="21">
        <f t="shared" si="55"/>
        <v>9133.1300000000047</v>
      </c>
      <c r="DE8" s="21">
        <f t="shared" si="55"/>
        <v>-5325.1300000000047</v>
      </c>
      <c r="DF8" s="21">
        <f t="shared" si="55"/>
        <v>716.57000000000698</v>
      </c>
      <c r="DG8" s="21">
        <f t="shared" si="55"/>
        <v>-2399.9900000000052</v>
      </c>
      <c r="DH8" s="21">
        <f t="shared" si="55"/>
        <v>1541.2200000000012</v>
      </c>
      <c r="DI8" s="28">
        <f t="shared" ref="DI8:DJ8" si="56">SUM(DI7-DH7)/DH7</f>
        <v>-0.15844826065511214</v>
      </c>
      <c r="DJ8" s="28">
        <f t="shared" si="56"/>
        <v>-0.16805824452214366</v>
      </c>
      <c r="DK8" s="28">
        <f t="shared" ref="DK8:FL8" si="57">(DK7-DJ7)/DJ7</f>
        <v>0.25404607032566601</v>
      </c>
      <c r="DL8" s="28">
        <f t="shared" si="57"/>
        <v>9.7576382464532804E-3</v>
      </c>
      <c r="DM8" s="28">
        <f t="shared" si="57"/>
        <v>-0.12625937709492577</v>
      </c>
      <c r="DN8" s="28">
        <f t="shared" si="57"/>
        <v>1.1190004427499532E-3</v>
      </c>
      <c r="DO8" s="28">
        <f t="shared" si="57"/>
        <v>-6.9038403064456688E-2</v>
      </c>
      <c r="DP8" s="28">
        <f t="shared" si="57"/>
        <v>0.13611143326424407</v>
      </c>
      <c r="DQ8" s="28">
        <f t="shared" si="57"/>
        <v>-2.9238723946774108E-2</v>
      </c>
      <c r="DR8" s="28">
        <f t="shared" si="57"/>
        <v>-0.12301067034980108</v>
      </c>
      <c r="DS8" s="28">
        <f t="shared" si="57"/>
        <v>-0.1141561905679371</v>
      </c>
      <c r="DT8" s="28">
        <f t="shared" si="57"/>
        <v>2.9713416720438167E-2</v>
      </c>
      <c r="DU8" s="28">
        <f t="shared" si="57"/>
        <v>0.34874183487516647</v>
      </c>
      <c r="DV8" s="28">
        <f t="shared" si="57"/>
        <v>-8.56685833477191E-3</v>
      </c>
      <c r="DW8" s="28">
        <f t="shared" si="57"/>
        <v>6.1396337544163418E-2</v>
      </c>
      <c r="DX8" s="28">
        <f t="shared" si="57"/>
        <v>0.11127418152111417</v>
      </c>
      <c r="DY8" s="28">
        <f t="shared" si="57"/>
        <v>-0.14163596485604332</v>
      </c>
      <c r="DZ8" s="28">
        <f t="shared" si="57"/>
        <v>-0.25588825668182924</v>
      </c>
      <c r="EA8" s="28">
        <f t="shared" si="57"/>
        <v>-1.5704009368203813E-2</v>
      </c>
      <c r="EB8" s="28">
        <f t="shared" si="57"/>
        <v>0.11599744609203355</v>
      </c>
      <c r="EC8" s="28">
        <f t="shared" si="57"/>
        <v>2.7424380910705884E-2</v>
      </c>
      <c r="ED8" s="28">
        <f t="shared" si="57"/>
        <v>-6.6766967445479997E-2</v>
      </c>
      <c r="EE8" s="28">
        <f t="shared" si="57"/>
        <v>-8.918075246375709E-2</v>
      </c>
      <c r="EF8" s="28">
        <f t="shared" si="57"/>
        <v>0.13786003805064023</v>
      </c>
      <c r="EG8" s="28">
        <f t="shared" si="57"/>
        <v>0.26732192254936749</v>
      </c>
      <c r="EH8" s="28">
        <f t="shared" si="57"/>
        <v>-0.16779198069646387</v>
      </c>
      <c r="EI8" s="28">
        <f t="shared" si="57"/>
        <v>4.3691247292062509E-2</v>
      </c>
      <c r="EJ8" s="28">
        <f t="shared" si="57"/>
        <v>-8.4005709288082608E-3</v>
      </c>
      <c r="EK8" s="28">
        <f t="shared" si="57"/>
        <v>-1.530702387657969E-2</v>
      </c>
      <c r="EL8" s="28">
        <f t="shared" si="57"/>
        <v>0.23794635557870808</v>
      </c>
      <c r="EM8" s="28">
        <f t="shared" si="57"/>
        <v>4.9527749515271294E-2</v>
      </c>
      <c r="EN8" s="28">
        <f t="shared" si="57"/>
        <v>-0.11127006207135597</v>
      </c>
      <c r="EO8" s="28">
        <f t="shared" si="57"/>
        <v>0.22297469874583514</v>
      </c>
      <c r="EP8" s="28">
        <f t="shared" si="57"/>
        <v>-0.16411304722159673</v>
      </c>
      <c r="EQ8" s="28">
        <f t="shared" si="57"/>
        <v>5.6356502325663783E-2</v>
      </c>
      <c r="ER8" s="28">
        <f t="shared" si="57"/>
        <v>-7.4263992574648899E-2</v>
      </c>
      <c r="ES8" s="28">
        <f t="shared" si="57"/>
        <v>-5.6877421001866393E-2</v>
      </c>
      <c r="ET8" s="28">
        <f t="shared" si="57"/>
        <v>1.2180176766133297E-2</v>
      </c>
      <c r="EU8" s="28">
        <f t="shared" si="57"/>
        <v>0.35322665694724664</v>
      </c>
      <c r="EV8" s="28">
        <f t="shared" si="57"/>
        <v>-0.22860905422725358</v>
      </c>
      <c r="EW8" s="28">
        <f t="shared" si="57"/>
        <v>0.26954845547620787</v>
      </c>
      <c r="EX8" s="28">
        <f t="shared" si="57"/>
        <v>-0.1524221035460088</v>
      </c>
      <c r="EY8" s="28">
        <f t="shared" si="57"/>
        <v>0.19231399152531481</v>
      </c>
      <c r="EZ8" s="28">
        <f t="shared" si="57"/>
        <v>4.9304892404461953E-2</v>
      </c>
      <c r="FA8" s="28">
        <f t="shared" si="57"/>
        <v>-8.2200673572227323E-2</v>
      </c>
      <c r="FB8" s="28">
        <f t="shared" si="57"/>
        <v>-2.8938939549878296E-2</v>
      </c>
      <c r="FC8" s="28">
        <f t="shared" si="57"/>
        <v>4.3350985196439158E-2</v>
      </c>
      <c r="FD8" s="28">
        <f t="shared" si="57"/>
        <v>1.8915437875635176E-2</v>
      </c>
      <c r="FE8" s="28">
        <f t="shared" si="57"/>
        <v>-1.5761582796133763E-2</v>
      </c>
      <c r="FF8" s="28">
        <f t="shared" si="57"/>
        <v>0.10305272469194207</v>
      </c>
      <c r="FG8" s="28">
        <f t="shared" si="57"/>
        <v>-8.9862652520036349E-2</v>
      </c>
      <c r="FH8" s="28">
        <f t="shared" si="57"/>
        <v>-7.4954772360223812E-2</v>
      </c>
      <c r="FI8" s="28">
        <f t="shared" si="57"/>
        <v>-0.12463900022133581</v>
      </c>
      <c r="FJ8" s="28">
        <f t="shared" si="57"/>
        <v>0.20743369496342892</v>
      </c>
      <c r="FK8" s="28">
        <f t="shared" si="57"/>
        <v>-0.22409228606628351</v>
      </c>
      <c r="FL8" s="28">
        <f t="shared" si="57"/>
        <v>-6.1412150357678101E-2</v>
      </c>
      <c r="FM8" s="28">
        <f t="shared" ref="FM8:GL8" si="58">(FM7-FL7)/FL7</f>
        <v>7.894461782996641E-2</v>
      </c>
      <c r="FN8" s="28">
        <f t="shared" si="58"/>
        <v>-6.8896278965062216E-2</v>
      </c>
      <c r="FO8" s="28">
        <f t="shared" si="58"/>
        <v>6.7180082432220276E-2</v>
      </c>
      <c r="FP8" s="28">
        <f t="shared" si="58"/>
        <v>0.15210283780617787</v>
      </c>
      <c r="FQ8" s="28">
        <f t="shared" si="58"/>
        <v>-9.7074705784661458E-2</v>
      </c>
      <c r="FR8" s="28">
        <f t="shared" si="58"/>
        <v>-5.9489404288488777E-2</v>
      </c>
      <c r="FS8" s="28">
        <f t="shared" si="58"/>
        <v>-2.9420699185521433E-2</v>
      </c>
      <c r="FT8" s="28">
        <f t="shared" si="58"/>
        <v>2.0792392224155371E-2</v>
      </c>
      <c r="FU8" s="28">
        <f t="shared" si="58"/>
        <v>-5.0814077084661652E-2</v>
      </c>
      <c r="FV8" s="28">
        <f t="shared" si="58"/>
        <v>0.13593323396911813</v>
      </c>
      <c r="FW8" s="28">
        <f t="shared" si="58"/>
        <v>0.14788154485626634</v>
      </c>
      <c r="FX8" s="28">
        <f t="shared" si="58"/>
        <v>0.22140598217776139</v>
      </c>
      <c r="FY8" s="28">
        <f t="shared" si="58"/>
        <v>-0.38637532363482785</v>
      </c>
      <c r="FZ8" s="28">
        <f t="shared" si="58"/>
        <v>0.52638800258313012</v>
      </c>
      <c r="GA8" s="28">
        <f t="shared" si="58"/>
        <v>-0.35623242614934214</v>
      </c>
      <c r="GB8" s="28">
        <f t="shared" si="58"/>
        <v>0.19725700119699346</v>
      </c>
      <c r="GC8" s="28">
        <f t="shared" si="58"/>
        <v>-0.44899660663520963</v>
      </c>
      <c r="GD8" s="28">
        <f t="shared" si="58"/>
        <v>0.6592676756233401</v>
      </c>
      <c r="GE8" s="28">
        <f t="shared" si="58"/>
        <v>-3.8208090534694358E-2</v>
      </c>
      <c r="GF8" s="28">
        <f t="shared" si="58"/>
        <v>9.5159746175420751E-2</v>
      </c>
      <c r="GG8" s="28">
        <f t="shared" si="58"/>
        <v>-4.6188624771599171E-2</v>
      </c>
      <c r="GH8" s="28">
        <f t="shared" si="58"/>
        <v>1.069542117337134E-2</v>
      </c>
      <c r="GI8" s="28">
        <f t="shared" si="58"/>
        <v>3.8374777559546859E-2</v>
      </c>
      <c r="GJ8" s="28">
        <f t="shared" si="58"/>
        <v>0.24010435016268902</v>
      </c>
      <c r="GK8" s="28">
        <f t="shared" si="58"/>
        <v>-0.11776606853051211</v>
      </c>
      <c r="GL8" s="28">
        <f t="shared" si="58"/>
        <v>-9.1991924228335145E-2</v>
      </c>
      <c r="GM8" s="28">
        <f t="shared" ref="GM8" si="59">(GM7-GL7)/GL7</f>
        <v>0.27115226117614755</v>
      </c>
      <c r="GN8" s="28">
        <f t="shared" ref="GN8" si="60">(GN7-GM7)/GM7</f>
        <v>-8.3737277772191945E-3</v>
      </c>
      <c r="GO8" s="28">
        <f t="shared" ref="GO8:GR8" si="61">(GO7-GN7)/GN7</f>
        <v>-0.19700619547010917</v>
      </c>
      <c r="GP8" s="28">
        <f t="shared" si="61"/>
        <v>9.6705932320884605E-2</v>
      </c>
      <c r="GQ8" s="28">
        <f t="shared" si="61"/>
        <v>9.4028927276963381E-2</v>
      </c>
      <c r="GR8" s="165">
        <f t="shared" si="61"/>
        <v>-2.9462538641326474E-2</v>
      </c>
      <c r="GS8" s="155"/>
      <c r="GU8" s="95" t="s">
        <v>368</v>
      </c>
      <c r="GV8" s="105">
        <f>LABOUR!AG44</f>
        <v>0.3412822166586178</v>
      </c>
      <c r="GW8" s="57"/>
      <c r="GX8" s="57"/>
      <c r="GY8" s="57"/>
      <c r="GZ8" s="57"/>
      <c r="HA8" s="57"/>
    </row>
    <row r="9" spans="1:209" s="7" customFormat="1" ht="15" customHeight="1" x14ac:dyDescent="0.3">
      <c r="A9" s="86"/>
      <c r="B9" s="22" t="s">
        <v>91</v>
      </c>
      <c r="C9" s="23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>
        <f t="shared" ref="BD9" si="62">D7</f>
        <v>43048.33</v>
      </c>
      <c r="BE9" s="25">
        <f t="shared" ref="BE9" si="63">E7</f>
        <v>39381.589999999997</v>
      </c>
      <c r="BF9" s="25">
        <f t="shared" ref="BF9" si="64">F7</f>
        <v>36720.9</v>
      </c>
      <c r="BG9" s="25">
        <f t="shared" ref="BG9" si="65">G7</f>
        <v>37138.339999999997</v>
      </c>
      <c r="BH9" s="25">
        <f t="shared" ref="BH9" si="66">H7</f>
        <v>38059.949999999997</v>
      </c>
      <c r="BI9" s="25">
        <f t="shared" ref="BI9" si="67">I7</f>
        <v>30117.440000000002</v>
      </c>
      <c r="BJ9" s="25">
        <f t="shared" ref="BJ9" si="68">J7</f>
        <v>32889.629999999997</v>
      </c>
      <c r="BK9" s="25">
        <f t="shared" ref="BK9" si="69">K7</f>
        <v>31166.469999999998</v>
      </c>
      <c r="BL9" s="25">
        <f t="shared" ref="BL9" si="70">L7</f>
        <v>25975.08</v>
      </c>
      <c r="BM9" s="25">
        <f t="shared" ref="BM9" si="71">M7</f>
        <v>28797.73</v>
      </c>
      <c r="BN9" s="25">
        <f t="shared" ref="BN9" si="72">N7</f>
        <v>17539.489999999998</v>
      </c>
      <c r="BO9" s="25">
        <f t="shared" ref="BO9" si="73">O7</f>
        <v>24723.75</v>
      </c>
      <c r="BP9" s="25">
        <f t="shared" ref="BP9" si="74">P7</f>
        <v>28401.35</v>
      </c>
      <c r="BQ9" s="25">
        <f t="shared" ref="BQ9" si="75">Q7</f>
        <v>23436.12</v>
      </c>
      <c r="BR9" s="25">
        <f t="shared" ref="BR9" si="76">R7</f>
        <v>27650.18</v>
      </c>
      <c r="BS9" s="25">
        <f t="shared" ref="BS9" si="77">S7</f>
        <v>23785.510000000002</v>
      </c>
      <c r="BT9" s="25">
        <f t="shared" ref="BT9" si="78">T7</f>
        <v>21393.040000000001</v>
      </c>
      <c r="BU9" s="25">
        <f t="shared" ref="BU9" si="79">U7</f>
        <v>26357.96</v>
      </c>
      <c r="BV9" s="25">
        <f t="shared" ref="BV9" si="80">V7</f>
        <v>26442.03</v>
      </c>
      <c r="BW9" s="25">
        <f t="shared" ref="BW9" si="81">W7</f>
        <v>28451.39</v>
      </c>
      <c r="BX9" s="25">
        <f t="shared" ref="BX9" si="82">X7</f>
        <v>35597.89</v>
      </c>
      <c r="BY9" s="25">
        <f t="shared" ref="BY9" si="83">Y7</f>
        <v>24569.940000000002</v>
      </c>
      <c r="BZ9" s="25">
        <f t="shared" ref="BZ9" si="84">Z7</f>
        <v>20055.45</v>
      </c>
      <c r="CA9" s="25">
        <f t="shared" ref="CA9" si="85">AA7</f>
        <v>17664.96</v>
      </c>
      <c r="CB9" s="25">
        <f t="shared" ref="CB9" si="86">AB7</f>
        <v>19750</v>
      </c>
      <c r="CC9" s="25">
        <f t="shared" ref="CC9" si="87">AC7</f>
        <v>19803.849999999999</v>
      </c>
      <c r="CD9" s="25">
        <f t="shared" ref="CD9" si="88">AD7</f>
        <v>23573.1</v>
      </c>
      <c r="CE9" s="25">
        <f t="shared" ref="CE9" si="89">AE7</f>
        <v>24539.42</v>
      </c>
      <c r="CF9" s="25">
        <f t="shared" ref="CF9" si="90">AF7</f>
        <v>32114.28</v>
      </c>
      <c r="CG9" s="25">
        <f t="shared" ref="CG9" si="91">AG7</f>
        <v>27743.870000000003</v>
      </c>
      <c r="CH9" s="25">
        <f t="shared" ref="CH9" si="92">AH7</f>
        <v>33478.6</v>
      </c>
      <c r="CI9" s="25">
        <f t="shared" ref="CI9" si="93">AI7</f>
        <v>27372.660000000003</v>
      </c>
      <c r="CJ9" s="25">
        <f t="shared" ref="CJ9" si="94">AJ7</f>
        <v>30194.720000000001</v>
      </c>
      <c r="CK9" s="25">
        <f t="shared" ref="CK9" si="95">AK7</f>
        <v>29561.690000000002</v>
      </c>
      <c r="CL9" s="25">
        <f t="shared" ref="CL9" si="96">AL7</f>
        <v>32879.770000000004</v>
      </c>
      <c r="CM9" s="25">
        <f t="shared" ref="CM9" si="97">AM7</f>
        <v>45552.39</v>
      </c>
      <c r="CN9" s="25">
        <f t="shared" ref="CN9" si="98">AN7</f>
        <v>40475.46</v>
      </c>
      <c r="CO9" s="25">
        <f t="shared" ref="CO9" si="99">AO7</f>
        <v>29112.53</v>
      </c>
      <c r="CP9" s="25">
        <f t="shared" ref="CP9" si="100">AP7</f>
        <v>39647.449999999997</v>
      </c>
      <c r="CQ9" s="25">
        <f t="shared" ref="CQ9" si="101">AQ7</f>
        <v>31288.059999999998</v>
      </c>
      <c r="CR9" s="25">
        <f t="shared" ref="CR9" si="102">AR7</f>
        <v>31271.119999999999</v>
      </c>
      <c r="CS9" s="25">
        <f t="shared" ref="CS9" si="103">AS7</f>
        <v>35954.61</v>
      </c>
      <c r="CT9" s="25">
        <f t="shared" ref="CT9" si="104">AT7</f>
        <v>41736.269999999997</v>
      </c>
      <c r="CU9" s="25">
        <f t="shared" ref="CU9" si="105">AU7</f>
        <v>49950.86</v>
      </c>
      <c r="CV9" s="25">
        <f t="shared" ref="CV9" si="106">AV7</f>
        <v>39390.479999999996</v>
      </c>
      <c r="CW9" s="25">
        <f t="shared" ref="CW9" si="107">AW7</f>
        <v>44679.479999999996</v>
      </c>
      <c r="CX9" s="25">
        <f t="shared" ref="CX9" si="108">AX7</f>
        <v>44910.020000000004</v>
      </c>
      <c r="CY9" s="25">
        <f t="shared" ref="CY9" si="109">AY7</f>
        <v>49865.16</v>
      </c>
      <c r="CZ9" s="25">
        <f t="shared" ref="CZ9" si="110">AZ7</f>
        <v>42997.62</v>
      </c>
      <c r="DA9" s="25">
        <f t="shared" ref="DA9" si="111">BA7</f>
        <v>42423.42</v>
      </c>
      <c r="DB9" s="25">
        <f t="shared" ref="DB9" si="112">BB7</f>
        <v>50829.619999999995</v>
      </c>
      <c r="DC9" s="25">
        <f t="shared" ref="DC9" si="113">BC7</f>
        <v>42352.53</v>
      </c>
      <c r="DD9" s="25">
        <f t="shared" ref="DD9" si="114">BD7</f>
        <v>51947.319999999992</v>
      </c>
      <c r="DE9" s="25">
        <f t="shared" ref="DE9" si="115">BE7</f>
        <v>44943.26</v>
      </c>
      <c r="DF9" s="25">
        <f t="shared" ref="DF9" si="116">BF7</f>
        <v>45324.28</v>
      </c>
      <c r="DG9" s="25">
        <f t="shared" ref="DG9" si="117">BG7</f>
        <v>53072.06</v>
      </c>
      <c r="DH9" s="25">
        <f t="shared" ref="DH9" si="118">BH7</f>
        <v>47244.47</v>
      </c>
      <c r="DI9" s="25">
        <f t="shared" ref="DI9" si="119">BI7</f>
        <v>47588.59</v>
      </c>
      <c r="DJ9" s="25">
        <f t="shared" ref="DJ9" si="120">BJ7</f>
        <v>43762.2</v>
      </c>
      <c r="DK9" s="25">
        <f t="shared" ref="DK9" si="121">BK7</f>
        <v>31184.87</v>
      </c>
      <c r="DL9" s="25">
        <f t="shared" ref="DL9" si="122">BL7</f>
        <v>38463</v>
      </c>
      <c r="DM9" s="25">
        <f t="shared" ref="DM9" si="123">BM7</f>
        <v>39692.520000000004</v>
      </c>
      <c r="DN9" s="25">
        <f t="shared" ref="DN9" si="124">BN7</f>
        <v>35080.649999999994</v>
      </c>
      <c r="DO9" s="25">
        <f t="shared" ref="DO9" si="125">BO7</f>
        <v>34634.94</v>
      </c>
      <c r="DP9" s="25">
        <f t="shared" ref="DP9" si="126">BP7</f>
        <v>34330.050000000003</v>
      </c>
      <c r="DQ9" s="25">
        <f t="shared" ref="DQ9" si="127">BQ7</f>
        <v>31395.149999999998</v>
      </c>
      <c r="DR9" s="25">
        <f t="shared" ref="DR9" si="128">BR7</f>
        <v>36213</v>
      </c>
      <c r="DS9" s="25">
        <f t="shared" ref="DS9" si="129">BS7</f>
        <v>41410.770000000004</v>
      </c>
      <c r="DT9" s="25">
        <f t="shared" ref="DT9" si="130">BT7</f>
        <v>34011.770000000004</v>
      </c>
      <c r="DU9" s="25">
        <f t="shared" ref="DU9" si="131">BU7</f>
        <v>35629.440000000002</v>
      </c>
      <c r="DV9" s="25">
        <f t="shared" ref="DV9" si="132">BV7</f>
        <v>44536.99</v>
      </c>
      <c r="DW9" s="25">
        <f t="shared" ref="DW9" si="133">BW7</f>
        <v>44166.39</v>
      </c>
      <c r="DX9" s="25">
        <f t="shared" ref="DX9" si="134">BX7</f>
        <v>49578.57</v>
      </c>
      <c r="DY9" s="25">
        <f t="shared" ref="DY9" si="135">BY7</f>
        <v>38176.03</v>
      </c>
      <c r="DZ9" s="25">
        <f t="shared" ref="DZ9" si="136">BZ7</f>
        <v>36775.839999999997</v>
      </c>
      <c r="EA9" s="25">
        <f t="shared" ref="EA9" si="137">CA7</f>
        <v>32090.400000000001</v>
      </c>
      <c r="EB9" s="25">
        <f t="shared" ref="EB9" si="138">CB7</f>
        <v>31904.29</v>
      </c>
      <c r="EC9" s="25">
        <f t="shared" ref="EC9" si="139">CC7</f>
        <v>31318.54</v>
      </c>
      <c r="ED9" s="25">
        <f t="shared" ref="ED9" si="140">CD7</f>
        <v>36332.82</v>
      </c>
      <c r="EE9" s="25">
        <f t="shared" ref="EE9" si="141">CE7</f>
        <v>34210.46</v>
      </c>
      <c r="EF9" s="25">
        <f t="shared" ref="EF9" si="142">CF7</f>
        <v>37656.44</v>
      </c>
      <c r="EG9" s="25">
        <f t="shared" ref="EG9" si="143">CG7</f>
        <v>33774.06</v>
      </c>
      <c r="EH9" s="25">
        <f t="shared" ref="EH9" si="144">CH7</f>
        <v>37928.949999999997</v>
      </c>
      <c r="EI9" s="25">
        <f t="shared" ref="EI9" si="145">CI7</f>
        <v>39346.47</v>
      </c>
      <c r="EJ9" s="25">
        <f t="shared" ref="EJ9" si="146">CJ7</f>
        <v>34952.269999999997</v>
      </c>
      <c r="EK9" s="25">
        <f t="shared" ref="EK9" si="147">CK7</f>
        <v>37053.53</v>
      </c>
      <c r="EL9" s="25">
        <f t="shared" ref="EL9" si="148">CL7</f>
        <v>47813.57</v>
      </c>
      <c r="EM9" s="25">
        <f t="shared" ref="EM9" si="149">CM7</f>
        <v>45008.45</v>
      </c>
      <c r="EN9" s="25">
        <f t="shared" ref="EN9" si="150">CN7</f>
        <v>46013.97</v>
      </c>
      <c r="EO9" s="25">
        <f t="shared" ref="EO9" si="151">CO7</f>
        <v>40280.18</v>
      </c>
      <c r="EP9" s="25">
        <f t="shared" ref="EP9" si="152">CP7</f>
        <v>38859.71</v>
      </c>
      <c r="EQ9" s="25">
        <f t="shared" ref="EQ9" si="153">CQ7</f>
        <v>47937.490000000005</v>
      </c>
      <c r="ER9" s="25">
        <f t="shared" ref="ER9" si="154">CR7</f>
        <v>46742.86</v>
      </c>
      <c r="ES9" s="25">
        <f t="shared" ref="ES9" si="155">CS7</f>
        <v>38160.57</v>
      </c>
      <c r="ET9" s="25">
        <f t="shared" ref="ET9" si="156">CT7</f>
        <v>52380.899999999994</v>
      </c>
      <c r="EU9" s="25">
        <f t="shared" ref="EU9" si="157">CU7</f>
        <v>50572.72</v>
      </c>
      <c r="EV9" s="25">
        <f t="shared" ref="EV9" si="158">CV7</f>
        <v>41780.97</v>
      </c>
      <c r="EW9" s="25">
        <f t="shared" ref="EW9" si="159">CW7</f>
        <v>51363.040000000001</v>
      </c>
      <c r="EX9" s="25">
        <f t="shared" ref="EX9" si="160">CX7</f>
        <v>54782.67</v>
      </c>
      <c r="EY9" s="25">
        <f t="shared" ref="EY9" si="161">CY7</f>
        <v>48609.16</v>
      </c>
      <c r="EZ9" s="25">
        <f t="shared" ref="EZ9" si="162">CZ7</f>
        <v>48355.34</v>
      </c>
      <c r="FA9" s="25">
        <f t="shared" ref="FA9" si="163">DA7</f>
        <v>56031.46</v>
      </c>
      <c r="FB9" s="25">
        <f t="shared" ref="FB9" si="164">DB7</f>
        <v>49366.35</v>
      </c>
      <c r="FC9" s="25">
        <f t="shared" ref="FC9" si="165">DC7</f>
        <v>52229.67</v>
      </c>
      <c r="FD9" s="25">
        <f t="shared" ref="FD9" si="166">DD7</f>
        <v>61362.8</v>
      </c>
      <c r="FE9" s="25">
        <f t="shared" ref="FE9" si="167">DE7</f>
        <v>56037.67</v>
      </c>
      <c r="FF9" s="25">
        <f t="shared" ref="FF9" si="168">DF7</f>
        <v>56754.240000000005</v>
      </c>
      <c r="FG9" s="25">
        <f t="shared" ref="FG9" si="169">DG7</f>
        <v>54354.25</v>
      </c>
      <c r="FH9" s="25">
        <f t="shared" ref="FH9" si="170">DH7</f>
        <v>55895.47</v>
      </c>
      <c r="FI9" s="25">
        <f t="shared" ref="FI9" si="171">DI7</f>
        <v>47038.93</v>
      </c>
      <c r="FJ9" s="25">
        <f t="shared" ref="FJ9" si="172">DJ7</f>
        <v>39133.65</v>
      </c>
      <c r="FK9" s="25">
        <f t="shared" ref="FK9" si="173">DK7</f>
        <v>49075.4</v>
      </c>
      <c r="FL9" s="25">
        <f t="shared" ref="FL9" si="174">DL7</f>
        <v>49554.259999999995</v>
      </c>
      <c r="FM9" s="25">
        <f t="shared" ref="FM9:FT9" si="175">DM7</f>
        <v>43297.57</v>
      </c>
      <c r="FN9" s="25">
        <f t="shared" si="175"/>
        <v>43346.02</v>
      </c>
      <c r="FO9" s="25">
        <f t="shared" si="175"/>
        <v>40353.479999999996</v>
      </c>
      <c r="FP9" s="25">
        <f t="shared" si="175"/>
        <v>45846.05</v>
      </c>
      <c r="FQ9" s="25">
        <f t="shared" si="175"/>
        <v>44505.57</v>
      </c>
      <c r="FR9" s="25">
        <f t="shared" si="175"/>
        <v>39030.910000000003</v>
      </c>
      <c r="FS9" s="25">
        <f t="shared" si="175"/>
        <v>34575.29</v>
      </c>
      <c r="FT9" s="25">
        <f t="shared" si="175"/>
        <v>35602.639999999999</v>
      </c>
      <c r="FU9" s="25">
        <f t="shared" ref="FU9:GL9" si="176">DU7</f>
        <v>48018.77</v>
      </c>
      <c r="FV9" s="25">
        <f t="shared" si="176"/>
        <v>47607.4</v>
      </c>
      <c r="FW9" s="25">
        <f t="shared" si="176"/>
        <v>50530.320000000007</v>
      </c>
      <c r="FX9" s="25">
        <f t="shared" si="176"/>
        <v>56153.039999999994</v>
      </c>
      <c r="FY9" s="25">
        <f t="shared" si="176"/>
        <v>48199.75</v>
      </c>
      <c r="FZ9" s="25">
        <f t="shared" si="176"/>
        <v>35866</v>
      </c>
      <c r="GA9" s="25">
        <f t="shared" si="176"/>
        <v>35302.76</v>
      </c>
      <c r="GB9" s="25">
        <f t="shared" si="176"/>
        <v>39397.79</v>
      </c>
      <c r="GC9" s="25">
        <f t="shared" si="176"/>
        <v>40478.25</v>
      </c>
      <c r="GD9" s="25">
        <f t="shared" si="176"/>
        <v>37775.64</v>
      </c>
      <c r="GE9" s="25">
        <f t="shared" si="176"/>
        <v>34406.78</v>
      </c>
      <c r="GF9" s="25">
        <f t="shared" si="176"/>
        <v>39150.100000000006</v>
      </c>
      <c r="GG9" s="25">
        <f t="shared" si="176"/>
        <v>49615.78</v>
      </c>
      <c r="GH9" s="25">
        <f t="shared" si="176"/>
        <v>41290.65</v>
      </c>
      <c r="GI9" s="25">
        <f t="shared" si="176"/>
        <v>43094.69</v>
      </c>
      <c r="GJ9" s="25">
        <f t="shared" si="176"/>
        <v>42732.67</v>
      </c>
      <c r="GK9" s="25">
        <f t="shared" si="176"/>
        <v>42078.559999999998</v>
      </c>
      <c r="GL9" s="25">
        <f t="shared" si="176"/>
        <v>52091</v>
      </c>
      <c r="GM9" s="25">
        <f t="shared" ref="GM9:GR9" si="177">EL7</f>
        <v>52091</v>
      </c>
      <c r="GN9" s="25">
        <f t="shared" si="177"/>
        <v>54670.95</v>
      </c>
      <c r="GO9" s="25">
        <f t="shared" si="177"/>
        <v>48587.71</v>
      </c>
      <c r="GP9" s="25">
        <f t="shared" si="177"/>
        <v>59421.54</v>
      </c>
      <c r="GQ9" s="25">
        <f t="shared" si="177"/>
        <v>49669.69</v>
      </c>
      <c r="GR9" s="164">
        <f t="shared" si="177"/>
        <v>52468.9</v>
      </c>
      <c r="GS9" s="155"/>
      <c r="GT9" s="3" t="s">
        <v>91</v>
      </c>
      <c r="GW9" s="57"/>
      <c r="GX9" s="57"/>
      <c r="GY9" s="57"/>
      <c r="GZ9" s="57"/>
      <c r="HA9" s="57"/>
    </row>
    <row r="10" spans="1:209" s="7" customFormat="1" ht="15" customHeight="1" x14ac:dyDescent="0.3">
      <c r="A10" s="86"/>
      <c r="B10" s="26" t="s">
        <v>366</v>
      </c>
      <c r="C10" s="27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28">
        <f t="shared" ref="BD10:DO10" si="178">(BD7-BD9)/BD9</f>
        <v>0.20672091112477511</v>
      </c>
      <c r="BE10" s="28">
        <f t="shared" si="178"/>
        <v>0.14122512575038251</v>
      </c>
      <c r="BF10" s="28">
        <f t="shared" si="178"/>
        <v>0.23429109852972005</v>
      </c>
      <c r="BG10" s="28">
        <f t="shared" si="178"/>
        <v>0.42903694672405934</v>
      </c>
      <c r="BH10" s="28">
        <f t="shared" si="178"/>
        <v>0.24131718512504627</v>
      </c>
      <c r="BI10" s="28">
        <f t="shared" si="178"/>
        <v>0.5801007655365128</v>
      </c>
      <c r="BJ10" s="28">
        <f t="shared" si="178"/>
        <v>0.33057744948787809</v>
      </c>
      <c r="BK10" s="28">
        <f t="shared" si="178"/>
        <v>5.9037805693110113E-4</v>
      </c>
      <c r="BL10" s="28">
        <f t="shared" si="178"/>
        <v>0.48076541053964023</v>
      </c>
      <c r="BM10" s="28">
        <f t="shared" si="178"/>
        <v>0.37832113850640325</v>
      </c>
      <c r="BN10" s="28">
        <f t="shared" si="178"/>
        <v>1.00009521371488</v>
      </c>
      <c r="BO10" s="28">
        <f t="shared" si="178"/>
        <v>0.40087729409980294</v>
      </c>
      <c r="BP10" s="28">
        <f t="shared" si="178"/>
        <v>0.20874711941509838</v>
      </c>
      <c r="BQ10" s="28">
        <f t="shared" si="178"/>
        <v>0.33960527595864842</v>
      </c>
      <c r="BR10" s="28">
        <f t="shared" si="178"/>
        <v>0.30968405992293718</v>
      </c>
      <c r="BS10" s="28">
        <f t="shared" si="178"/>
        <v>0.74100828613723235</v>
      </c>
      <c r="BT10" s="28">
        <f t="shared" si="178"/>
        <v>0.58985212012878963</v>
      </c>
      <c r="BU10" s="28">
        <f t="shared" si="178"/>
        <v>0.35175256355195939</v>
      </c>
      <c r="BV10" s="28">
        <f t="shared" si="178"/>
        <v>0.6843256739365321</v>
      </c>
      <c r="BW10" s="28">
        <f t="shared" si="178"/>
        <v>0.5523455971746899</v>
      </c>
      <c r="BX10" s="28">
        <f t="shared" si="178"/>
        <v>0.39273900784568977</v>
      </c>
      <c r="BY10" s="28">
        <f t="shared" si="178"/>
        <v>0.55376976907554498</v>
      </c>
      <c r="BZ10" s="28">
        <f t="shared" si="178"/>
        <v>0.83370804444677105</v>
      </c>
      <c r="CA10" s="28">
        <f t="shared" si="178"/>
        <v>0.81661322754198162</v>
      </c>
      <c r="CB10" s="28">
        <f t="shared" si="178"/>
        <v>0.61540708860759497</v>
      </c>
      <c r="CC10" s="28">
        <f t="shared" si="178"/>
        <v>0.58143694281667468</v>
      </c>
      <c r="CD10" s="28">
        <f t="shared" si="178"/>
        <v>0.54128307265484821</v>
      </c>
      <c r="CE10" s="28">
        <f t="shared" si="178"/>
        <v>0.39410222409494605</v>
      </c>
      <c r="CF10" s="28">
        <f t="shared" si="178"/>
        <v>0.17257618729113663</v>
      </c>
      <c r="CG10" s="28">
        <f t="shared" si="178"/>
        <v>0.21735215743153333</v>
      </c>
      <c r="CH10" s="28">
        <f t="shared" si="178"/>
        <v>0.13293118589188313</v>
      </c>
      <c r="CI10" s="28">
        <f t="shared" si="178"/>
        <v>0.43743684391652093</v>
      </c>
      <c r="CJ10" s="28">
        <f t="shared" si="178"/>
        <v>0.15756231553066216</v>
      </c>
      <c r="CK10" s="28">
        <f t="shared" si="178"/>
        <v>0.2534307071077464</v>
      </c>
      <c r="CL10" s="28">
        <f t="shared" si="178"/>
        <v>0.45419417471594214</v>
      </c>
      <c r="CM10" s="28">
        <f t="shared" si="178"/>
        <v>-1.1940976093680318E-2</v>
      </c>
      <c r="CN10" s="28">
        <f t="shared" si="178"/>
        <v>0.13683624596236837</v>
      </c>
      <c r="CO10" s="28">
        <f t="shared" si="178"/>
        <v>0.38360286790601855</v>
      </c>
      <c r="CP10" s="28">
        <f t="shared" si="178"/>
        <v>-1.9868617023288963E-2</v>
      </c>
      <c r="CQ10" s="28">
        <f t="shared" si="178"/>
        <v>0.53213366376822369</v>
      </c>
      <c r="CR10" s="28">
        <f t="shared" si="178"/>
        <v>0.49476130052265482</v>
      </c>
      <c r="CS10" s="28">
        <f t="shared" si="178"/>
        <v>6.1354023865089875E-2</v>
      </c>
      <c r="CT10" s="28">
        <f t="shared" si="178"/>
        <v>0.25504507230761153</v>
      </c>
      <c r="CU10" s="28">
        <f t="shared" si="178"/>
        <v>1.2449435305017784E-2</v>
      </c>
      <c r="CV10" s="28">
        <f t="shared" si="178"/>
        <v>6.0686998482882296E-2</v>
      </c>
      <c r="CW10" s="28">
        <f t="shared" si="178"/>
        <v>0.14958902834142218</v>
      </c>
      <c r="CX10" s="28">
        <f t="shared" si="178"/>
        <v>0.21983178809539594</v>
      </c>
      <c r="CY10" s="28">
        <f t="shared" si="178"/>
        <v>-2.5187926800996928E-2</v>
      </c>
      <c r="CZ10" s="28">
        <f t="shared" si="178"/>
        <v>0.12460503627875202</v>
      </c>
      <c r="DA10" s="28">
        <f t="shared" si="178"/>
        <v>0.32076716115768134</v>
      </c>
      <c r="DB10" s="28">
        <f t="shared" si="178"/>
        <v>-2.8787742265238201E-2</v>
      </c>
      <c r="DC10" s="28">
        <f t="shared" si="178"/>
        <v>0.23321251410482444</v>
      </c>
      <c r="DD10" s="28">
        <f t="shared" si="178"/>
        <v>0.18125054382016265</v>
      </c>
      <c r="DE10" s="28">
        <f t="shared" si="178"/>
        <v>0.24685369953136457</v>
      </c>
      <c r="DF10" s="28">
        <f t="shared" si="178"/>
        <v>0.25218183278366491</v>
      </c>
      <c r="DG10" s="28">
        <f t="shared" si="178"/>
        <v>2.4159416461316977E-2</v>
      </c>
      <c r="DH10" s="28">
        <f t="shared" si="178"/>
        <v>0.18311137790306464</v>
      </c>
      <c r="DI10" s="28">
        <f t="shared" si="178"/>
        <v>-1.1550247653901833E-2</v>
      </c>
      <c r="DJ10" s="28">
        <f t="shared" si="178"/>
        <v>-0.10576593498498695</v>
      </c>
      <c r="DK10" s="28">
        <f t="shared" si="178"/>
        <v>0.57369262722595937</v>
      </c>
      <c r="DL10" s="28">
        <f t="shared" si="178"/>
        <v>0.28836180225151431</v>
      </c>
      <c r="DM10" s="28">
        <f t="shared" si="178"/>
        <v>9.082441729575233E-2</v>
      </c>
      <c r="DN10" s="28">
        <f t="shared" si="178"/>
        <v>0.23561051462843488</v>
      </c>
      <c r="DO10" s="28">
        <f t="shared" si="178"/>
        <v>0.16510899109396446</v>
      </c>
      <c r="DP10" s="28">
        <f t="shared" ref="DP10:FM10" si="179">(DP7-DP9)/DP9</f>
        <v>0.33544955512735924</v>
      </c>
      <c r="DQ10" s="28">
        <f t="shared" si="179"/>
        <v>0.41759380031629101</v>
      </c>
      <c r="DR10" s="28">
        <f t="shared" si="179"/>
        <v>7.7814873111865995E-2</v>
      </c>
      <c r="DS10" s="28">
        <f t="shared" si="179"/>
        <v>-0.16506527166724991</v>
      </c>
      <c r="DT10" s="28">
        <f t="shared" si="179"/>
        <v>4.6774102024093281E-2</v>
      </c>
      <c r="DU10" s="28">
        <f t="shared" si="179"/>
        <v>0.34772732886062746</v>
      </c>
      <c r="DV10" s="28">
        <f t="shared" si="179"/>
        <v>6.8940671563120989E-2</v>
      </c>
      <c r="DW10" s="28">
        <f t="shared" si="179"/>
        <v>0.14408988373285678</v>
      </c>
      <c r="DX10" s="28">
        <f t="shared" si="179"/>
        <v>0.13260709213678398</v>
      </c>
      <c r="DY10" s="28">
        <f t="shared" si="179"/>
        <v>0.26256580372553145</v>
      </c>
      <c r="DZ10" s="28">
        <f t="shared" si="179"/>
        <v>-2.4740155493389045E-2</v>
      </c>
      <c r="EA10" s="28">
        <f t="shared" si="179"/>
        <v>0.10010345773190737</v>
      </c>
      <c r="EB10" s="28">
        <f t="shared" si="179"/>
        <v>0.23487436955970498</v>
      </c>
      <c r="EC10" s="28">
        <f t="shared" si="179"/>
        <v>0.29246925303669963</v>
      </c>
      <c r="ED10" s="28">
        <f t="shared" si="179"/>
        <v>3.9711203259202001E-2</v>
      </c>
      <c r="EE10" s="28">
        <f t="shared" si="179"/>
        <v>5.7385957394317328E-3</v>
      </c>
      <c r="EF10" s="28">
        <f t="shared" si="179"/>
        <v>3.9665459613282703E-2</v>
      </c>
      <c r="EG10" s="28">
        <f t="shared" si="179"/>
        <v>0.4690499158229719</v>
      </c>
      <c r="EH10" s="28">
        <f t="shared" si="179"/>
        <v>8.8631507067820345E-2</v>
      </c>
      <c r="EI10" s="28">
        <f t="shared" si="179"/>
        <v>9.5261912949242994E-2</v>
      </c>
      <c r="EJ10" s="28">
        <f t="shared" si="179"/>
        <v>0.22260070662077175</v>
      </c>
      <c r="EK10" s="28">
        <f t="shared" si="179"/>
        <v>0.13561541909772157</v>
      </c>
      <c r="EL10" s="28">
        <f t="shared" si="179"/>
        <v>8.9460586189234567E-2</v>
      </c>
      <c r="EM10" s="28">
        <f t="shared" si="179"/>
        <v>0.214681909730284</v>
      </c>
      <c r="EN10" s="28">
        <f t="shared" si="179"/>
        <v>5.5933882688235723E-2</v>
      </c>
      <c r="EO10" s="28">
        <f t="shared" si="179"/>
        <v>0.47520542361032153</v>
      </c>
      <c r="EP10" s="28">
        <f t="shared" si="179"/>
        <v>0.2781796364409308</v>
      </c>
      <c r="EQ10" s="28">
        <f t="shared" si="179"/>
        <v>9.4527477346018657E-2</v>
      </c>
      <c r="ER10" s="28">
        <f t="shared" si="179"/>
        <v>3.9139453597833024E-2</v>
      </c>
      <c r="ES10" s="28">
        <f t="shared" si="179"/>
        <v>0.20044538118796446</v>
      </c>
      <c r="ET10" s="28">
        <f t="shared" si="179"/>
        <v>-0.11479852388943286</v>
      </c>
      <c r="EU10" s="28">
        <f t="shared" si="179"/>
        <v>0.2407072429562816</v>
      </c>
      <c r="EV10" s="28">
        <f t="shared" si="179"/>
        <v>0.15846161541965159</v>
      </c>
      <c r="EW10" s="28">
        <f t="shared" si="179"/>
        <v>0.1963513063089723</v>
      </c>
      <c r="EX10" s="28">
        <f t="shared" si="179"/>
        <v>-4.9294786106628248E-2</v>
      </c>
      <c r="EY10" s="28">
        <f t="shared" si="179"/>
        <v>0.27750201813814512</v>
      </c>
      <c r="EZ10" s="28">
        <f t="shared" si="179"/>
        <v>0.34752542325211666</v>
      </c>
      <c r="FA10" s="28">
        <f t="shared" si="179"/>
        <v>6.7326284198198513E-2</v>
      </c>
      <c r="FB10" s="28">
        <f t="shared" si="179"/>
        <v>0.17637196187281426</v>
      </c>
      <c r="FC10" s="28">
        <f t="shared" si="179"/>
        <v>0.16008238229343597</v>
      </c>
      <c r="FD10" s="28">
        <f t="shared" si="179"/>
        <v>6.0952238163839339E-3</v>
      </c>
      <c r="FE10" s="28">
        <f t="shared" si="179"/>
        <v>8.4337553649179234E-2</v>
      </c>
      <c r="FF10" s="28">
        <f t="shared" si="179"/>
        <v>0.1809799585017787</v>
      </c>
      <c r="FG10" s="28">
        <f t="shared" si="179"/>
        <v>0.12231371051941654</v>
      </c>
      <c r="FH10" s="28">
        <f t="shared" si="179"/>
        <v>9.5646391380195088E-3</v>
      </c>
      <c r="FI10" s="28">
        <f t="shared" si="179"/>
        <v>5.0123801710625575E-2</v>
      </c>
      <c r="FJ10" s="28">
        <f t="shared" si="179"/>
        <v>0.52409090386406587</v>
      </c>
      <c r="FK10" s="28">
        <f t="shared" si="179"/>
        <v>-5.7009214392546977E-2</v>
      </c>
      <c r="FL10" s="28">
        <f t="shared" si="179"/>
        <v>-0.12347313833361645</v>
      </c>
      <c r="FM10" s="28">
        <f t="shared" si="179"/>
        <v>8.2385223928271301E-2</v>
      </c>
      <c r="FN10" s="28">
        <f t="shared" ref="FN10:FO10" si="180">(FN7-FN9)/FN9</f>
        <v>6.6864270352849416E-3</v>
      </c>
      <c r="FO10" s="28">
        <f t="shared" si="180"/>
        <v>0.15398498469029195</v>
      </c>
      <c r="FP10" s="28">
        <f t="shared" ref="FP10:FQ10" si="181">(FP7-FP9)/FP9</f>
        <v>0.17022796947610533</v>
      </c>
      <c r="FQ10" s="28">
        <f t="shared" si="181"/>
        <v>8.8453422796292813E-2</v>
      </c>
      <c r="FR10" s="28">
        <f t="shared" ref="FR10:FS10" si="182">(FR7-FR9)/FR9</f>
        <v>0.16729125710878887</v>
      </c>
      <c r="FS10" s="28">
        <f t="shared" si="182"/>
        <v>0.27894863643949197</v>
      </c>
      <c r="FT10" s="28">
        <f t="shared" ref="FT10:FU10" si="183">(FT7-FT9)/FT9</f>
        <v>0.26786833785359737</v>
      </c>
      <c r="FU10" s="28">
        <f t="shared" si="183"/>
        <v>-0.10772933167592588</v>
      </c>
      <c r="FV10" s="28">
        <f t="shared" ref="FV10:FW10" si="184">(FV7-FV9)/FV9</f>
        <v>2.2317958972764739E-2</v>
      </c>
      <c r="FW10" s="28">
        <f t="shared" si="184"/>
        <v>0.10561896303051299</v>
      </c>
      <c r="FX10" s="28">
        <f t="shared" ref="FX10:FY10" si="185">(FX7-FX9)/FX9</f>
        <v>0.21519030848552478</v>
      </c>
      <c r="FY10" s="28">
        <f t="shared" si="185"/>
        <v>-0.13128844029274009</v>
      </c>
      <c r="FZ10" s="28">
        <f t="shared" ref="FZ10:GA10" si="186">(FZ7-FZ9)/FZ9</f>
        <v>0.78197819662075507</v>
      </c>
      <c r="GA10" s="28">
        <f t="shared" si="186"/>
        <v>0.16548252884477013</v>
      </c>
      <c r="GB10" s="28">
        <f t="shared" ref="GB10:GC10" si="187">(GB7-GB9)/GB9</f>
        <v>0.25034526048288486</v>
      </c>
      <c r="GC10" s="28">
        <f t="shared" si="187"/>
        <v>-0.32944507235367143</v>
      </c>
      <c r="GD10" s="28">
        <f t="shared" ref="GD10:GE10" si="188">(GD7-GD9)/GD9</f>
        <v>0.19223181923588853</v>
      </c>
      <c r="GE10" s="28">
        <f t="shared" si="188"/>
        <v>0.25895332257188847</v>
      </c>
      <c r="GF10" s="28">
        <f t="shared" ref="GF10:GG10" si="189">(GF7-GF9)/GF9</f>
        <v>0.21170878235304608</v>
      </c>
      <c r="GG10" s="28">
        <f t="shared" si="189"/>
        <v>-8.8044166593773288E-2</v>
      </c>
      <c r="GH10" s="28">
        <f t="shared" ref="GH10:GI10" si="190">(GH7-GH9)/GH9</f>
        <v>0.10754710812254094</v>
      </c>
      <c r="GI10" s="28">
        <f t="shared" si="190"/>
        <v>0.10190536235438755</v>
      </c>
      <c r="GJ10" s="28">
        <f t="shared" ref="GJ10:GK10" si="191">(GJ7-GJ9)/GJ9</f>
        <v>0.37805407431831434</v>
      </c>
      <c r="GK10" s="28">
        <f t="shared" si="191"/>
        <v>0.23466511211410285</v>
      </c>
      <c r="GL10" s="28">
        <f t="shared" ref="GL10:GN10" si="192">(GL7-GL9)/GL9</f>
        <v>-9.4398648518938005E-2</v>
      </c>
      <c r="GM10" s="28">
        <f t="shared" ref="GM10" si="193">(GM7-GM9)/GM9</f>
        <v>0.15115720565932708</v>
      </c>
      <c r="GN10" s="28">
        <f t="shared" si="192"/>
        <v>8.764892506898099E-2</v>
      </c>
      <c r="GO10" s="28">
        <f t="shared" ref="GO10:GP10" si="194">(GO7-GO9)/GO9</f>
        <v>-1.7277002764690998E-2</v>
      </c>
      <c r="GP10" s="28">
        <f t="shared" si="194"/>
        <v>-0.11874044328033244</v>
      </c>
      <c r="GQ10" s="28">
        <f t="shared" ref="GQ10:GR10" si="195">(GQ7-GQ9)/GQ9</f>
        <v>0.15341368146247744</v>
      </c>
      <c r="GR10" s="109">
        <f t="shared" si="195"/>
        <v>5.9709656577515466E-2</v>
      </c>
      <c r="GS10" s="155"/>
      <c r="GT10" s="2" t="s">
        <v>94</v>
      </c>
      <c r="GU10" s="11"/>
      <c r="GV10" s="11"/>
      <c r="GW10" s="57"/>
      <c r="GX10" s="57"/>
      <c r="GY10" s="57"/>
      <c r="GZ10" s="57"/>
      <c r="HA10" s="57"/>
    </row>
    <row r="11" spans="1:209" s="2" customFormat="1" ht="7.5" customHeight="1" x14ac:dyDescent="0.3">
      <c r="A11" s="8"/>
      <c r="B11" s="29"/>
      <c r="C11" s="30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111"/>
      <c r="GS11" s="156"/>
      <c r="GT11" s="9"/>
      <c r="GU11" s="9"/>
      <c r="GV11" s="9"/>
    </row>
    <row r="12" spans="1:209" ht="15" customHeight="1" x14ac:dyDescent="0.3">
      <c r="A12" s="168" t="s">
        <v>1</v>
      </c>
      <c r="B12" s="33" t="s">
        <v>1</v>
      </c>
      <c r="C12" s="17" t="s">
        <v>23</v>
      </c>
      <c r="D12" s="17">
        <v>7610.5</v>
      </c>
      <c r="E12" s="17">
        <v>10441.75</v>
      </c>
      <c r="F12" s="17">
        <v>9527.7999999999993</v>
      </c>
      <c r="G12" s="17">
        <v>11075.05</v>
      </c>
      <c r="H12" s="17">
        <v>9164.25</v>
      </c>
      <c r="I12" s="17">
        <v>6835.3</v>
      </c>
      <c r="J12" s="17">
        <v>9807.25</v>
      </c>
      <c r="K12" s="17">
        <v>7345.75</v>
      </c>
      <c r="L12" s="17">
        <v>8007.25</v>
      </c>
      <c r="M12" s="17">
        <v>7614.9</v>
      </c>
      <c r="N12" s="17">
        <v>8751.0499999999993</v>
      </c>
      <c r="O12" s="17">
        <v>7277.15</v>
      </c>
      <c r="P12" s="17">
        <v>8236.2999999999993</v>
      </c>
      <c r="Q12" s="17">
        <v>6844.9</v>
      </c>
      <c r="R12" s="17">
        <v>8727.9</v>
      </c>
      <c r="S12" s="17">
        <v>8734.0499999999993</v>
      </c>
      <c r="T12" s="17">
        <v>7806.25</v>
      </c>
      <c r="U12" s="17">
        <v>7769.15</v>
      </c>
      <c r="V12" s="17">
        <v>8085.1</v>
      </c>
      <c r="W12" s="17">
        <v>7638.1</v>
      </c>
      <c r="X12" s="17">
        <v>8079.8</v>
      </c>
      <c r="Y12" s="17">
        <v>14240.45</v>
      </c>
      <c r="Z12" s="17">
        <v>7235.4</v>
      </c>
      <c r="AA12" s="17">
        <v>7851.9</v>
      </c>
      <c r="AB12" s="17">
        <v>8682.5499999999993</v>
      </c>
      <c r="AC12" s="17">
        <v>8149.7</v>
      </c>
      <c r="AD12" s="17">
        <v>9048.25</v>
      </c>
      <c r="AE12" s="17">
        <v>7498.8</v>
      </c>
      <c r="AF12" s="17">
        <v>9434.4500000000007</v>
      </c>
      <c r="AG12" s="17">
        <v>7750.6</v>
      </c>
      <c r="AH12" s="17">
        <v>7604.15</v>
      </c>
      <c r="AI12" s="17">
        <v>6945.75</v>
      </c>
      <c r="AJ12" s="17">
        <v>9546.9</v>
      </c>
      <c r="AK12" s="17">
        <v>8599.7000000000007</v>
      </c>
      <c r="AL12" s="17">
        <v>8745.2999999999993</v>
      </c>
      <c r="AM12" s="17">
        <v>13471.05</v>
      </c>
      <c r="AN12" s="17">
        <v>9910.5499999999993</v>
      </c>
      <c r="AO12" s="17">
        <v>8436.25</v>
      </c>
      <c r="AP12" s="17">
        <v>10773.1</v>
      </c>
      <c r="AQ12" s="17">
        <v>9525.2999999999993</v>
      </c>
      <c r="AR12" s="17">
        <v>9285.6</v>
      </c>
      <c r="AS12" s="17">
        <v>8927.75</v>
      </c>
      <c r="AT12" s="17">
        <v>11138.85</v>
      </c>
      <c r="AU12" s="17">
        <v>12240.15</v>
      </c>
      <c r="AV12" s="17">
        <v>10562.3</v>
      </c>
      <c r="AW12" s="17">
        <v>10782.2</v>
      </c>
      <c r="AX12" s="17">
        <v>10372.950000000001</v>
      </c>
      <c r="AY12" s="17">
        <v>9081.17</v>
      </c>
      <c r="AZ12" s="17">
        <v>10403.700000000001</v>
      </c>
      <c r="BA12" s="17">
        <v>13064.65</v>
      </c>
      <c r="BB12" s="17">
        <v>12091.65</v>
      </c>
      <c r="BC12" s="17">
        <v>11711.2</v>
      </c>
      <c r="BD12" s="17">
        <v>11350.2</v>
      </c>
      <c r="BE12" s="17">
        <v>11916.85</v>
      </c>
      <c r="BF12" s="17">
        <v>10187.700000000001</v>
      </c>
      <c r="BG12" s="17">
        <v>10833.61</v>
      </c>
      <c r="BH12" s="17">
        <v>11004.7</v>
      </c>
      <c r="BI12" s="17">
        <v>9325.5</v>
      </c>
      <c r="BJ12" s="17">
        <v>9086.35</v>
      </c>
      <c r="BK12" s="17">
        <v>7143.55</v>
      </c>
      <c r="BL12" s="17">
        <v>9489.9500000000007</v>
      </c>
      <c r="BM12" s="17">
        <v>7724.45</v>
      </c>
      <c r="BN12" s="17">
        <v>9782.25</v>
      </c>
      <c r="BO12" s="17">
        <v>9505.35</v>
      </c>
      <c r="BP12" s="17">
        <v>10397.450000000001</v>
      </c>
      <c r="BQ12" s="17">
        <v>9883</v>
      </c>
      <c r="BR12" s="17">
        <v>8651.85</v>
      </c>
      <c r="BS12" s="17">
        <v>6256.5</v>
      </c>
      <c r="BT12" s="17">
        <v>11310.4</v>
      </c>
      <c r="BU12" s="17">
        <v>9205.5499999999993</v>
      </c>
      <c r="BV12" s="17">
        <v>9930</v>
      </c>
      <c r="BW12" s="17">
        <v>10316.299999999999</v>
      </c>
      <c r="BX12" s="17">
        <v>12642.25</v>
      </c>
      <c r="BY12" s="17">
        <v>15042.2</v>
      </c>
      <c r="BZ12" s="17">
        <v>8972.4</v>
      </c>
      <c r="CA12" s="17">
        <v>8192</v>
      </c>
      <c r="CB12" s="17">
        <v>7838.95</v>
      </c>
      <c r="CC12" s="17">
        <v>7033.15</v>
      </c>
      <c r="CD12" s="17">
        <v>8960</v>
      </c>
      <c r="CE12" s="17">
        <v>10010.6</v>
      </c>
      <c r="CF12" s="17">
        <v>10913.35</v>
      </c>
      <c r="CG12" s="17">
        <v>7897.95</v>
      </c>
      <c r="CH12" s="17">
        <v>8858.6</v>
      </c>
      <c r="CI12" s="17">
        <v>9809.4</v>
      </c>
      <c r="CJ12" s="17">
        <v>7780.85</v>
      </c>
      <c r="CK12" s="17">
        <v>8315.1</v>
      </c>
      <c r="CL12" s="17">
        <v>11389.85</v>
      </c>
      <c r="CM12" s="17">
        <v>8761.7999999999993</v>
      </c>
      <c r="CN12" s="17">
        <v>8608.7999999999993</v>
      </c>
      <c r="CO12" s="17">
        <v>9047.75</v>
      </c>
      <c r="CP12" s="17">
        <v>8990.1</v>
      </c>
      <c r="CQ12" s="17">
        <v>10265.5</v>
      </c>
      <c r="CR12" s="17">
        <v>8240.2999999999993</v>
      </c>
      <c r="CS12" s="17">
        <v>8624.4</v>
      </c>
      <c r="CT12" s="17">
        <v>10941.15</v>
      </c>
      <c r="CU12" s="17">
        <v>10103.700000000001</v>
      </c>
      <c r="CV12" s="17">
        <v>9053</v>
      </c>
      <c r="CW12" s="17">
        <v>9549.6</v>
      </c>
      <c r="CX12" s="17">
        <v>7759.3</v>
      </c>
      <c r="CY12" s="17">
        <v>10390.85</v>
      </c>
      <c r="CZ12" s="17">
        <v>8295.9</v>
      </c>
      <c r="DA12" s="17">
        <v>9249.2000000000007</v>
      </c>
      <c r="DB12" s="17">
        <v>10048.450000000001</v>
      </c>
      <c r="DC12" s="17">
        <v>9196.2000000000007</v>
      </c>
      <c r="DD12" s="17">
        <v>10133.549999999999</v>
      </c>
      <c r="DE12" s="17">
        <v>10092.5</v>
      </c>
      <c r="DF12" s="17">
        <v>10894.65</v>
      </c>
      <c r="DG12" s="17">
        <v>12049.3</v>
      </c>
      <c r="DH12" s="17">
        <v>10319.6</v>
      </c>
      <c r="DI12" s="17">
        <v>8942.2000000000007</v>
      </c>
      <c r="DJ12" s="17">
        <v>7698.55</v>
      </c>
      <c r="DK12" s="17">
        <v>10418.9</v>
      </c>
      <c r="DL12" s="17">
        <v>10077.5</v>
      </c>
      <c r="DM12" s="17">
        <v>9813.5499999999993</v>
      </c>
      <c r="DN12" s="17">
        <v>10757.2</v>
      </c>
      <c r="DO12" s="17">
        <v>10980.5</v>
      </c>
      <c r="DP12" s="17">
        <v>13041.1</v>
      </c>
      <c r="DQ12" s="17">
        <v>11155.3</v>
      </c>
      <c r="DR12" s="17">
        <v>9204.15</v>
      </c>
      <c r="DS12" s="17">
        <v>9510.85</v>
      </c>
      <c r="DT12" s="17">
        <v>7175.3</v>
      </c>
      <c r="DU12" s="17">
        <v>11606.8</v>
      </c>
      <c r="DV12" s="17">
        <v>8984.9500000000007</v>
      </c>
      <c r="DW12" s="17">
        <v>9916.2000000000007</v>
      </c>
      <c r="DX12" s="17">
        <v>10946.85</v>
      </c>
      <c r="DY12" s="17">
        <v>14334.6</v>
      </c>
      <c r="DZ12" s="17">
        <v>13094.6</v>
      </c>
      <c r="EA12" s="17">
        <v>8513.75</v>
      </c>
      <c r="EB12" s="17">
        <v>9699.35</v>
      </c>
      <c r="EC12" s="17">
        <v>8547.65</v>
      </c>
      <c r="ED12" s="17">
        <v>8501.2000000000007</v>
      </c>
      <c r="EE12" s="17">
        <v>8133.7</v>
      </c>
      <c r="EF12" s="17">
        <v>8249.1</v>
      </c>
      <c r="EG12" s="17">
        <v>9196.85</v>
      </c>
      <c r="EH12" s="17">
        <v>9338.65</v>
      </c>
      <c r="EI12" s="17">
        <v>0</v>
      </c>
      <c r="EJ12" s="17">
        <v>7418.9</v>
      </c>
      <c r="EK12" s="17">
        <v>9073.7000000000007</v>
      </c>
      <c r="EL12" s="17">
        <v>10583.45</v>
      </c>
      <c r="EM12" s="17">
        <v>9728.2000000000007</v>
      </c>
      <c r="EN12" s="17">
        <v>10724</v>
      </c>
      <c r="EO12" s="17">
        <v>13932.1</v>
      </c>
      <c r="EP12" s="17">
        <v>11886.15</v>
      </c>
      <c r="EQ12" s="17">
        <v>10765.5</v>
      </c>
      <c r="ER12" s="17">
        <v>10082.85</v>
      </c>
      <c r="ES12" s="17">
        <v>10445.35</v>
      </c>
      <c r="ET12" s="17">
        <v>10463.200000000001</v>
      </c>
      <c r="EU12" s="17">
        <v>12655.3</v>
      </c>
      <c r="EV12" s="17">
        <v>11041.1</v>
      </c>
      <c r="EW12" s="17">
        <v>11224.45</v>
      </c>
      <c r="EX12" s="17">
        <v>8624.75</v>
      </c>
      <c r="EY12" s="17">
        <v>11019.4</v>
      </c>
      <c r="EZ12" s="17">
        <v>9807.7999999999993</v>
      </c>
      <c r="FA12" s="17">
        <v>10061.65</v>
      </c>
      <c r="FB12" s="17">
        <v>10544.5</v>
      </c>
      <c r="FC12" s="17">
        <v>10319.4</v>
      </c>
      <c r="FD12" s="17">
        <v>12275.2</v>
      </c>
      <c r="FE12" s="17">
        <v>12021.6</v>
      </c>
      <c r="FF12" s="17">
        <v>11865.4</v>
      </c>
      <c r="FG12" s="17">
        <v>11830.2</v>
      </c>
      <c r="FH12" s="17">
        <v>12529.3</v>
      </c>
      <c r="FI12" s="17">
        <v>9542.7000000000007</v>
      </c>
      <c r="FJ12" s="17">
        <v>11478.15</v>
      </c>
      <c r="FK12" s="17">
        <v>9923.7000000000007</v>
      </c>
      <c r="FL12" s="17">
        <v>9912.0499999999993</v>
      </c>
      <c r="FM12" s="17">
        <v>9840.5</v>
      </c>
      <c r="FN12" s="17">
        <v>9625.7000000000007</v>
      </c>
      <c r="FO12" s="17">
        <v>9210.25</v>
      </c>
      <c r="FP12" s="17">
        <v>10815.36</v>
      </c>
      <c r="FQ12" s="17">
        <v>10040</v>
      </c>
      <c r="FR12" s="17">
        <v>8415.1</v>
      </c>
      <c r="FS12" s="17">
        <v>10279.15</v>
      </c>
      <c r="FT12" s="17">
        <f>11345.65+350</f>
        <v>11695.65</v>
      </c>
      <c r="FU12" s="17">
        <v>9673.9</v>
      </c>
      <c r="FV12" s="17">
        <v>8172.55</v>
      </c>
      <c r="FW12" s="17">
        <v>9217.85</v>
      </c>
      <c r="FX12" s="17">
        <v>10922.25</v>
      </c>
      <c r="FY12" s="17">
        <v>9771.35</v>
      </c>
      <c r="FZ12" s="17">
        <v>18954.3</v>
      </c>
      <c r="GA12" s="17">
        <f>8002.1+368</f>
        <v>8370.1</v>
      </c>
      <c r="GB12" s="17">
        <v>8831.4</v>
      </c>
      <c r="GC12" s="17">
        <v>8976.2000000000007</v>
      </c>
      <c r="GD12" s="17">
        <v>8942.2999999999993</v>
      </c>
      <c r="GE12" s="17">
        <v>10406</v>
      </c>
      <c r="GF12" s="17">
        <v>9311.7000000000007</v>
      </c>
      <c r="GG12" s="17">
        <v>9995.2999999999993</v>
      </c>
      <c r="GH12" s="17">
        <v>8741.6</v>
      </c>
      <c r="GI12" s="17">
        <v>8897</v>
      </c>
      <c r="GJ12" s="17">
        <v>9421.35</v>
      </c>
      <c r="GK12" s="17">
        <v>10057.1</v>
      </c>
      <c r="GL12" s="17">
        <v>9034.85</v>
      </c>
      <c r="GM12" s="17">
        <v>12011.67</v>
      </c>
      <c r="GN12" s="17">
        <v>11298.05</v>
      </c>
      <c r="GO12" s="17">
        <v>10904.4</v>
      </c>
      <c r="GP12" s="17">
        <v>9760.7199999999993</v>
      </c>
      <c r="GQ12" s="17">
        <v>12211.85</v>
      </c>
      <c r="GR12" s="107">
        <v>9859.7800000000007</v>
      </c>
      <c r="GS12" s="153">
        <f>EQ12</f>
        <v>10765.5</v>
      </c>
      <c r="GT12" s="84" t="s">
        <v>23</v>
      </c>
      <c r="GU12" s="92" t="s">
        <v>369</v>
      </c>
      <c r="GV12" s="93"/>
      <c r="GW12" s="59"/>
      <c r="GX12" s="59"/>
      <c r="GY12" s="59"/>
      <c r="GZ12" s="59"/>
      <c r="HA12" s="59"/>
    </row>
    <row r="13" spans="1:209" ht="15" customHeight="1" x14ac:dyDescent="0.3">
      <c r="A13" s="169"/>
      <c r="B13" s="34"/>
      <c r="C13" s="17" t="s">
        <v>24</v>
      </c>
      <c r="D13" s="17">
        <v>11896.2</v>
      </c>
      <c r="E13" s="17">
        <v>13671.7</v>
      </c>
      <c r="F13" s="17">
        <v>14691.95</v>
      </c>
      <c r="G13" s="17">
        <v>16925.45</v>
      </c>
      <c r="H13" s="17">
        <v>12383.75</v>
      </c>
      <c r="I13" s="17">
        <v>11073.85</v>
      </c>
      <c r="J13" s="17">
        <v>12946.6</v>
      </c>
      <c r="K13" s="17">
        <v>11586.65</v>
      </c>
      <c r="L13" s="17">
        <v>12890</v>
      </c>
      <c r="M13" s="17">
        <v>12082.95</v>
      </c>
      <c r="N13" s="17">
        <v>12386.1</v>
      </c>
      <c r="O13" s="17">
        <v>12759</v>
      </c>
      <c r="P13" s="17">
        <v>13131</v>
      </c>
      <c r="Q13" s="17">
        <v>8816.4500000000007</v>
      </c>
      <c r="R13" s="17">
        <v>11703.55</v>
      </c>
      <c r="S13" s="17">
        <v>13299.25</v>
      </c>
      <c r="T13" s="17">
        <v>11497.25</v>
      </c>
      <c r="U13" s="17">
        <v>11540.3</v>
      </c>
      <c r="V13" s="17">
        <v>11037.35</v>
      </c>
      <c r="W13" s="17">
        <v>12937.65</v>
      </c>
      <c r="X13" s="17">
        <v>10753.25</v>
      </c>
      <c r="Y13" s="17">
        <v>17934.7</v>
      </c>
      <c r="Z13" s="17">
        <v>12885.95</v>
      </c>
      <c r="AA13" s="17">
        <v>10994.85</v>
      </c>
      <c r="AB13" s="17">
        <v>12250.25</v>
      </c>
      <c r="AC13" s="17">
        <v>12762.5</v>
      </c>
      <c r="AD13" s="17">
        <v>12983.05</v>
      </c>
      <c r="AE13" s="17">
        <v>11589.6</v>
      </c>
      <c r="AF13" s="17">
        <v>15630.85</v>
      </c>
      <c r="AG13" s="17">
        <v>11148.5</v>
      </c>
      <c r="AH13" s="17">
        <v>12420</v>
      </c>
      <c r="AI13" s="17">
        <v>11639.8</v>
      </c>
      <c r="AJ13" s="17">
        <v>15522.05</v>
      </c>
      <c r="AK13" s="17">
        <v>13316.9</v>
      </c>
      <c r="AL13" s="17">
        <v>14936.95</v>
      </c>
      <c r="AM13" s="17">
        <v>20858.849999999999</v>
      </c>
      <c r="AN13" s="17">
        <v>15947.55</v>
      </c>
      <c r="AO13" s="17">
        <v>12495.31</v>
      </c>
      <c r="AP13" s="17">
        <v>15963.3</v>
      </c>
      <c r="AQ13" s="17">
        <v>14711.3</v>
      </c>
      <c r="AR13" s="17">
        <v>12743.55</v>
      </c>
      <c r="AS13" s="17">
        <v>12670.3</v>
      </c>
      <c r="AT13" s="17">
        <v>16218.9</v>
      </c>
      <c r="AU13" s="17">
        <v>18922.900000000001</v>
      </c>
      <c r="AV13" s="17">
        <v>14937.6</v>
      </c>
      <c r="AW13" s="17">
        <v>16278.2</v>
      </c>
      <c r="AX13" s="17">
        <v>14049.15</v>
      </c>
      <c r="AY13" s="17">
        <v>12712.15</v>
      </c>
      <c r="AZ13" s="17">
        <v>14636.5</v>
      </c>
      <c r="BA13" s="17">
        <v>19965.349999999999</v>
      </c>
      <c r="BB13" s="17">
        <v>17651.8</v>
      </c>
      <c r="BC13" s="17">
        <v>18319.2</v>
      </c>
      <c r="BD13" s="17">
        <v>20735.900000000001</v>
      </c>
      <c r="BE13" s="17">
        <v>18349.7</v>
      </c>
      <c r="BF13" s="17">
        <v>16548</v>
      </c>
      <c r="BG13" s="17">
        <v>17568.599999999999</v>
      </c>
      <c r="BH13" s="17">
        <v>17007.400000000001</v>
      </c>
      <c r="BI13" s="17">
        <v>13540.5</v>
      </c>
      <c r="BJ13" s="17">
        <v>13933.15</v>
      </c>
      <c r="BK13" s="17">
        <v>12361.65</v>
      </c>
      <c r="BL13" s="17">
        <v>13398.5</v>
      </c>
      <c r="BM13" s="17">
        <v>11815.65</v>
      </c>
      <c r="BN13" s="17">
        <v>14275.87</v>
      </c>
      <c r="BO13" s="17">
        <v>15987.35</v>
      </c>
      <c r="BP13" s="17">
        <v>18503.3</v>
      </c>
      <c r="BQ13" s="17">
        <v>14137.55</v>
      </c>
      <c r="BR13" s="17">
        <v>12773.35</v>
      </c>
      <c r="BS13" s="17">
        <v>15046.55</v>
      </c>
      <c r="BT13" s="17">
        <v>15374.6</v>
      </c>
      <c r="BU13" s="17">
        <v>15223.5</v>
      </c>
      <c r="BV13" s="17">
        <v>16100.85</v>
      </c>
      <c r="BW13" s="17">
        <v>17608.599999999999</v>
      </c>
      <c r="BX13" s="17">
        <v>17346.650000000001</v>
      </c>
      <c r="BY13" s="17">
        <v>18584.55</v>
      </c>
      <c r="BZ13" s="17">
        <v>14889.8</v>
      </c>
      <c r="CA13" s="17">
        <v>14475.8</v>
      </c>
      <c r="CB13" s="17">
        <v>13637</v>
      </c>
      <c r="CC13" s="17">
        <v>12847.3</v>
      </c>
      <c r="CD13" s="17">
        <v>13115.1</v>
      </c>
      <c r="CE13" s="17">
        <v>14470.1</v>
      </c>
      <c r="CF13" s="17">
        <v>18325.7</v>
      </c>
      <c r="CG13" s="17">
        <v>12170.1</v>
      </c>
      <c r="CH13" s="17">
        <v>13429.6</v>
      </c>
      <c r="CI13" s="17">
        <v>16907.5</v>
      </c>
      <c r="CJ13" s="17">
        <v>11998.8</v>
      </c>
      <c r="CK13" s="17">
        <v>13835.7</v>
      </c>
      <c r="CL13" s="17">
        <v>16526.2</v>
      </c>
      <c r="CM13" s="17">
        <v>14199.3</v>
      </c>
      <c r="CN13" s="17">
        <v>13909.2</v>
      </c>
      <c r="CO13" s="17">
        <v>14495.4</v>
      </c>
      <c r="CP13" s="17">
        <v>14770.5</v>
      </c>
      <c r="CQ13" s="17">
        <v>15742.35</v>
      </c>
      <c r="CR13" s="17">
        <v>11570.65</v>
      </c>
      <c r="CS13" s="17">
        <v>13635.8</v>
      </c>
      <c r="CT13" s="17">
        <v>17146.349999999999</v>
      </c>
      <c r="CU13" s="17">
        <v>16242</v>
      </c>
      <c r="CV13" s="17">
        <v>13805.1</v>
      </c>
      <c r="CW13" s="17">
        <v>15318.3</v>
      </c>
      <c r="CX13" s="17">
        <v>12136.3</v>
      </c>
      <c r="CY13" s="17">
        <v>15584.1</v>
      </c>
      <c r="CZ13" s="17">
        <v>12949.35</v>
      </c>
      <c r="DA13" s="17">
        <v>14685.1</v>
      </c>
      <c r="DB13" s="17">
        <v>15402.45</v>
      </c>
      <c r="DC13" s="17">
        <v>15430.15</v>
      </c>
      <c r="DD13" s="17">
        <v>16090.8</v>
      </c>
      <c r="DE13" s="17">
        <v>15557.15</v>
      </c>
      <c r="DF13" s="17">
        <v>17080.05</v>
      </c>
      <c r="DG13" s="17">
        <v>19503.75</v>
      </c>
      <c r="DH13" s="17">
        <v>18204.25</v>
      </c>
      <c r="DI13" s="17">
        <v>14410.3</v>
      </c>
      <c r="DJ13" s="17">
        <v>12558.05</v>
      </c>
      <c r="DK13" s="17">
        <v>15763.8</v>
      </c>
      <c r="DL13" s="17">
        <v>15185.55</v>
      </c>
      <c r="DM13" s="17">
        <v>15108.2</v>
      </c>
      <c r="DN13" s="17">
        <v>15652.8</v>
      </c>
      <c r="DO13" s="17">
        <v>17343.95</v>
      </c>
      <c r="DP13" s="17">
        <v>19573.75</v>
      </c>
      <c r="DQ13" s="17">
        <v>18204.150000000001</v>
      </c>
      <c r="DR13" s="17">
        <v>13429.8</v>
      </c>
      <c r="DS13" s="17">
        <v>14088.65</v>
      </c>
      <c r="DT13" s="17">
        <v>12660.2</v>
      </c>
      <c r="DU13" s="17">
        <v>16438.45</v>
      </c>
      <c r="DV13" s="17">
        <v>12460.55</v>
      </c>
      <c r="DW13" s="17">
        <v>13702.45</v>
      </c>
      <c r="DX13" s="17">
        <v>16713.7</v>
      </c>
      <c r="DY13" s="17">
        <v>20518.05</v>
      </c>
      <c r="DZ13" s="17">
        <v>18965.55</v>
      </c>
      <c r="EA13" s="17">
        <v>13079</v>
      </c>
      <c r="EB13" s="17">
        <v>13744.2</v>
      </c>
      <c r="EC13" s="17">
        <v>13519</v>
      </c>
      <c r="ED13" s="17">
        <v>13859.55</v>
      </c>
      <c r="EE13" s="17">
        <v>11433.85</v>
      </c>
      <c r="EF13" s="17">
        <v>13316.55</v>
      </c>
      <c r="EG13" s="17">
        <v>13919.64</v>
      </c>
      <c r="EH13" s="17">
        <v>14957.55</v>
      </c>
      <c r="EI13" s="17">
        <v>0</v>
      </c>
      <c r="EJ13" s="17">
        <v>11444.6</v>
      </c>
      <c r="EK13" s="17">
        <v>13810.56</v>
      </c>
      <c r="EL13" s="17">
        <v>17068.099999999999</v>
      </c>
      <c r="EM13" s="17">
        <v>14639.35</v>
      </c>
      <c r="EN13" s="17">
        <v>15537.55</v>
      </c>
      <c r="EO13" s="17">
        <v>19609.05</v>
      </c>
      <c r="EP13" s="17">
        <v>17058.5</v>
      </c>
      <c r="EQ13" s="17">
        <v>16718.95</v>
      </c>
      <c r="ER13" s="17">
        <v>16296.6</v>
      </c>
      <c r="ES13" s="17">
        <v>13642</v>
      </c>
      <c r="ET13" s="17">
        <v>14615.5</v>
      </c>
      <c r="EU13" s="17">
        <v>16933.75</v>
      </c>
      <c r="EV13" s="17">
        <v>16280.8</v>
      </c>
      <c r="EW13" s="17">
        <v>15473.7</v>
      </c>
      <c r="EX13" s="17">
        <v>11613.1</v>
      </c>
      <c r="EY13" s="17">
        <v>15013.4</v>
      </c>
      <c r="EZ13" s="17">
        <v>13956.7</v>
      </c>
      <c r="FA13" s="17">
        <v>12825.62</v>
      </c>
      <c r="FB13" s="17">
        <v>16497.150000000001</v>
      </c>
      <c r="FC13" s="17">
        <v>14822.8</v>
      </c>
      <c r="FD13" s="17">
        <v>17680</v>
      </c>
      <c r="FE13" s="17">
        <v>16917.900000000001</v>
      </c>
      <c r="FF13" s="17">
        <v>16847.57</v>
      </c>
      <c r="FG13" s="17">
        <v>18096.7</v>
      </c>
      <c r="FH13" s="17">
        <v>18243.599999999999</v>
      </c>
      <c r="FI13" s="17">
        <v>14956.1</v>
      </c>
      <c r="FJ13" s="17">
        <v>15874.2</v>
      </c>
      <c r="FK13" s="17">
        <v>14357.4</v>
      </c>
      <c r="FL13" s="17">
        <v>14873.45</v>
      </c>
      <c r="FM13" s="17">
        <v>15607</v>
      </c>
      <c r="FN13" s="17">
        <v>14229.2</v>
      </c>
      <c r="FO13" s="17">
        <v>13047.7</v>
      </c>
      <c r="FP13" s="17">
        <v>16771.900000000001</v>
      </c>
      <c r="FQ13" s="17">
        <v>15696.3</v>
      </c>
      <c r="FR13" s="17">
        <v>11044.3</v>
      </c>
      <c r="FS13" s="17">
        <v>16611.900000000001</v>
      </c>
      <c r="FT13" s="17">
        <v>17538.650000000001</v>
      </c>
      <c r="FU13" s="17">
        <v>15067.8</v>
      </c>
      <c r="FV13" s="17">
        <v>13036.2</v>
      </c>
      <c r="FW13" s="17">
        <v>14291.15</v>
      </c>
      <c r="FX13" s="17">
        <v>14891.76</v>
      </c>
      <c r="FY13" s="17">
        <v>16977.2</v>
      </c>
      <c r="FZ13" s="17">
        <v>26815.55</v>
      </c>
      <c r="GA13" s="17">
        <v>12818.1</v>
      </c>
      <c r="GB13" s="17">
        <v>13081.18</v>
      </c>
      <c r="GC13" s="17">
        <v>14420.2</v>
      </c>
      <c r="GD13" s="17">
        <v>14037.2</v>
      </c>
      <c r="GE13" s="17">
        <v>14511.8</v>
      </c>
      <c r="GF13" s="17">
        <v>14124.5</v>
      </c>
      <c r="GG13" s="17">
        <v>15603.75</v>
      </c>
      <c r="GH13" s="17">
        <v>12221.5</v>
      </c>
      <c r="GI13" s="17">
        <v>13265.25</v>
      </c>
      <c r="GJ13" s="17">
        <v>16427.75</v>
      </c>
      <c r="GK13" s="17">
        <v>13748.75</v>
      </c>
      <c r="GL13" s="17">
        <v>12660</v>
      </c>
      <c r="GM13" s="17">
        <v>18977.73</v>
      </c>
      <c r="GN13" s="17">
        <v>19414.07</v>
      </c>
      <c r="GO13" s="17">
        <v>14457</v>
      </c>
      <c r="GP13" s="17">
        <v>14681.43</v>
      </c>
      <c r="GQ13" s="17">
        <v>17940.8</v>
      </c>
      <c r="GR13" s="107">
        <v>13990.67</v>
      </c>
      <c r="GS13" s="153">
        <f>EQ13</f>
        <v>16718.95</v>
      </c>
      <c r="GT13" s="5" t="s">
        <v>24</v>
      </c>
      <c r="GU13" s="94" t="s">
        <v>367</v>
      </c>
      <c r="GV13" s="104">
        <f>DRY!AG22</f>
        <v>0.63992203375535273</v>
      </c>
      <c r="GW13" s="55"/>
      <c r="GX13" s="55"/>
      <c r="GY13" s="55"/>
      <c r="GZ13" s="55"/>
      <c r="HA13" s="55"/>
    </row>
    <row r="14" spans="1:209" s="2" customFormat="1" ht="15" customHeight="1" x14ac:dyDescent="0.3">
      <c r="A14" s="169"/>
      <c r="B14" s="19" t="s">
        <v>21</v>
      </c>
      <c r="C14" s="20"/>
      <c r="D14" s="20">
        <f>SUM(D12:D13)</f>
        <v>19506.7</v>
      </c>
      <c r="E14" s="20">
        <f t="shared" ref="E14:BR14" si="196">SUM(E12:E13)</f>
        <v>24113.45</v>
      </c>
      <c r="F14" s="20">
        <f t="shared" si="196"/>
        <v>24219.75</v>
      </c>
      <c r="G14" s="20">
        <f t="shared" si="196"/>
        <v>28000.5</v>
      </c>
      <c r="H14" s="20">
        <f t="shared" si="196"/>
        <v>21548</v>
      </c>
      <c r="I14" s="20">
        <f t="shared" si="196"/>
        <v>17909.150000000001</v>
      </c>
      <c r="J14" s="20">
        <f t="shared" si="196"/>
        <v>22753.85</v>
      </c>
      <c r="K14" s="20">
        <f t="shared" si="196"/>
        <v>18932.400000000001</v>
      </c>
      <c r="L14" s="20">
        <f t="shared" si="196"/>
        <v>20897.25</v>
      </c>
      <c r="M14" s="20">
        <f t="shared" si="196"/>
        <v>19697.849999999999</v>
      </c>
      <c r="N14" s="20">
        <f t="shared" si="196"/>
        <v>21137.15</v>
      </c>
      <c r="O14" s="20">
        <f t="shared" si="196"/>
        <v>20036.150000000001</v>
      </c>
      <c r="P14" s="20">
        <f t="shared" si="196"/>
        <v>21367.3</v>
      </c>
      <c r="Q14" s="20">
        <f t="shared" si="196"/>
        <v>15661.35</v>
      </c>
      <c r="R14" s="20">
        <f t="shared" si="196"/>
        <v>20431.449999999997</v>
      </c>
      <c r="S14" s="20">
        <f t="shared" si="196"/>
        <v>22033.3</v>
      </c>
      <c r="T14" s="20">
        <f t="shared" si="196"/>
        <v>19303.5</v>
      </c>
      <c r="U14" s="20">
        <f t="shared" si="196"/>
        <v>19309.449999999997</v>
      </c>
      <c r="V14" s="20">
        <f t="shared" si="196"/>
        <v>19122.45</v>
      </c>
      <c r="W14" s="20">
        <f t="shared" si="196"/>
        <v>20575.75</v>
      </c>
      <c r="X14" s="20">
        <f t="shared" si="196"/>
        <v>18833.05</v>
      </c>
      <c r="Y14" s="20">
        <f t="shared" si="196"/>
        <v>32175.15</v>
      </c>
      <c r="Z14" s="20">
        <f t="shared" si="196"/>
        <v>20121.349999999999</v>
      </c>
      <c r="AA14" s="20">
        <f t="shared" si="196"/>
        <v>18846.75</v>
      </c>
      <c r="AB14" s="20">
        <f t="shared" si="196"/>
        <v>20932.8</v>
      </c>
      <c r="AC14" s="20">
        <f t="shared" si="196"/>
        <v>20912.2</v>
      </c>
      <c r="AD14" s="20">
        <f t="shared" si="196"/>
        <v>22031.3</v>
      </c>
      <c r="AE14" s="20">
        <f t="shared" si="196"/>
        <v>19088.400000000001</v>
      </c>
      <c r="AF14" s="20">
        <f t="shared" si="196"/>
        <v>25065.300000000003</v>
      </c>
      <c r="AG14" s="20">
        <f t="shared" si="196"/>
        <v>18899.099999999999</v>
      </c>
      <c r="AH14" s="20">
        <f t="shared" si="196"/>
        <v>20024.150000000001</v>
      </c>
      <c r="AI14" s="20">
        <f t="shared" si="196"/>
        <v>18585.55</v>
      </c>
      <c r="AJ14" s="20">
        <f t="shared" si="196"/>
        <v>25068.949999999997</v>
      </c>
      <c r="AK14" s="20">
        <f t="shared" si="196"/>
        <v>21916.6</v>
      </c>
      <c r="AL14" s="20">
        <f t="shared" si="196"/>
        <v>23682.25</v>
      </c>
      <c r="AM14" s="20">
        <f t="shared" si="196"/>
        <v>34329.899999999994</v>
      </c>
      <c r="AN14" s="20">
        <f t="shared" si="196"/>
        <v>25858.1</v>
      </c>
      <c r="AO14" s="20">
        <f t="shared" si="196"/>
        <v>20931.559999999998</v>
      </c>
      <c r="AP14" s="20">
        <f t="shared" si="196"/>
        <v>26736.400000000001</v>
      </c>
      <c r="AQ14" s="20">
        <f t="shared" si="196"/>
        <v>24236.6</v>
      </c>
      <c r="AR14" s="20">
        <f t="shared" si="196"/>
        <v>22029.15</v>
      </c>
      <c r="AS14" s="20">
        <f t="shared" si="196"/>
        <v>21598.05</v>
      </c>
      <c r="AT14" s="20">
        <f t="shared" si="196"/>
        <v>27357.75</v>
      </c>
      <c r="AU14" s="20">
        <f t="shared" si="196"/>
        <v>31163.050000000003</v>
      </c>
      <c r="AV14" s="20">
        <f t="shared" si="196"/>
        <v>25499.9</v>
      </c>
      <c r="AW14" s="20">
        <f t="shared" si="196"/>
        <v>27060.400000000001</v>
      </c>
      <c r="AX14" s="20">
        <f t="shared" si="196"/>
        <v>24422.1</v>
      </c>
      <c r="AY14" s="20">
        <f t="shared" si="196"/>
        <v>21793.32</v>
      </c>
      <c r="AZ14" s="20">
        <f t="shared" si="196"/>
        <v>25040.2</v>
      </c>
      <c r="BA14" s="20">
        <f t="shared" si="196"/>
        <v>33030</v>
      </c>
      <c r="BB14" s="20">
        <f t="shared" si="196"/>
        <v>29743.449999999997</v>
      </c>
      <c r="BC14" s="20">
        <f t="shared" si="196"/>
        <v>30030.400000000001</v>
      </c>
      <c r="BD14" s="20">
        <f t="shared" si="196"/>
        <v>32086.100000000002</v>
      </c>
      <c r="BE14" s="20">
        <f t="shared" si="196"/>
        <v>30266.550000000003</v>
      </c>
      <c r="BF14" s="20">
        <f t="shared" si="196"/>
        <v>26735.7</v>
      </c>
      <c r="BG14" s="20">
        <f t="shared" si="196"/>
        <v>28402.21</v>
      </c>
      <c r="BH14" s="20">
        <f t="shared" si="196"/>
        <v>28012.100000000002</v>
      </c>
      <c r="BI14" s="20">
        <f t="shared" si="196"/>
        <v>22866</v>
      </c>
      <c r="BJ14" s="20">
        <f t="shared" si="196"/>
        <v>23019.5</v>
      </c>
      <c r="BK14" s="20">
        <f t="shared" si="196"/>
        <v>19505.2</v>
      </c>
      <c r="BL14" s="20">
        <f t="shared" si="196"/>
        <v>22888.45</v>
      </c>
      <c r="BM14" s="20">
        <f t="shared" si="196"/>
        <v>19540.099999999999</v>
      </c>
      <c r="BN14" s="20">
        <f t="shared" si="196"/>
        <v>24058.120000000003</v>
      </c>
      <c r="BO14" s="20">
        <f t="shared" si="196"/>
        <v>25492.7</v>
      </c>
      <c r="BP14" s="20">
        <f t="shared" si="196"/>
        <v>28900.75</v>
      </c>
      <c r="BQ14" s="20">
        <f t="shared" si="196"/>
        <v>24020.55</v>
      </c>
      <c r="BR14" s="20">
        <f t="shared" si="196"/>
        <v>21425.200000000001</v>
      </c>
      <c r="BS14" s="20">
        <f t="shared" ref="BS14:BW14" si="197">SUM(BS12:BS13)</f>
        <v>21303.05</v>
      </c>
      <c r="BT14" s="20">
        <f t="shared" si="197"/>
        <v>26685</v>
      </c>
      <c r="BU14" s="20">
        <f t="shared" si="197"/>
        <v>24429.05</v>
      </c>
      <c r="BV14" s="20">
        <f t="shared" si="197"/>
        <v>26030.85</v>
      </c>
      <c r="BW14" s="20">
        <f t="shared" si="197"/>
        <v>27924.899999999998</v>
      </c>
      <c r="BX14" s="20">
        <f t="shared" ref="BX14:CN14" si="198">SUM(BX12:BX13)</f>
        <v>29988.9</v>
      </c>
      <c r="BY14" s="20">
        <f t="shared" si="198"/>
        <v>33626.75</v>
      </c>
      <c r="BZ14" s="20">
        <f t="shared" si="198"/>
        <v>23862.199999999997</v>
      </c>
      <c r="CA14" s="20">
        <f t="shared" si="198"/>
        <v>22667.8</v>
      </c>
      <c r="CB14" s="20">
        <f t="shared" si="198"/>
        <v>21475.95</v>
      </c>
      <c r="CC14" s="20">
        <f t="shared" si="198"/>
        <v>19880.449999999997</v>
      </c>
      <c r="CD14" s="20">
        <f t="shared" si="198"/>
        <v>22075.1</v>
      </c>
      <c r="CE14" s="20">
        <f t="shared" si="198"/>
        <v>24480.7</v>
      </c>
      <c r="CF14" s="20">
        <f t="shared" si="198"/>
        <v>29239.050000000003</v>
      </c>
      <c r="CG14" s="20">
        <f t="shared" si="198"/>
        <v>20068.05</v>
      </c>
      <c r="CH14" s="20">
        <f t="shared" si="198"/>
        <v>22288.2</v>
      </c>
      <c r="CI14" s="20">
        <f t="shared" si="198"/>
        <v>26716.9</v>
      </c>
      <c r="CJ14" s="20">
        <f t="shared" si="198"/>
        <v>19779.650000000001</v>
      </c>
      <c r="CK14" s="20">
        <f t="shared" si="198"/>
        <v>22150.800000000003</v>
      </c>
      <c r="CL14" s="20">
        <f t="shared" si="198"/>
        <v>27916.050000000003</v>
      </c>
      <c r="CM14" s="20">
        <f t="shared" si="198"/>
        <v>22961.1</v>
      </c>
      <c r="CN14" s="20">
        <f t="shared" si="198"/>
        <v>22518</v>
      </c>
      <c r="CO14" s="20">
        <f t="shared" ref="CO14:CZ14" si="199">SUM(CO12:CO13)</f>
        <v>23543.15</v>
      </c>
      <c r="CP14" s="20">
        <f t="shared" si="199"/>
        <v>23760.6</v>
      </c>
      <c r="CQ14" s="20">
        <f t="shared" si="199"/>
        <v>26007.85</v>
      </c>
      <c r="CR14" s="20">
        <f t="shared" si="199"/>
        <v>19810.949999999997</v>
      </c>
      <c r="CS14" s="20">
        <f t="shared" si="199"/>
        <v>22260.199999999997</v>
      </c>
      <c r="CT14" s="20">
        <f t="shared" si="199"/>
        <v>28087.5</v>
      </c>
      <c r="CU14" s="20">
        <f t="shared" si="199"/>
        <v>26345.7</v>
      </c>
      <c r="CV14" s="20">
        <f t="shared" si="199"/>
        <v>22858.1</v>
      </c>
      <c r="CW14" s="20">
        <f t="shared" si="199"/>
        <v>24867.9</v>
      </c>
      <c r="CX14" s="20">
        <f t="shared" si="199"/>
        <v>19895.599999999999</v>
      </c>
      <c r="CY14" s="20">
        <f t="shared" si="199"/>
        <v>25974.95</v>
      </c>
      <c r="CZ14" s="20">
        <f t="shared" si="199"/>
        <v>21245.25</v>
      </c>
      <c r="DA14" s="20">
        <f t="shared" ref="DA14:DB14" si="200">SUM(DA12:DA13)</f>
        <v>23934.300000000003</v>
      </c>
      <c r="DB14" s="20">
        <f t="shared" si="200"/>
        <v>25450.9</v>
      </c>
      <c r="DC14" s="20">
        <f t="shared" ref="DC14:DD14" si="201">SUM(DC12:DC13)</f>
        <v>24626.35</v>
      </c>
      <c r="DD14" s="20">
        <f t="shared" si="201"/>
        <v>26224.35</v>
      </c>
      <c r="DE14" s="20">
        <f t="shared" ref="DE14:DF14" si="202">SUM(DE12:DE13)</f>
        <v>25649.65</v>
      </c>
      <c r="DF14" s="20">
        <f t="shared" si="202"/>
        <v>27974.699999999997</v>
      </c>
      <c r="DG14" s="20">
        <f t="shared" ref="DG14:DH14" si="203">SUM(DG12:DG13)</f>
        <v>31553.05</v>
      </c>
      <c r="DH14" s="20">
        <f t="shared" si="203"/>
        <v>28523.85</v>
      </c>
      <c r="DI14" s="20">
        <f t="shared" ref="DI14:DJ14" si="204">SUM(DI12:DI13)</f>
        <v>23352.5</v>
      </c>
      <c r="DJ14" s="20">
        <f t="shared" si="204"/>
        <v>20256.599999999999</v>
      </c>
      <c r="DK14" s="20">
        <f t="shared" ref="DK14:DL14" si="205">SUM(DK12:DK13)</f>
        <v>26182.699999999997</v>
      </c>
      <c r="DL14" s="20">
        <f t="shared" si="205"/>
        <v>25263.05</v>
      </c>
      <c r="DM14" s="20">
        <f t="shared" ref="DM14:DN14" si="206">SUM(DM12:DM13)</f>
        <v>24921.75</v>
      </c>
      <c r="DN14" s="20">
        <f t="shared" si="206"/>
        <v>26410</v>
      </c>
      <c r="DO14" s="20">
        <f t="shared" ref="DO14:DP14" si="207">SUM(DO12:DO13)</f>
        <v>28324.45</v>
      </c>
      <c r="DP14" s="20">
        <f t="shared" si="207"/>
        <v>32614.85</v>
      </c>
      <c r="DQ14" s="20">
        <f t="shared" ref="DQ14:DR14" si="208">SUM(DQ12:DQ13)</f>
        <v>29359.45</v>
      </c>
      <c r="DR14" s="20">
        <f t="shared" si="208"/>
        <v>22633.949999999997</v>
      </c>
      <c r="DS14" s="20">
        <f t="shared" ref="DS14:DT14" si="209">SUM(DS12:DS13)</f>
        <v>23599.5</v>
      </c>
      <c r="DT14" s="20">
        <f t="shared" si="209"/>
        <v>19835.5</v>
      </c>
      <c r="DU14" s="20">
        <f t="shared" ref="DU14:DV14" si="210">SUM(DU12:DU13)</f>
        <v>28045.25</v>
      </c>
      <c r="DV14" s="20">
        <f t="shared" si="210"/>
        <v>21445.5</v>
      </c>
      <c r="DW14" s="20">
        <f t="shared" ref="DW14:DX14" si="211">SUM(DW12:DW13)</f>
        <v>23618.65</v>
      </c>
      <c r="DX14" s="20">
        <f t="shared" si="211"/>
        <v>27660.550000000003</v>
      </c>
      <c r="DY14" s="20">
        <f t="shared" ref="DY14:DZ14" si="212">SUM(DY12:DY13)</f>
        <v>34852.65</v>
      </c>
      <c r="DZ14" s="20">
        <f t="shared" si="212"/>
        <v>32060.15</v>
      </c>
      <c r="EA14" s="20">
        <f t="shared" ref="EA14:EB14" si="213">SUM(EA12:EA13)</f>
        <v>21592.75</v>
      </c>
      <c r="EB14" s="20">
        <f t="shared" si="213"/>
        <v>23443.550000000003</v>
      </c>
      <c r="EC14" s="20">
        <f t="shared" ref="EC14:ED14" si="214">SUM(EC12:EC13)</f>
        <v>22066.65</v>
      </c>
      <c r="ED14" s="20">
        <f t="shared" si="214"/>
        <v>22360.75</v>
      </c>
      <c r="EE14" s="20">
        <f t="shared" ref="EE14:EF14" si="215">SUM(EE12:EE13)</f>
        <v>19567.55</v>
      </c>
      <c r="EF14" s="20">
        <f t="shared" si="215"/>
        <v>21565.65</v>
      </c>
      <c r="EG14" s="20">
        <f t="shared" ref="EG14:EH14" si="216">SUM(EG12:EG13)</f>
        <v>23116.489999999998</v>
      </c>
      <c r="EH14" s="20">
        <f t="shared" si="216"/>
        <v>24296.199999999997</v>
      </c>
      <c r="EI14" s="20">
        <f t="shared" ref="EI14:EJ14" si="217">SUM(EI12:EI13)</f>
        <v>0</v>
      </c>
      <c r="EJ14" s="20">
        <f t="shared" si="217"/>
        <v>18863.5</v>
      </c>
      <c r="EK14" s="20">
        <f t="shared" ref="EK14:EL14" si="218">SUM(EK12:EK13)</f>
        <v>22884.260000000002</v>
      </c>
      <c r="EL14" s="20">
        <f t="shared" si="218"/>
        <v>27651.55</v>
      </c>
      <c r="EM14" s="20">
        <f t="shared" ref="EM14:EN14" si="219">SUM(EM12:EM13)</f>
        <v>24367.550000000003</v>
      </c>
      <c r="EN14" s="20">
        <f t="shared" si="219"/>
        <v>26261.55</v>
      </c>
      <c r="EO14" s="20">
        <f t="shared" ref="EO14:EP14" si="220">SUM(EO12:EO13)</f>
        <v>33541.15</v>
      </c>
      <c r="EP14" s="20">
        <f t="shared" si="220"/>
        <v>28944.65</v>
      </c>
      <c r="EQ14" s="20">
        <f t="shared" ref="EQ14:ER14" si="221">SUM(EQ12:EQ13)</f>
        <v>27484.45</v>
      </c>
      <c r="ER14" s="20">
        <f t="shared" si="221"/>
        <v>26379.45</v>
      </c>
      <c r="ES14" s="20">
        <f t="shared" ref="ES14:ET14" si="222">SUM(ES12:ES13)</f>
        <v>24087.35</v>
      </c>
      <c r="ET14" s="20">
        <f t="shared" si="222"/>
        <v>25078.7</v>
      </c>
      <c r="EU14" s="20">
        <f t="shared" ref="EU14:EV14" si="223">SUM(EU12:EU13)</f>
        <v>29589.05</v>
      </c>
      <c r="EV14" s="20">
        <f t="shared" si="223"/>
        <v>27321.9</v>
      </c>
      <c r="EW14" s="20">
        <f t="shared" ref="EW14:EX14" si="224">SUM(EW12:EW13)</f>
        <v>26698.15</v>
      </c>
      <c r="EX14" s="20">
        <f t="shared" si="224"/>
        <v>20237.849999999999</v>
      </c>
      <c r="EY14" s="20">
        <f t="shared" ref="EY14:EZ14" si="225">SUM(EY12:EY13)</f>
        <v>26032.799999999999</v>
      </c>
      <c r="EZ14" s="20">
        <f t="shared" si="225"/>
        <v>23764.5</v>
      </c>
      <c r="FA14" s="20">
        <f t="shared" ref="FA14:FB14" si="226">SUM(FA12:FA13)</f>
        <v>22887.27</v>
      </c>
      <c r="FB14" s="20">
        <f t="shared" si="226"/>
        <v>27041.65</v>
      </c>
      <c r="FC14" s="20">
        <f t="shared" ref="FC14:FD14" si="227">SUM(FC12:FC13)</f>
        <v>25142.199999999997</v>
      </c>
      <c r="FD14" s="20">
        <f t="shared" si="227"/>
        <v>29955.200000000001</v>
      </c>
      <c r="FE14" s="20">
        <f t="shared" ref="FE14:FF14" si="228">SUM(FE12:FE13)</f>
        <v>28939.5</v>
      </c>
      <c r="FF14" s="20">
        <f t="shared" si="228"/>
        <v>28712.97</v>
      </c>
      <c r="FG14" s="20">
        <f t="shared" ref="FG14:FH14" si="229">SUM(FG12:FG13)</f>
        <v>29926.9</v>
      </c>
      <c r="FH14" s="20">
        <f t="shared" si="229"/>
        <v>30772.899999999998</v>
      </c>
      <c r="FI14" s="20">
        <f t="shared" ref="FI14:FJ14" si="230">SUM(FI12:FI13)</f>
        <v>24498.800000000003</v>
      </c>
      <c r="FJ14" s="20">
        <f t="shared" si="230"/>
        <v>27352.35</v>
      </c>
      <c r="FK14" s="20">
        <f t="shared" ref="FK14:FL14" si="231">SUM(FK12:FK13)</f>
        <v>24281.1</v>
      </c>
      <c r="FL14" s="20">
        <f t="shared" si="231"/>
        <v>24785.5</v>
      </c>
      <c r="FM14" s="20">
        <f t="shared" ref="FM14:FN14" si="232">SUM(FM12:FM13)</f>
        <v>25447.5</v>
      </c>
      <c r="FN14" s="20">
        <f t="shared" si="232"/>
        <v>23854.9</v>
      </c>
      <c r="FO14" s="20">
        <f t="shared" ref="FO14:FP14" si="233">SUM(FO12:FO13)</f>
        <v>22257.95</v>
      </c>
      <c r="FP14" s="20">
        <f t="shared" si="233"/>
        <v>27587.260000000002</v>
      </c>
      <c r="FQ14" s="20">
        <f t="shared" ref="FQ14:FR14" si="234">SUM(FQ12:FQ13)</f>
        <v>25736.3</v>
      </c>
      <c r="FR14" s="20">
        <f t="shared" si="234"/>
        <v>19459.400000000001</v>
      </c>
      <c r="FS14" s="20">
        <f t="shared" ref="FS14:FT14" si="235">SUM(FS12:FS13)</f>
        <v>26891.050000000003</v>
      </c>
      <c r="FT14" s="20">
        <f t="shared" si="235"/>
        <v>29234.300000000003</v>
      </c>
      <c r="FU14" s="20">
        <f t="shared" ref="FU14:FV14" si="236">SUM(FU12:FU13)</f>
        <v>24741.699999999997</v>
      </c>
      <c r="FV14" s="20">
        <f t="shared" si="236"/>
        <v>21208.75</v>
      </c>
      <c r="FW14" s="20">
        <f t="shared" ref="FW14:FX14" si="237">SUM(FW12:FW13)</f>
        <v>23509</v>
      </c>
      <c r="FX14" s="20">
        <f t="shared" si="237"/>
        <v>25814.010000000002</v>
      </c>
      <c r="FY14" s="20">
        <f t="shared" ref="FY14:FZ14" si="238">SUM(FY12:FY13)</f>
        <v>26748.550000000003</v>
      </c>
      <c r="FZ14" s="20">
        <f t="shared" si="238"/>
        <v>45769.85</v>
      </c>
      <c r="GA14" s="20">
        <f t="shared" ref="GA14:GB14" si="239">SUM(GA12:GA13)</f>
        <v>21188.2</v>
      </c>
      <c r="GB14" s="20">
        <f t="shared" si="239"/>
        <v>21912.58</v>
      </c>
      <c r="GC14" s="20">
        <f t="shared" ref="GC14:GD14" si="240">SUM(GC12:GC13)</f>
        <v>23396.400000000001</v>
      </c>
      <c r="GD14" s="20">
        <f t="shared" si="240"/>
        <v>22979.5</v>
      </c>
      <c r="GE14" s="20">
        <f t="shared" ref="GE14:GF14" si="241">SUM(GE12:GE13)</f>
        <v>24917.8</v>
      </c>
      <c r="GF14" s="20">
        <f t="shared" si="241"/>
        <v>23436.2</v>
      </c>
      <c r="GG14" s="20">
        <f t="shared" ref="GG14:GH14" si="242">SUM(GG12:GG13)</f>
        <v>25599.05</v>
      </c>
      <c r="GH14" s="20">
        <f t="shared" si="242"/>
        <v>20963.099999999999</v>
      </c>
      <c r="GI14" s="20">
        <f t="shared" ref="GI14:GJ14" si="243">SUM(GI12:GI13)</f>
        <v>22162.25</v>
      </c>
      <c r="GJ14" s="20">
        <f t="shared" si="243"/>
        <v>25849.1</v>
      </c>
      <c r="GK14" s="20">
        <f t="shared" ref="GK14:GL14" si="244">SUM(GK12:GK13)</f>
        <v>23805.85</v>
      </c>
      <c r="GL14" s="20">
        <f t="shared" si="244"/>
        <v>21694.85</v>
      </c>
      <c r="GM14" s="20">
        <f t="shared" ref="GM14:GN14" si="245">SUM(GM12:GM13)</f>
        <v>30989.4</v>
      </c>
      <c r="GN14" s="20">
        <f t="shared" si="245"/>
        <v>30712.12</v>
      </c>
      <c r="GO14" s="20">
        <f t="shared" ref="GO14:GP14" si="246">SUM(GO12:GO13)</f>
        <v>25361.4</v>
      </c>
      <c r="GP14" s="20">
        <f t="shared" si="246"/>
        <v>24442.15</v>
      </c>
      <c r="GQ14" s="20">
        <f t="shared" ref="GQ14:GR14" si="247">SUM(GQ12:GQ13)</f>
        <v>30152.65</v>
      </c>
      <c r="GR14" s="108">
        <f t="shared" si="247"/>
        <v>23850.45</v>
      </c>
      <c r="GS14" s="154">
        <f t="shared" ref="GS14" si="248">SUM(GS12+GS13)</f>
        <v>27484.45</v>
      </c>
      <c r="GT14" s="10" t="str">
        <f>B12</f>
        <v>GROSVENOR ARMS</v>
      </c>
      <c r="GU14" s="139" t="s">
        <v>398</v>
      </c>
      <c r="GV14" s="140">
        <f>DRY!AH22</f>
        <v>0.65110900965745111</v>
      </c>
      <c r="GW14" s="56">
        <f>AVERAGE(ES14:GR14)</f>
        <v>25745.773269230769</v>
      </c>
      <c r="GX14" s="56">
        <f>AVERAGE(FS14:GR14)</f>
        <v>25666.548461538456</v>
      </c>
      <c r="GY14" s="56">
        <f>AVERAGE(GF14:GR14)</f>
        <v>25309.120769230773</v>
      </c>
      <c r="GZ14" s="56">
        <f>AVERAGE(GN14:GR14)</f>
        <v>26903.754000000004</v>
      </c>
      <c r="HA14" s="56">
        <f>MAX(D14:GR14)</f>
        <v>45769.85</v>
      </c>
    </row>
    <row r="15" spans="1:209" s="2" customFormat="1" ht="15" customHeight="1" x14ac:dyDescent="0.3">
      <c r="A15" s="169"/>
      <c r="B15" s="35" t="s">
        <v>365</v>
      </c>
      <c r="C15" s="36"/>
      <c r="D15" s="36"/>
      <c r="E15" s="36">
        <f>SUM(E14-D14)</f>
        <v>4606.75</v>
      </c>
      <c r="F15" s="37">
        <f t="shared" ref="F15:L15" si="249">SUM(F14-E14)</f>
        <v>106.29999999999927</v>
      </c>
      <c r="G15" s="37">
        <f t="shared" si="249"/>
        <v>3780.75</v>
      </c>
      <c r="H15" s="37">
        <f t="shared" si="249"/>
        <v>-6452.5</v>
      </c>
      <c r="I15" s="37">
        <f t="shared" si="249"/>
        <v>-3638.8499999999985</v>
      </c>
      <c r="J15" s="37">
        <f t="shared" si="249"/>
        <v>4844.6999999999971</v>
      </c>
      <c r="K15" s="37">
        <f t="shared" si="249"/>
        <v>-3821.4499999999971</v>
      </c>
      <c r="L15" s="37">
        <f t="shared" si="249"/>
        <v>1964.8499999999985</v>
      </c>
      <c r="M15" s="37">
        <f>SUM(M14-L14)</f>
        <v>-1199.4000000000015</v>
      </c>
      <c r="N15" s="37">
        <f t="shared" ref="N15:AN15" si="250">SUM(N14-M14)</f>
        <v>1439.3000000000029</v>
      </c>
      <c r="O15" s="37">
        <f t="shared" si="250"/>
        <v>-1101</v>
      </c>
      <c r="P15" s="37">
        <f t="shared" si="250"/>
        <v>1331.1499999999978</v>
      </c>
      <c r="Q15" s="37">
        <f t="shared" si="250"/>
        <v>-5705.9499999999989</v>
      </c>
      <c r="R15" s="37">
        <f t="shared" si="250"/>
        <v>4770.0999999999967</v>
      </c>
      <c r="S15" s="37">
        <f t="shared" si="250"/>
        <v>1601.8500000000022</v>
      </c>
      <c r="T15" s="37">
        <f t="shared" si="250"/>
        <v>-2729.7999999999993</v>
      </c>
      <c r="U15" s="37">
        <f t="shared" si="250"/>
        <v>5.9499999999970896</v>
      </c>
      <c r="V15" s="37">
        <f t="shared" si="250"/>
        <v>-186.99999999999636</v>
      </c>
      <c r="W15" s="37">
        <f t="shared" si="250"/>
        <v>1453.2999999999993</v>
      </c>
      <c r="X15" s="37">
        <f t="shared" si="250"/>
        <v>-1742.7000000000007</v>
      </c>
      <c r="Y15" s="37">
        <f t="shared" si="250"/>
        <v>13342.100000000002</v>
      </c>
      <c r="Z15" s="37">
        <f t="shared" si="250"/>
        <v>-12053.800000000003</v>
      </c>
      <c r="AA15" s="37">
        <f t="shared" si="250"/>
        <v>-1274.5999999999985</v>
      </c>
      <c r="AB15" s="37">
        <f t="shared" si="250"/>
        <v>2086.0499999999993</v>
      </c>
      <c r="AC15" s="37">
        <f t="shared" si="250"/>
        <v>-20.599999999998545</v>
      </c>
      <c r="AD15" s="37">
        <f t="shared" si="250"/>
        <v>1119.0999999999985</v>
      </c>
      <c r="AE15" s="37">
        <f t="shared" si="250"/>
        <v>-2942.8999999999978</v>
      </c>
      <c r="AF15" s="37">
        <f t="shared" si="250"/>
        <v>5976.9000000000015</v>
      </c>
      <c r="AG15" s="37">
        <f t="shared" si="250"/>
        <v>-6166.2000000000044</v>
      </c>
      <c r="AH15" s="37">
        <f t="shared" si="250"/>
        <v>1125.0500000000029</v>
      </c>
      <c r="AI15" s="37">
        <f t="shared" si="250"/>
        <v>-1438.6000000000022</v>
      </c>
      <c r="AJ15" s="37">
        <f t="shared" si="250"/>
        <v>6483.3999999999978</v>
      </c>
      <c r="AK15" s="37">
        <f t="shared" si="250"/>
        <v>-3152.3499999999985</v>
      </c>
      <c r="AL15" s="37">
        <f t="shared" si="250"/>
        <v>1765.6500000000015</v>
      </c>
      <c r="AM15" s="37">
        <f t="shared" si="250"/>
        <v>10647.649999999994</v>
      </c>
      <c r="AN15" s="37">
        <f t="shared" si="250"/>
        <v>-8471.7999999999956</v>
      </c>
      <c r="AO15" s="37">
        <f t="shared" ref="AO15:BA15" si="251">SUM(AO14-AN14)</f>
        <v>-4926.5400000000009</v>
      </c>
      <c r="AP15" s="37">
        <f t="shared" si="251"/>
        <v>5804.8400000000038</v>
      </c>
      <c r="AQ15" s="37">
        <f t="shared" si="251"/>
        <v>-2499.8000000000029</v>
      </c>
      <c r="AR15" s="37">
        <f t="shared" si="251"/>
        <v>-2207.4499999999971</v>
      </c>
      <c r="AS15" s="37">
        <f t="shared" si="251"/>
        <v>-431.10000000000218</v>
      </c>
      <c r="AT15" s="37">
        <f t="shared" si="251"/>
        <v>5759.7000000000007</v>
      </c>
      <c r="AU15" s="37">
        <f t="shared" si="251"/>
        <v>3805.3000000000029</v>
      </c>
      <c r="AV15" s="37">
        <f t="shared" si="251"/>
        <v>-5663.1500000000015</v>
      </c>
      <c r="AW15" s="37">
        <f t="shared" si="251"/>
        <v>1560.5</v>
      </c>
      <c r="AX15" s="37">
        <f t="shared" si="251"/>
        <v>-2638.3000000000029</v>
      </c>
      <c r="AY15" s="37">
        <f t="shared" si="251"/>
        <v>-2628.7799999999988</v>
      </c>
      <c r="AZ15" s="37">
        <f t="shared" si="251"/>
        <v>3246.880000000001</v>
      </c>
      <c r="BA15" s="37">
        <f t="shared" si="251"/>
        <v>7989.7999999999993</v>
      </c>
      <c r="BB15" s="37">
        <f>SUM(BB14-BA14)</f>
        <v>-3286.5500000000029</v>
      </c>
      <c r="BC15" s="37">
        <f t="shared" ref="BC15:CO15" si="252">SUM(BC14-BB14)</f>
        <v>286.95000000000437</v>
      </c>
      <c r="BD15" s="37">
        <f t="shared" si="252"/>
        <v>2055.7000000000007</v>
      </c>
      <c r="BE15" s="37">
        <f t="shared" si="252"/>
        <v>-1819.5499999999993</v>
      </c>
      <c r="BF15" s="37">
        <f t="shared" si="252"/>
        <v>-3530.8500000000022</v>
      </c>
      <c r="BG15" s="37">
        <f t="shared" si="252"/>
        <v>1666.5099999999984</v>
      </c>
      <c r="BH15" s="37">
        <f t="shared" si="252"/>
        <v>-390.10999999999694</v>
      </c>
      <c r="BI15" s="37">
        <f t="shared" si="252"/>
        <v>-5146.1000000000022</v>
      </c>
      <c r="BJ15" s="37">
        <f t="shared" si="252"/>
        <v>153.5</v>
      </c>
      <c r="BK15" s="37">
        <f t="shared" si="252"/>
        <v>-3514.2999999999993</v>
      </c>
      <c r="BL15" s="37">
        <f t="shared" si="252"/>
        <v>3383.25</v>
      </c>
      <c r="BM15" s="37">
        <f t="shared" si="252"/>
        <v>-3348.3500000000022</v>
      </c>
      <c r="BN15" s="37">
        <f t="shared" si="252"/>
        <v>4518.0200000000041</v>
      </c>
      <c r="BO15" s="37">
        <f t="shared" si="252"/>
        <v>1434.5799999999981</v>
      </c>
      <c r="BP15" s="37">
        <f t="shared" si="252"/>
        <v>3408.0499999999993</v>
      </c>
      <c r="BQ15" s="37">
        <f t="shared" si="252"/>
        <v>-4880.2000000000007</v>
      </c>
      <c r="BR15" s="37">
        <f t="shared" si="252"/>
        <v>-2595.3499999999985</v>
      </c>
      <c r="BS15" s="37">
        <f t="shared" si="252"/>
        <v>-122.15000000000146</v>
      </c>
      <c r="BT15" s="37">
        <f t="shared" si="252"/>
        <v>5381.9500000000007</v>
      </c>
      <c r="BU15" s="37">
        <f t="shared" si="252"/>
        <v>-2255.9500000000007</v>
      </c>
      <c r="BV15" s="37">
        <f t="shared" si="252"/>
        <v>1601.7999999999993</v>
      </c>
      <c r="BW15" s="37">
        <f t="shared" si="252"/>
        <v>1894.0499999999993</v>
      </c>
      <c r="BX15" s="37">
        <f t="shared" si="252"/>
        <v>2064.0000000000036</v>
      </c>
      <c r="BY15" s="37">
        <f t="shared" si="252"/>
        <v>3637.8499999999985</v>
      </c>
      <c r="BZ15" s="37">
        <f t="shared" si="252"/>
        <v>-9764.5500000000029</v>
      </c>
      <c r="CA15" s="37">
        <f t="shared" si="252"/>
        <v>-1194.3999999999978</v>
      </c>
      <c r="CB15" s="37">
        <f t="shared" si="252"/>
        <v>-1191.8499999999985</v>
      </c>
      <c r="CC15" s="37">
        <f t="shared" si="252"/>
        <v>-1595.5000000000036</v>
      </c>
      <c r="CD15" s="37">
        <f t="shared" si="252"/>
        <v>2194.6500000000015</v>
      </c>
      <c r="CE15" s="37">
        <f t="shared" si="252"/>
        <v>2405.6000000000022</v>
      </c>
      <c r="CF15" s="37">
        <f t="shared" si="252"/>
        <v>4758.3500000000022</v>
      </c>
      <c r="CG15" s="37">
        <f t="shared" si="252"/>
        <v>-9171.0000000000036</v>
      </c>
      <c r="CH15" s="37">
        <f t="shared" si="252"/>
        <v>2220.1500000000015</v>
      </c>
      <c r="CI15" s="37">
        <f t="shared" si="252"/>
        <v>4428.7000000000007</v>
      </c>
      <c r="CJ15" s="37">
        <f t="shared" si="252"/>
        <v>-6937.25</v>
      </c>
      <c r="CK15" s="37">
        <f t="shared" si="252"/>
        <v>2371.1500000000015</v>
      </c>
      <c r="CL15" s="37">
        <f t="shared" si="252"/>
        <v>5765.25</v>
      </c>
      <c r="CM15" s="37">
        <f t="shared" si="252"/>
        <v>-4954.9500000000044</v>
      </c>
      <c r="CN15" s="37">
        <f t="shared" si="252"/>
        <v>-443.09999999999854</v>
      </c>
      <c r="CO15" s="37">
        <f t="shared" si="252"/>
        <v>1025.1500000000015</v>
      </c>
      <c r="CP15" s="37">
        <f t="shared" ref="CP15:DH15" si="253">SUM(CP14-CO14)</f>
        <v>217.44999999999709</v>
      </c>
      <c r="CQ15" s="37">
        <f t="shared" si="253"/>
        <v>2247.25</v>
      </c>
      <c r="CR15" s="37">
        <f t="shared" si="253"/>
        <v>-6196.9000000000015</v>
      </c>
      <c r="CS15" s="37">
        <f t="shared" si="253"/>
        <v>2449.25</v>
      </c>
      <c r="CT15" s="37">
        <f t="shared" si="253"/>
        <v>5827.3000000000029</v>
      </c>
      <c r="CU15" s="37">
        <f t="shared" si="253"/>
        <v>-1741.7999999999993</v>
      </c>
      <c r="CV15" s="37">
        <f t="shared" si="253"/>
        <v>-3487.6000000000022</v>
      </c>
      <c r="CW15" s="37">
        <f t="shared" si="253"/>
        <v>2009.8000000000029</v>
      </c>
      <c r="CX15" s="37">
        <f t="shared" si="253"/>
        <v>-4972.3000000000029</v>
      </c>
      <c r="CY15" s="37">
        <f t="shared" si="253"/>
        <v>6079.3500000000022</v>
      </c>
      <c r="CZ15" s="37">
        <f t="shared" si="253"/>
        <v>-4729.7000000000007</v>
      </c>
      <c r="DA15" s="37">
        <f t="shared" si="253"/>
        <v>2689.0500000000029</v>
      </c>
      <c r="DB15" s="37">
        <f t="shared" si="253"/>
        <v>1516.5999999999985</v>
      </c>
      <c r="DC15" s="37">
        <f t="shared" si="253"/>
        <v>-824.55000000000291</v>
      </c>
      <c r="DD15" s="37">
        <f t="shared" si="253"/>
        <v>1598</v>
      </c>
      <c r="DE15" s="37">
        <f t="shared" si="253"/>
        <v>-574.69999999999709</v>
      </c>
      <c r="DF15" s="37">
        <f t="shared" si="253"/>
        <v>2325.0499999999956</v>
      </c>
      <c r="DG15" s="37">
        <f t="shared" si="253"/>
        <v>3578.3500000000022</v>
      </c>
      <c r="DH15" s="37">
        <f t="shared" si="253"/>
        <v>-3029.2000000000007</v>
      </c>
      <c r="DI15" s="28">
        <f t="shared" ref="DI15:FL15" si="254">SUM(DI14-DH14)/DH14</f>
        <v>-0.18129915842356481</v>
      </c>
      <c r="DJ15" s="28">
        <f t="shared" si="254"/>
        <v>-0.13257252970774014</v>
      </c>
      <c r="DK15" s="28">
        <f t="shared" si="254"/>
        <v>0.29255156344105127</v>
      </c>
      <c r="DL15" s="28">
        <f t="shared" si="254"/>
        <v>-3.5124337826121746E-2</v>
      </c>
      <c r="DM15" s="28">
        <f t="shared" si="254"/>
        <v>-1.3509849364981634E-2</v>
      </c>
      <c r="DN15" s="28">
        <f t="shared" si="254"/>
        <v>5.9716913940634185E-2</v>
      </c>
      <c r="DO15" s="28">
        <f t="shared" si="254"/>
        <v>7.2489587277546411E-2</v>
      </c>
      <c r="DP15" s="28">
        <f t="shared" si="254"/>
        <v>0.15147337371069863</v>
      </c>
      <c r="DQ15" s="28">
        <f t="shared" si="254"/>
        <v>-9.9813428545585767E-2</v>
      </c>
      <c r="DR15" s="28">
        <f t="shared" si="254"/>
        <v>-0.22907445473263305</v>
      </c>
      <c r="DS15" s="28">
        <f t="shared" si="254"/>
        <v>4.2659367896456565E-2</v>
      </c>
      <c r="DT15" s="28">
        <f t="shared" si="254"/>
        <v>-0.15949490455306256</v>
      </c>
      <c r="DU15" s="28">
        <f t="shared" si="254"/>
        <v>0.41389175972372766</v>
      </c>
      <c r="DV15" s="28">
        <f t="shared" si="254"/>
        <v>-0.23532505504497198</v>
      </c>
      <c r="DW15" s="28">
        <f t="shared" si="254"/>
        <v>0.10133361311230801</v>
      </c>
      <c r="DX15" s="28">
        <f t="shared" si="254"/>
        <v>0.17113171159232221</v>
      </c>
      <c r="DY15" s="28">
        <f t="shared" si="254"/>
        <v>0.26001290646787567</v>
      </c>
      <c r="DZ15" s="28">
        <f t="shared" si="254"/>
        <v>-8.0123032251493073E-2</v>
      </c>
      <c r="EA15" s="28">
        <f t="shared" si="254"/>
        <v>-0.32649254604236105</v>
      </c>
      <c r="EB15" s="28">
        <f t="shared" si="254"/>
        <v>8.5713954915423135E-2</v>
      </c>
      <c r="EC15" s="28">
        <f t="shared" si="254"/>
        <v>-5.873257249861908E-2</v>
      </c>
      <c r="ED15" s="28">
        <f t="shared" si="254"/>
        <v>1.3327804628251163E-2</v>
      </c>
      <c r="EE15" s="28">
        <f t="shared" si="254"/>
        <v>-0.12491530919132859</v>
      </c>
      <c r="EF15" s="28">
        <f t="shared" si="254"/>
        <v>0.10211293697984686</v>
      </c>
      <c r="EG15" s="28">
        <f t="shared" si="254"/>
        <v>7.1912509013175877E-2</v>
      </c>
      <c r="EH15" s="28">
        <f t="shared" si="254"/>
        <v>5.1033266728642591E-2</v>
      </c>
      <c r="EI15" s="28">
        <f t="shared" si="254"/>
        <v>-1</v>
      </c>
      <c r="EJ15" s="28" t="e">
        <f t="shared" si="254"/>
        <v>#DIV/0!</v>
      </c>
      <c r="EK15" s="28">
        <f t="shared" si="254"/>
        <v>0.2131502637368464</v>
      </c>
      <c r="EL15" s="28">
        <f t="shared" si="254"/>
        <v>0.20832178973670099</v>
      </c>
      <c r="EM15" s="28">
        <f t="shared" si="254"/>
        <v>-0.11876368594165594</v>
      </c>
      <c r="EN15" s="28">
        <f t="shared" si="254"/>
        <v>7.7726320454867076E-2</v>
      </c>
      <c r="EO15" s="28">
        <f t="shared" si="254"/>
        <v>0.27719612894136114</v>
      </c>
      <c r="EP15" s="28">
        <f t="shared" si="254"/>
        <v>-0.13704062025303246</v>
      </c>
      <c r="EQ15" s="28">
        <f t="shared" si="254"/>
        <v>-5.0448010254053884E-2</v>
      </c>
      <c r="ER15" s="28">
        <f t="shared" si="254"/>
        <v>-4.0204552028510664E-2</v>
      </c>
      <c r="ES15" s="28">
        <f t="shared" si="254"/>
        <v>-8.6889605355684144E-2</v>
      </c>
      <c r="ET15" s="28">
        <f t="shared" si="254"/>
        <v>4.1156457642704668E-2</v>
      </c>
      <c r="EU15" s="28">
        <f t="shared" si="254"/>
        <v>0.17984783900281906</v>
      </c>
      <c r="EV15" s="28">
        <f t="shared" si="254"/>
        <v>-7.6621250090827445E-2</v>
      </c>
      <c r="EW15" s="28">
        <f t="shared" si="254"/>
        <v>-2.2829671435734701E-2</v>
      </c>
      <c r="EX15" s="28">
        <f t="shared" si="254"/>
        <v>-0.24197556759550765</v>
      </c>
      <c r="EY15" s="28">
        <f t="shared" si="254"/>
        <v>0.28634217567577591</v>
      </c>
      <c r="EZ15" s="28">
        <f t="shared" si="254"/>
        <v>-8.7132386835069575E-2</v>
      </c>
      <c r="FA15" s="28">
        <f t="shared" si="254"/>
        <v>-3.6913463359212251E-2</v>
      </c>
      <c r="FB15" s="28">
        <f t="shared" si="254"/>
        <v>0.18151487704737179</v>
      </c>
      <c r="FC15" s="28">
        <f t="shared" si="254"/>
        <v>-7.0241645757563032E-2</v>
      </c>
      <c r="FD15" s="28">
        <f t="shared" si="254"/>
        <v>0.19143113967751446</v>
      </c>
      <c r="FE15" s="28">
        <f t="shared" si="254"/>
        <v>-3.3907301570345071E-2</v>
      </c>
      <c r="FF15" s="28">
        <f t="shared" si="254"/>
        <v>-7.8277095319545555E-3</v>
      </c>
      <c r="FG15" s="28">
        <f t="shared" si="254"/>
        <v>4.2278106374923956E-2</v>
      </c>
      <c r="FH15" s="28">
        <f t="shared" si="254"/>
        <v>2.8268881842088433E-2</v>
      </c>
      <c r="FI15" s="28">
        <f t="shared" si="254"/>
        <v>-0.2038839368405316</v>
      </c>
      <c r="FJ15" s="28">
        <f t="shared" si="254"/>
        <v>0.11647713357388914</v>
      </c>
      <c r="FK15" s="28">
        <f t="shared" si="254"/>
        <v>-0.11228468486254381</v>
      </c>
      <c r="FL15" s="28">
        <f t="shared" si="254"/>
        <v>2.0773358702859488E-2</v>
      </c>
      <c r="FM15" s="28">
        <f t="shared" ref="FM15:GK15" si="255">SUM(FM14-FL14)/FL14</f>
        <v>2.6709164632547255E-2</v>
      </c>
      <c r="FN15" s="28">
        <f t="shared" si="255"/>
        <v>-6.2583750859612874E-2</v>
      </c>
      <c r="FO15" s="28">
        <f t="shared" si="255"/>
        <v>-6.6944317519671032E-2</v>
      </c>
      <c r="FP15" s="28">
        <f t="shared" si="255"/>
        <v>0.23943399998652173</v>
      </c>
      <c r="FQ15" s="28">
        <f t="shared" si="255"/>
        <v>-6.7094738658351818E-2</v>
      </c>
      <c r="FR15" s="28">
        <f t="shared" si="255"/>
        <v>-0.24389286727307335</v>
      </c>
      <c r="FS15" s="28">
        <f t="shared" si="255"/>
        <v>0.38190540304428711</v>
      </c>
      <c r="FT15" s="28">
        <f t="shared" si="255"/>
        <v>8.713865765747339E-2</v>
      </c>
      <c r="FU15" s="28">
        <f t="shared" si="255"/>
        <v>-0.15367564812566079</v>
      </c>
      <c r="FV15" s="28">
        <f t="shared" si="255"/>
        <v>-0.1427933407971157</v>
      </c>
      <c r="FW15" s="28">
        <f t="shared" si="255"/>
        <v>0.10845759415335651</v>
      </c>
      <c r="FX15" s="28">
        <f t="shared" si="255"/>
        <v>9.8047981624058964E-2</v>
      </c>
      <c r="FY15" s="28">
        <f t="shared" si="255"/>
        <v>3.6202821646075169E-2</v>
      </c>
      <c r="FZ15" s="28">
        <f t="shared" si="255"/>
        <v>0.71111518194444157</v>
      </c>
      <c r="GA15" s="28">
        <f t="shared" si="255"/>
        <v>-0.53707080097487758</v>
      </c>
      <c r="GB15" s="28">
        <f t="shared" si="255"/>
        <v>3.4187897037030089E-2</v>
      </c>
      <c r="GC15" s="28">
        <f t="shared" si="255"/>
        <v>6.7715440171809971E-2</v>
      </c>
      <c r="GD15" s="28">
        <f t="shared" si="255"/>
        <v>-1.7818980697885206E-2</v>
      </c>
      <c r="GE15" s="28">
        <f t="shared" si="255"/>
        <v>8.4349093757479454E-2</v>
      </c>
      <c r="GF15" s="28">
        <f t="shared" si="255"/>
        <v>-5.9459502845355471E-2</v>
      </c>
      <c r="GG15" s="28">
        <f t="shared" si="255"/>
        <v>9.2286718836671403E-2</v>
      </c>
      <c r="GH15" s="28">
        <f t="shared" si="255"/>
        <v>-0.1810985173277915</v>
      </c>
      <c r="GI15" s="28">
        <f t="shared" si="255"/>
        <v>5.7202894610052978E-2</v>
      </c>
      <c r="GJ15" s="28">
        <f t="shared" si="255"/>
        <v>0.16635720651107169</v>
      </c>
      <c r="GK15" s="28">
        <f t="shared" si="255"/>
        <v>-7.9045305252407244E-2</v>
      </c>
      <c r="GL15" s="28">
        <f t="shared" ref="GL15" si="256">(GL14-GK14)/GK14</f>
        <v>-8.8675682657834112E-2</v>
      </c>
      <c r="GM15" s="28">
        <f t="shared" ref="GM15" si="257">(GM14-GL14)/GL14</f>
        <v>0.42842195267540467</v>
      </c>
      <c r="GN15" s="28">
        <f t="shared" ref="GN15" si="258">(GN14-GM14)/GM14</f>
        <v>-8.9475756226323339E-3</v>
      </c>
      <c r="GO15" s="28">
        <f t="shared" ref="GO15:GR15" si="259">(GO14-GN14)/GN14</f>
        <v>-0.17422177303292635</v>
      </c>
      <c r="GP15" s="28">
        <f t="shared" si="259"/>
        <v>-3.6246027427507946E-2</v>
      </c>
      <c r="GQ15" s="28">
        <f t="shared" si="259"/>
        <v>0.23363329330684901</v>
      </c>
      <c r="GR15" s="165">
        <f t="shared" si="259"/>
        <v>-0.20900982169063084</v>
      </c>
      <c r="GS15" s="157"/>
      <c r="GT15" s="11"/>
      <c r="GU15" s="95" t="s">
        <v>368</v>
      </c>
      <c r="GV15" s="105">
        <f>LABOUR!AG27</f>
        <v>0.40160182491470836</v>
      </c>
      <c r="GW15" s="58"/>
      <c r="GX15" s="58"/>
      <c r="GY15" s="58"/>
      <c r="GZ15" s="58"/>
      <c r="HA15" s="58"/>
    </row>
    <row r="16" spans="1:209" s="2" customFormat="1" ht="15" customHeight="1" x14ac:dyDescent="0.3">
      <c r="A16" s="169"/>
      <c r="B16" s="22" t="s">
        <v>91</v>
      </c>
      <c r="C16" s="23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>
        <f t="shared" ref="BD16" si="260">D14</f>
        <v>19506.7</v>
      </c>
      <c r="BE16" s="25">
        <f t="shared" ref="BE16" si="261">E14</f>
        <v>24113.45</v>
      </c>
      <c r="BF16" s="25">
        <f t="shared" ref="BF16" si="262">F14</f>
        <v>24219.75</v>
      </c>
      <c r="BG16" s="25">
        <f t="shared" ref="BG16" si="263">G14</f>
        <v>28000.5</v>
      </c>
      <c r="BH16" s="25">
        <f t="shared" ref="BH16" si="264">H14</f>
        <v>21548</v>
      </c>
      <c r="BI16" s="25">
        <f t="shared" ref="BI16" si="265">I14</f>
        <v>17909.150000000001</v>
      </c>
      <c r="BJ16" s="25">
        <f t="shared" ref="BJ16" si="266">J14</f>
        <v>22753.85</v>
      </c>
      <c r="BK16" s="25">
        <f t="shared" ref="BK16" si="267">K14</f>
        <v>18932.400000000001</v>
      </c>
      <c r="BL16" s="25">
        <f t="shared" ref="BL16" si="268">L14</f>
        <v>20897.25</v>
      </c>
      <c r="BM16" s="25">
        <f t="shared" ref="BM16" si="269">M14</f>
        <v>19697.849999999999</v>
      </c>
      <c r="BN16" s="25">
        <f t="shared" ref="BN16" si="270">N14</f>
        <v>21137.15</v>
      </c>
      <c r="BO16" s="25">
        <f t="shared" ref="BO16" si="271">O14</f>
        <v>20036.150000000001</v>
      </c>
      <c r="BP16" s="25">
        <f t="shared" ref="BP16" si="272">P14</f>
        <v>21367.3</v>
      </c>
      <c r="BQ16" s="25">
        <f t="shared" ref="BQ16" si="273">Q14</f>
        <v>15661.35</v>
      </c>
      <c r="BR16" s="25">
        <f t="shared" ref="BR16" si="274">R14</f>
        <v>20431.449999999997</v>
      </c>
      <c r="BS16" s="25">
        <f t="shared" ref="BS16" si="275">S14</f>
        <v>22033.3</v>
      </c>
      <c r="BT16" s="25">
        <f t="shared" ref="BT16" si="276">T14</f>
        <v>19303.5</v>
      </c>
      <c r="BU16" s="25">
        <f t="shared" ref="BU16" si="277">U14</f>
        <v>19309.449999999997</v>
      </c>
      <c r="BV16" s="25">
        <f t="shared" ref="BV16" si="278">V14</f>
        <v>19122.45</v>
      </c>
      <c r="BW16" s="25">
        <f t="shared" ref="BW16" si="279">W14</f>
        <v>20575.75</v>
      </c>
      <c r="BX16" s="25">
        <f t="shared" ref="BX16" si="280">X14</f>
        <v>18833.05</v>
      </c>
      <c r="BY16" s="25">
        <f t="shared" ref="BY16" si="281">Y14</f>
        <v>32175.15</v>
      </c>
      <c r="BZ16" s="25">
        <f t="shared" ref="BZ16" si="282">Z14</f>
        <v>20121.349999999999</v>
      </c>
      <c r="CA16" s="25">
        <f t="shared" ref="CA16" si="283">AA14</f>
        <v>18846.75</v>
      </c>
      <c r="CB16" s="25">
        <f t="shared" ref="CB16" si="284">AB14</f>
        <v>20932.8</v>
      </c>
      <c r="CC16" s="25">
        <f t="shared" ref="CC16" si="285">AC14</f>
        <v>20912.2</v>
      </c>
      <c r="CD16" s="25">
        <f t="shared" ref="CD16" si="286">AD14</f>
        <v>22031.3</v>
      </c>
      <c r="CE16" s="25">
        <f t="shared" ref="CE16" si="287">AE14</f>
        <v>19088.400000000001</v>
      </c>
      <c r="CF16" s="25">
        <f t="shared" ref="CF16" si="288">AF14</f>
        <v>25065.300000000003</v>
      </c>
      <c r="CG16" s="25">
        <f t="shared" ref="CG16" si="289">AG14</f>
        <v>18899.099999999999</v>
      </c>
      <c r="CH16" s="25">
        <f t="shared" ref="CH16" si="290">AH14</f>
        <v>20024.150000000001</v>
      </c>
      <c r="CI16" s="25">
        <f t="shared" ref="CI16" si="291">AI14</f>
        <v>18585.55</v>
      </c>
      <c r="CJ16" s="25">
        <f t="shared" ref="CJ16" si="292">AJ14</f>
        <v>25068.949999999997</v>
      </c>
      <c r="CK16" s="25">
        <f t="shared" ref="CK16" si="293">AK14</f>
        <v>21916.6</v>
      </c>
      <c r="CL16" s="25">
        <f t="shared" ref="CL16" si="294">AL14</f>
        <v>23682.25</v>
      </c>
      <c r="CM16" s="25">
        <f t="shared" ref="CM16" si="295">AM14</f>
        <v>34329.899999999994</v>
      </c>
      <c r="CN16" s="25">
        <f t="shared" ref="CN16" si="296">AN14</f>
        <v>25858.1</v>
      </c>
      <c r="CO16" s="25">
        <f t="shared" ref="CO16" si="297">AO14</f>
        <v>20931.559999999998</v>
      </c>
      <c r="CP16" s="25">
        <f t="shared" ref="CP16" si="298">AP14</f>
        <v>26736.400000000001</v>
      </c>
      <c r="CQ16" s="25">
        <f t="shared" ref="CQ16" si="299">AQ14</f>
        <v>24236.6</v>
      </c>
      <c r="CR16" s="25">
        <f t="shared" ref="CR16" si="300">AR14</f>
        <v>22029.15</v>
      </c>
      <c r="CS16" s="25">
        <f t="shared" ref="CS16" si="301">AS14</f>
        <v>21598.05</v>
      </c>
      <c r="CT16" s="25">
        <f t="shared" ref="CT16" si="302">AT14</f>
        <v>27357.75</v>
      </c>
      <c r="CU16" s="25">
        <f t="shared" ref="CU16" si="303">AU14</f>
        <v>31163.050000000003</v>
      </c>
      <c r="CV16" s="25">
        <f t="shared" ref="CV16" si="304">AV14</f>
        <v>25499.9</v>
      </c>
      <c r="CW16" s="25">
        <f t="shared" ref="CW16" si="305">AW14</f>
        <v>27060.400000000001</v>
      </c>
      <c r="CX16" s="25">
        <f t="shared" ref="CX16" si="306">AX14</f>
        <v>24422.1</v>
      </c>
      <c r="CY16" s="25">
        <f t="shared" ref="CY16" si="307">AY14</f>
        <v>21793.32</v>
      </c>
      <c r="CZ16" s="25">
        <f t="shared" ref="CZ16" si="308">AZ14</f>
        <v>25040.2</v>
      </c>
      <c r="DA16" s="25">
        <f t="shared" ref="DA16" si="309">BA14</f>
        <v>33030</v>
      </c>
      <c r="DB16" s="25">
        <f t="shared" ref="DB16" si="310">BB14</f>
        <v>29743.449999999997</v>
      </c>
      <c r="DC16" s="25">
        <f t="shared" ref="DC16" si="311">BC14</f>
        <v>30030.400000000001</v>
      </c>
      <c r="DD16" s="25">
        <f t="shared" ref="DD16" si="312">BD14</f>
        <v>32086.100000000002</v>
      </c>
      <c r="DE16" s="25">
        <f t="shared" ref="DE16" si="313">BE14</f>
        <v>30266.550000000003</v>
      </c>
      <c r="DF16" s="25">
        <f t="shared" ref="DF16" si="314">BF14</f>
        <v>26735.7</v>
      </c>
      <c r="DG16" s="25">
        <f t="shared" ref="DG16" si="315">BG14</f>
        <v>28402.21</v>
      </c>
      <c r="DH16" s="25">
        <f t="shared" ref="DH16" si="316">BH14</f>
        <v>28012.100000000002</v>
      </c>
      <c r="DI16" s="25">
        <f t="shared" ref="DI16" si="317">BI14</f>
        <v>22866</v>
      </c>
      <c r="DJ16" s="25">
        <f t="shared" ref="DJ16" si="318">BJ14</f>
        <v>23019.5</v>
      </c>
      <c r="DK16" s="25">
        <f t="shared" ref="DK16" si="319">BK14</f>
        <v>19505.2</v>
      </c>
      <c r="DL16" s="25">
        <f t="shared" ref="DL16" si="320">BL14</f>
        <v>22888.45</v>
      </c>
      <c r="DM16" s="25">
        <f t="shared" ref="DM16" si="321">BM14</f>
        <v>19540.099999999999</v>
      </c>
      <c r="DN16" s="25">
        <f t="shared" ref="DN16" si="322">BN14</f>
        <v>24058.120000000003</v>
      </c>
      <c r="DO16" s="25">
        <f t="shared" ref="DO16" si="323">BO14</f>
        <v>25492.7</v>
      </c>
      <c r="DP16" s="25">
        <f t="shared" ref="DP16" si="324">BP14</f>
        <v>28900.75</v>
      </c>
      <c r="DQ16" s="25">
        <f t="shared" ref="DQ16" si="325">BQ14</f>
        <v>24020.55</v>
      </c>
      <c r="DR16" s="25">
        <f t="shared" ref="DR16" si="326">BR14</f>
        <v>21425.200000000001</v>
      </c>
      <c r="DS16" s="25">
        <f t="shared" ref="DS16" si="327">BS14</f>
        <v>21303.05</v>
      </c>
      <c r="DT16" s="25">
        <f t="shared" ref="DT16" si="328">BT14</f>
        <v>26685</v>
      </c>
      <c r="DU16" s="25">
        <f t="shared" ref="DU16" si="329">BU14</f>
        <v>24429.05</v>
      </c>
      <c r="DV16" s="25">
        <f t="shared" ref="DV16" si="330">BV14</f>
        <v>26030.85</v>
      </c>
      <c r="DW16" s="25">
        <f t="shared" ref="DW16:GI16" si="331">BW14</f>
        <v>27924.899999999998</v>
      </c>
      <c r="DX16" s="25">
        <f t="shared" si="331"/>
        <v>29988.9</v>
      </c>
      <c r="DY16" s="25">
        <f t="shared" si="331"/>
        <v>33626.75</v>
      </c>
      <c r="DZ16" s="25">
        <f t="shared" si="331"/>
        <v>23862.199999999997</v>
      </c>
      <c r="EA16" s="25">
        <f t="shared" si="331"/>
        <v>22667.8</v>
      </c>
      <c r="EB16" s="25">
        <f t="shared" si="331"/>
        <v>21475.95</v>
      </c>
      <c r="EC16" s="25">
        <f t="shared" si="331"/>
        <v>19880.449999999997</v>
      </c>
      <c r="ED16" s="25">
        <f t="shared" si="331"/>
        <v>22075.1</v>
      </c>
      <c r="EE16" s="25">
        <f t="shared" si="331"/>
        <v>24480.7</v>
      </c>
      <c r="EF16" s="25">
        <f t="shared" si="331"/>
        <v>29239.050000000003</v>
      </c>
      <c r="EG16" s="25">
        <f t="shared" si="331"/>
        <v>20068.05</v>
      </c>
      <c r="EH16" s="25">
        <f t="shared" si="331"/>
        <v>22288.2</v>
      </c>
      <c r="EI16" s="25">
        <f t="shared" si="331"/>
        <v>26716.9</v>
      </c>
      <c r="EJ16" s="25">
        <f t="shared" si="331"/>
        <v>19779.650000000001</v>
      </c>
      <c r="EK16" s="25">
        <f t="shared" si="331"/>
        <v>22150.800000000003</v>
      </c>
      <c r="EL16" s="25">
        <f t="shared" si="331"/>
        <v>27916.050000000003</v>
      </c>
      <c r="EM16" s="25">
        <f t="shared" si="331"/>
        <v>22961.1</v>
      </c>
      <c r="EN16" s="25">
        <f t="shared" si="331"/>
        <v>22518</v>
      </c>
      <c r="EO16" s="25">
        <f t="shared" si="331"/>
        <v>23543.15</v>
      </c>
      <c r="EP16" s="25">
        <f t="shared" si="331"/>
        <v>23760.6</v>
      </c>
      <c r="EQ16" s="25">
        <f t="shared" si="331"/>
        <v>26007.85</v>
      </c>
      <c r="ER16" s="25">
        <f t="shared" si="331"/>
        <v>19810.949999999997</v>
      </c>
      <c r="ES16" s="25">
        <f t="shared" si="331"/>
        <v>22260.199999999997</v>
      </c>
      <c r="ET16" s="25">
        <f t="shared" si="331"/>
        <v>28087.5</v>
      </c>
      <c r="EU16" s="25">
        <f t="shared" si="331"/>
        <v>26345.7</v>
      </c>
      <c r="EV16" s="25">
        <f t="shared" si="331"/>
        <v>22858.1</v>
      </c>
      <c r="EW16" s="25">
        <f t="shared" si="331"/>
        <v>24867.9</v>
      </c>
      <c r="EX16" s="25">
        <f t="shared" si="331"/>
        <v>19895.599999999999</v>
      </c>
      <c r="EY16" s="25">
        <f t="shared" si="331"/>
        <v>25974.95</v>
      </c>
      <c r="EZ16" s="25">
        <f t="shared" si="331"/>
        <v>21245.25</v>
      </c>
      <c r="FA16" s="25">
        <f t="shared" si="331"/>
        <v>23934.300000000003</v>
      </c>
      <c r="FB16" s="25">
        <f t="shared" si="331"/>
        <v>25450.9</v>
      </c>
      <c r="FC16" s="25">
        <f t="shared" si="331"/>
        <v>24626.35</v>
      </c>
      <c r="FD16" s="25">
        <f t="shared" si="331"/>
        <v>26224.35</v>
      </c>
      <c r="FE16" s="25">
        <f t="shared" si="331"/>
        <v>25649.65</v>
      </c>
      <c r="FF16" s="25">
        <f t="shared" si="331"/>
        <v>27974.699999999997</v>
      </c>
      <c r="FG16" s="25">
        <f t="shared" si="331"/>
        <v>31553.05</v>
      </c>
      <c r="FH16" s="25">
        <f t="shared" si="331"/>
        <v>28523.85</v>
      </c>
      <c r="FI16" s="25">
        <f t="shared" si="331"/>
        <v>23352.5</v>
      </c>
      <c r="FJ16" s="25">
        <f t="shared" si="331"/>
        <v>20256.599999999999</v>
      </c>
      <c r="FK16" s="25">
        <f t="shared" si="331"/>
        <v>26182.699999999997</v>
      </c>
      <c r="FL16" s="25">
        <f t="shared" si="331"/>
        <v>25263.05</v>
      </c>
      <c r="FM16" s="25">
        <f t="shared" si="331"/>
        <v>24921.75</v>
      </c>
      <c r="FN16" s="25">
        <f t="shared" si="331"/>
        <v>26410</v>
      </c>
      <c r="FO16" s="25">
        <f t="shared" si="331"/>
        <v>28324.45</v>
      </c>
      <c r="FP16" s="25">
        <f t="shared" si="331"/>
        <v>32614.85</v>
      </c>
      <c r="FQ16" s="25">
        <f t="shared" si="331"/>
        <v>29359.45</v>
      </c>
      <c r="FR16" s="25">
        <f t="shared" si="331"/>
        <v>22633.949999999997</v>
      </c>
      <c r="FS16" s="25">
        <f t="shared" si="331"/>
        <v>23599.5</v>
      </c>
      <c r="FT16" s="25">
        <f t="shared" si="331"/>
        <v>19835.5</v>
      </c>
      <c r="FU16" s="25">
        <f t="shared" si="331"/>
        <v>28045.25</v>
      </c>
      <c r="FV16" s="25">
        <f t="shared" si="331"/>
        <v>21445.5</v>
      </c>
      <c r="FW16" s="25">
        <f t="shared" si="331"/>
        <v>23618.65</v>
      </c>
      <c r="FX16" s="25">
        <f t="shared" si="331"/>
        <v>27660.550000000003</v>
      </c>
      <c r="FY16" s="25">
        <f t="shared" si="331"/>
        <v>34852.65</v>
      </c>
      <c r="FZ16" s="25">
        <f t="shared" si="331"/>
        <v>32060.15</v>
      </c>
      <c r="GA16" s="25">
        <f t="shared" si="331"/>
        <v>21592.75</v>
      </c>
      <c r="GB16" s="25">
        <f t="shared" si="331"/>
        <v>23443.550000000003</v>
      </c>
      <c r="GC16" s="25">
        <f t="shared" si="331"/>
        <v>22066.65</v>
      </c>
      <c r="GD16" s="25">
        <f t="shared" si="331"/>
        <v>22360.75</v>
      </c>
      <c r="GE16" s="25">
        <f t="shared" si="331"/>
        <v>19567.55</v>
      </c>
      <c r="GF16" s="25">
        <f t="shared" si="331"/>
        <v>21565.65</v>
      </c>
      <c r="GG16" s="25">
        <f t="shared" si="331"/>
        <v>23116.489999999998</v>
      </c>
      <c r="GH16" s="25">
        <f t="shared" si="331"/>
        <v>24296.199999999997</v>
      </c>
      <c r="GI16" s="25">
        <f t="shared" si="331"/>
        <v>0</v>
      </c>
      <c r="GJ16" s="25">
        <f>EJ14</f>
        <v>18863.5</v>
      </c>
      <c r="GK16" s="25">
        <f>EK14</f>
        <v>22884.260000000002</v>
      </c>
      <c r="GL16" s="25">
        <f>EL14</f>
        <v>27651.55</v>
      </c>
      <c r="GM16" s="25">
        <f t="shared" ref="GM16:GR16" si="332">EL14</f>
        <v>27651.55</v>
      </c>
      <c r="GN16" s="25">
        <f t="shared" si="332"/>
        <v>24367.550000000003</v>
      </c>
      <c r="GO16" s="25">
        <f t="shared" si="332"/>
        <v>26261.55</v>
      </c>
      <c r="GP16" s="25">
        <f t="shared" si="332"/>
        <v>33541.15</v>
      </c>
      <c r="GQ16" s="25">
        <f t="shared" si="332"/>
        <v>28944.65</v>
      </c>
      <c r="GR16" s="110">
        <f t="shared" si="332"/>
        <v>27484.45</v>
      </c>
      <c r="GS16" s="157"/>
      <c r="GT16" s="3" t="s">
        <v>91</v>
      </c>
      <c r="GU16" s="11"/>
      <c r="GV16" s="11"/>
      <c r="GW16" s="58"/>
      <c r="GX16" s="58"/>
      <c r="GY16" s="58"/>
      <c r="GZ16" s="58"/>
      <c r="HA16" s="58"/>
    </row>
    <row r="17" spans="1:209" s="2" customFormat="1" ht="15" customHeight="1" x14ac:dyDescent="0.3">
      <c r="A17" s="169"/>
      <c r="B17" s="26" t="s">
        <v>366</v>
      </c>
      <c r="C17" s="27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28">
        <f t="shared" ref="BD17:CN17" si="333">(BD14-BD16)/BD16</f>
        <v>0.64487586316496393</v>
      </c>
      <c r="BE17" s="28">
        <f t="shared" si="333"/>
        <v>0.25517294290116105</v>
      </c>
      <c r="BF17" s="28">
        <f t="shared" si="333"/>
        <v>0.10388009785402412</v>
      </c>
      <c r="BG17" s="28">
        <f t="shared" si="333"/>
        <v>1.4346529526258428E-2</v>
      </c>
      <c r="BH17" s="28">
        <f t="shared" si="333"/>
        <v>0.29998607759420837</v>
      </c>
      <c r="BI17" s="28">
        <f t="shared" si="333"/>
        <v>0.2767775131706417</v>
      </c>
      <c r="BJ17" s="28">
        <f t="shared" si="333"/>
        <v>1.1674947316608023E-2</v>
      </c>
      <c r="BK17" s="28">
        <f t="shared" si="333"/>
        <v>3.0255012571042194E-2</v>
      </c>
      <c r="BL17" s="28">
        <f t="shared" si="333"/>
        <v>9.5285264807570408E-2</v>
      </c>
      <c r="BM17" s="28">
        <f t="shared" si="333"/>
        <v>-8.0084882360257591E-3</v>
      </c>
      <c r="BN17" s="28">
        <f t="shared" si="333"/>
        <v>0.13819128879721254</v>
      </c>
      <c r="BO17" s="28">
        <f t="shared" si="333"/>
        <v>0.27233525402834369</v>
      </c>
      <c r="BP17" s="28">
        <f t="shared" si="333"/>
        <v>0.35256911261600676</v>
      </c>
      <c r="BQ17" s="28">
        <f t="shared" si="333"/>
        <v>0.53374709076803717</v>
      </c>
      <c r="BR17" s="28">
        <f t="shared" si="333"/>
        <v>4.8638251323327705E-2</v>
      </c>
      <c r="BS17" s="28">
        <f t="shared" si="333"/>
        <v>-3.3143015344955139E-2</v>
      </c>
      <c r="BT17" s="28">
        <f t="shared" si="333"/>
        <v>0.38239179423420622</v>
      </c>
      <c r="BU17" s="28">
        <f t="shared" si="333"/>
        <v>0.26513442899720102</v>
      </c>
      <c r="BV17" s="28">
        <f t="shared" si="333"/>
        <v>0.36127169897162748</v>
      </c>
      <c r="BW17" s="28">
        <f t="shared" si="333"/>
        <v>0.3571753156021043</v>
      </c>
      <c r="BX17" s="28">
        <f t="shared" si="333"/>
        <v>0.59235492923344879</v>
      </c>
      <c r="BY17" s="28">
        <f t="shared" si="333"/>
        <v>4.5115562786809026E-2</v>
      </c>
      <c r="BZ17" s="28">
        <f t="shared" si="333"/>
        <v>0.18591446398974218</v>
      </c>
      <c r="CA17" s="28">
        <f t="shared" si="333"/>
        <v>0.20274317853210763</v>
      </c>
      <c r="CB17" s="28">
        <f t="shared" si="333"/>
        <v>2.5947317129098899E-2</v>
      </c>
      <c r="CC17" s="28">
        <f t="shared" si="333"/>
        <v>-4.9337228985950957E-2</v>
      </c>
      <c r="CD17" s="28">
        <f t="shared" si="333"/>
        <v>1.9880805944269869E-3</v>
      </c>
      <c r="CE17" s="28">
        <f t="shared" si="333"/>
        <v>0.28249093690408827</v>
      </c>
      <c r="CF17" s="28">
        <f t="shared" si="333"/>
        <v>0.16651506265634161</v>
      </c>
      <c r="CG17" s="28">
        <f t="shared" si="333"/>
        <v>6.1852151689763046E-2</v>
      </c>
      <c r="CH17" s="28">
        <f t="shared" si="333"/>
        <v>0.11306597283779832</v>
      </c>
      <c r="CI17" s="28">
        <f t="shared" si="333"/>
        <v>0.437509247775826</v>
      </c>
      <c r="CJ17" s="28">
        <f t="shared" si="333"/>
        <v>-0.21099008933361774</v>
      </c>
      <c r="CK17" s="28">
        <f t="shared" si="333"/>
        <v>1.0685964063769215E-2</v>
      </c>
      <c r="CL17" s="28">
        <f t="shared" si="333"/>
        <v>0.17877524306178691</v>
      </c>
      <c r="CM17" s="28">
        <f t="shared" si="333"/>
        <v>-0.33116321340871946</v>
      </c>
      <c r="CN17" s="28">
        <f t="shared" si="333"/>
        <v>-0.1291703566774047</v>
      </c>
      <c r="CO17" s="28">
        <f t="shared" ref="CO17:CZ17" si="334">(CO14-CO16)/CO16</f>
        <v>0.12476805359944525</v>
      </c>
      <c r="CP17" s="28">
        <f t="shared" si="334"/>
        <v>-0.11130144671683558</v>
      </c>
      <c r="CQ17" s="28">
        <f t="shared" si="334"/>
        <v>7.3081620359291319E-2</v>
      </c>
      <c r="CR17" s="28">
        <f t="shared" si="334"/>
        <v>-0.10069385337155561</v>
      </c>
      <c r="CS17" s="28">
        <f t="shared" si="334"/>
        <v>3.0657860316093251E-2</v>
      </c>
      <c r="CT17" s="28">
        <f t="shared" si="334"/>
        <v>2.6674342736518902E-2</v>
      </c>
      <c r="CU17" s="28">
        <f t="shared" si="334"/>
        <v>-0.15458531818933005</v>
      </c>
      <c r="CV17" s="28">
        <f t="shared" si="334"/>
        <v>-0.10360040627610315</v>
      </c>
      <c r="CW17" s="28">
        <f t="shared" si="334"/>
        <v>-8.1022453474449752E-2</v>
      </c>
      <c r="CX17" s="28">
        <f t="shared" si="334"/>
        <v>-0.1853444216508818</v>
      </c>
      <c r="CY17" s="28">
        <f t="shared" si="334"/>
        <v>0.19187668514939446</v>
      </c>
      <c r="CZ17" s="28">
        <f t="shared" si="334"/>
        <v>-0.15155430068449935</v>
      </c>
      <c r="DA17" s="28">
        <f t="shared" ref="DA17:DB17" si="335">(DA14-DA16)/DA16</f>
        <v>-0.2753769300635785</v>
      </c>
      <c r="DB17" s="28">
        <f t="shared" si="335"/>
        <v>-0.14431916943058037</v>
      </c>
      <c r="DC17" s="28">
        <f t="shared" ref="DC17:DD17" si="336">(DC14-DC16)/DC16</f>
        <v>-0.17995264798337693</v>
      </c>
      <c r="DD17" s="28">
        <f t="shared" si="336"/>
        <v>-0.18268814221734656</v>
      </c>
      <c r="DE17" s="28">
        <f t="shared" ref="DE17:DF17" si="337">(DE14-DE16)/DE16</f>
        <v>-0.15254133688841315</v>
      </c>
      <c r="DF17" s="28">
        <f t="shared" si="337"/>
        <v>4.6342530773460067E-2</v>
      </c>
      <c r="DG17" s="28">
        <f t="shared" ref="DG17:DH17" si="338">(DG14-DG16)/DG16</f>
        <v>0.11093643769270069</v>
      </c>
      <c r="DH17" s="28">
        <f t="shared" si="338"/>
        <v>1.8268890943556403E-2</v>
      </c>
      <c r="DI17" s="28">
        <f t="shared" ref="DI17:DJ17" si="339">(DI14-DI16)/DI16</f>
        <v>2.1276130499431469E-2</v>
      </c>
      <c r="DJ17" s="28">
        <f t="shared" si="339"/>
        <v>-0.12002432720085152</v>
      </c>
      <c r="DK17" s="28">
        <f t="shared" ref="DK17:DL17" si="340">(DK14-DK16)/DK16</f>
        <v>0.34234460554108626</v>
      </c>
      <c r="DL17" s="28">
        <f t="shared" si="340"/>
        <v>0.10374664951099784</v>
      </c>
      <c r="DM17" s="28">
        <f t="shared" ref="DM17:DN17" si="341">(DM14-DM16)/DM16</f>
        <v>0.27541568364542668</v>
      </c>
      <c r="DN17" s="28">
        <f t="shared" si="341"/>
        <v>9.775826207534076E-2</v>
      </c>
      <c r="DO17" s="28">
        <f t="shared" ref="DO17:DP17" si="342">(DO14-DO16)/DO16</f>
        <v>0.1110808192149125</v>
      </c>
      <c r="DP17" s="28">
        <f t="shared" si="342"/>
        <v>0.12851223584163035</v>
      </c>
      <c r="DQ17" s="28">
        <f t="shared" ref="DQ17:DR17" si="343">(DQ14-DQ16)/DQ16</f>
        <v>0.222263853242328</v>
      </c>
      <c r="DR17" s="28">
        <f t="shared" si="343"/>
        <v>5.6417209640983346E-2</v>
      </c>
      <c r="DS17" s="28">
        <f t="shared" ref="DS17:DT17" si="344">(DS14-DS16)/DS16</f>
        <v>0.10779911796667617</v>
      </c>
      <c r="DT17" s="28">
        <f t="shared" si="344"/>
        <v>-0.25667978264942853</v>
      </c>
      <c r="DU17" s="28">
        <f t="shared" ref="DU17:DV17" si="345">(DU14-DU16)/DU16</f>
        <v>0.14802867897032429</v>
      </c>
      <c r="DV17" s="28">
        <f t="shared" si="345"/>
        <v>-0.17615060591567308</v>
      </c>
      <c r="DW17" s="28">
        <f t="shared" ref="DW17:DX17" si="346">(DW14-DW16)/DW16</f>
        <v>-0.15420825141719385</v>
      </c>
      <c r="DX17" s="28">
        <f t="shared" si="346"/>
        <v>-7.7640393612303168E-2</v>
      </c>
      <c r="DY17" s="28">
        <f t="shared" ref="DY17:DZ17" si="347">(DY14-DY16)/DY16</f>
        <v>3.6456095221810057E-2</v>
      </c>
      <c r="DZ17" s="28">
        <f t="shared" si="347"/>
        <v>0.34355382152525776</v>
      </c>
      <c r="EA17" s="28">
        <f t="shared" ref="EA17:EB17" si="348">(EA14-EA16)/EA16</f>
        <v>-4.7426305155330438E-2</v>
      </c>
      <c r="EB17" s="28">
        <f t="shared" si="348"/>
        <v>9.1618764245586445E-2</v>
      </c>
      <c r="EC17" s="28">
        <f t="shared" ref="EC17:ED17" si="349">(EC14-EC16)/EC16</f>
        <v>0.10996732971336186</v>
      </c>
      <c r="ED17" s="28">
        <f t="shared" si="349"/>
        <v>1.2939918731965041E-2</v>
      </c>
      <c r="EE17" s="28">
        <f t="shared" ref="EE17:EF17" si="350">(EE14-EE16)/EE16</f>
        <v>-0.20069483307258376</v>
      </c>
      <c r="EF17" s="28">
        <f t="shared" si="350"/>
        <v>-0.26243670707495631</v>
      </c>
      <c r="EG17" s="28">
        <f t="shared" ref="EG17:EH17" si="351">(EG14-EG16)/EG16</f>
        <v>0.15190514275178699</v>
      </c>
      <c r="EH17" s="28">
        <f t="shared" si="351"/>
        <v>9.0092515322008793E-2</v>
      </c>
      <c r="EI17" s="28">
        <f t="shared" ref="EI17:EJ17" si="352">(EI14-EI16)/EI16</f>
        <v>-1</v>
      </c>
      <c r="EJ17" s="28">
        <f t="shared" si="352"/>
        <v>-4.6317806432368692E-2</v>
      </c>
      <c r="EK17" s="28">
        <f t="shared" ref="EK17:EL17" si="353">(EK14-EK16)/EK16</f>
        <v>3.3112122361269078E-2</v>
      </c>
      <c r="EL17" s="28">
        <f t="shared" si="353"/>
        <v>-9.4748361605600934E-3</v>
      </c>
      <c r="EM17" s="28">
        <f t="shared" ref="EM17:EN17" si="354">(EM14-EM16)/EM16</f>
        <v>6.1253598477425057E-2</v>
      </c>
      <c r="EN17" s="28">
        <f t="shared" si="354"/>
        <v>0.16624700239808149</v>
      </c>
      <c r="EO17" s="28">
        <f t="shared" ref="EO17:EP17" si="355">(EO14-EO16)/EO16</f>
        <v>0.4246670475276248</v>
      </c>
      <c r="EP17" s="28">
        <f t="shared" si="355"/>
        <v>0.21817841300303878</v>
      </c>
      <c r="EQ17" s="28">
        <f t="shared" ref="EQ17:ER17" si="356">(EQ14-EQ16)/EQ16</f>
        <v>5.6775165959508468E-2</v>
      </c>
      <c r="ER17" s="28">
        <f t="shared" si="356"/>
        <v>0.33155906203387542</v>
      </c>
      <c r="ES17" s="28">
        <f t="shared" ref="ES17:ET17" si="357">(ES14-ES16)/ES16</f>
        <v>8.208147276304803E-2</v>
      </c>
      <c r="ET17" s="28">
        <f t="shared" si="357"/>
        <v>-0.10712238540275922</v>
      </c>
      <c r="EU17" s="28">
        <f t="shared" ref="EU17:EV17" si="358">(EU14-EU16)/EU16</f>
        <v>0.12310737615626073</v>
      </c>
      <c r="EV17" s="28">
        <f t="shared" si="358"/>
        <v>0.19528307252133831</v>
      </c>
      <c r="EW17" s="28">
        <f t="shared" ref="EW17:EX17" si="359">(EW14-EW16)/EW16</f>
        <v>7.3598896569473091E-2</v>
      </c>
      <c r="EX17" s="28">
        <f t="shared" si="359"/>
        <v>1.7202295985041919E-2</v>
      </c>
      <c r="EY17" s="28">
        <f t="shared" ref="EY17:EZ17" si="360">(EY14-EY16)/EY16</f>
        <v>2.2271457692892016E-3</v>
      </c>
      <c r="EZ17" s="28">
        <f t="shared" si="360"/>
        <v>0.118579447170544</v>
      </c>
      <c r="FA17" s="28">
        <f t="shared" ref="FA17:FB17" si="361">(FA14-FA16)/FA16</f>
        <v>-4.3746004687833039E-2</v>
      </c>
      <c r="FB17" s="28">
        <f t="shared" si="361"/>
        <v>6.2502701279718978E-2</v>
      </c>
      <c r="FC17" s="28">
        <f t="shared" ref="FC17:FD17" si="362">(FC14-FC16)/FC16</f>
        <v>2.0947074982691247E-2</v>
      </c>
      <c r="FD17" s="28">
        <f t="shared" si="362"/>
        <v>0.14226663387271762</v>
      </c>
      <c r="FE17" s="28">
        <f t="shared" ref="FE17:FF17" si="363">(FE14-FE16)/FE16</f>
        <v>0.12826100940948507</v>
      </c>
      <c r="FF17" s="28">
        <f t="shared" si="363"/>
        <v>2.6390631534922774E-2</v>
      </c>
      <c r="FG17" s="28">
        <f t="shared" ref="FG17:FH17" si="364">(FG14-FG16)/FG16</f>
        <v>-5.1537014646761498E-2</v>
      </c>
      <c r="FH17" s="28">
        <f t="shared" si="364"/>
        <v>7.8848051718123591E-2</v>
      </c>
      <c r="FI17" s="28">
        <f t="shared" ref="FI17:FJ17" si="365">(FI14-FI16)/FI16</f>
        <v>4.9086821539449862E-2</v>
      </c>
      <c r="FJ17" s="28">
        <f t="shared" si="365"/>
        <v>0.35029323775954507</v>
      </c>
      <c r="FK17" s="28">
        <f t="shared" ref="FK17:FL17" si="366">(FK14-FK16)/FK16</f>
        <v>-7.2628109400481949E-2</v>
      </c>
      <c r="FL17" s="28">
        <f t="shared" si="366"/>
        <v>-1.8903101565329573E-2</v>
      </c>
      <c r="FM17" s="28">
        <f t="shared" ref="FM17:FN17" si="367">(FM14-FM16)/FM16</f>
        <v>2.1096030575701946E-2</v>
      </c>
      <c r="FN17" s="28">
        <f t="shared" si="367"/>
        <v>-9.6747444149943143E-2</v>
      </c>
      <c r="FO17" s="28">
        <f t="shared" ref="FO17:FP17" si="368">(FO14-FO16)/FO16</f>
        <v>-0.21417891609545817</v>
      </c>
      <c r="FP17" s="28">
        <f t="shared" si="368"/>
        <v>-0.154150333360417</v>
      </c>
      <c r="FQ17" s="28">
        <f t="shared" ref="FQ17:FR17" si="369">(FQ14-FQ16)/FQ16</f>
        <v>-0.12340660332533482</v>
      </c>
      <c r="FR17" s="28">
        <f t="shared" si="369"/>
        <v>-0.1402561196786242</v>
      </c>
      <c r="FS17" s="28">
        <f t="shared" ref="FS17:FT17" si="370">(FS14-FS16)/FS16</f>
        <v>0.13947541261467417</v>
      </c>
      <c r="FT17" s="28">
        <f t="shared" si="370"/>
        <v>0.47383731189029782</v>
      </c>
      <c r="FU17" s="28">
        <f t="shared" ref="FU17:FV17" si="371">(FU14-FU16)/FU16</f>
        <v>-0.11779356575534192</v>
      </c>
      <c r="FV17" s="28">
        <f t="shared" si="371"/>
        <v>-1.1039612039821874E-2</v>
      </c>
      <c r="FW17" s="28">
        <f t="shared" ref="FW17:FX17" si="372">(FW14-FW16)/FW16</f>
        <v>-4.6425176714165054E-3</v>
      </c>
      <c r="FX17" s="28">
        <f t="shared" si="372"/>
        <v>-6.6757168602938149E-2</v>
      </c>
      <c r="FY17" s="28">
        <f t="shared" ref="FY17:FZ17" si="373">(FY14-FY16)/FY16</f>
        <v>-0.23252464303288267</v>
      </c>
      <c r="FZ17" s="28">
        <f t="shared" si="373"/>
        <v>0.42762432490178609</v>
      </c>
      <c r="GA17" s="28">
        <f t="shared" ref="GA17:GB17" si="374">(GA14-GA16)/GA16</f>
        <v>-1.873545518750503E-2</v>
      </c>
      <c r="GB17" s="28">
        <f t="shared" si="374"/>
        <v>-6.5304529390813298E-2</v>
      </c>
      <c r="GC17" s="28">
        <f t="shared" ref="GC17:GD17" si="375">(GC14-GC16)/GC16</f>
        <v>6.0260619532189974E-2</v>
      </c>
      <c r="GD17" s="28">
        <f t="shared" si="375"/>
        <v>2.7671254318392718E-2</v>
      </c>
      <c r="GE17" s="28">
        <f t="shared" ref="GE17:GF17" si="376">(GE14-GE16)/GE16</f>
        <v>0.27342462393094691</v>
      </c>
      <c r="GF17" s="28">
        <f t="shared" si="376"/>
        <v>8.6737473713984936E-2</v>
      </c>
      <c r="GG17" s="28">
        <f t="shared" ref="GG17:GH17" si="377">(GG14-GG16)/GG16</f>
        <v>0.10739346674170697</v>
      </c>
      <c r="GH17" s="28">
        <f t="shared" si="377"/>
        <v>-0.13718606201792868</v>
      </c>
      <c r="GI17" s="28"/>
      <c r="GJ17" s="28">
        <f t="shared" ref="GJ17:GO17" si="378">(GJ14-GJ16)/GJ16</f>
        <v>0.3703236408937895</v>
      </c>
      <c r="GK17" s="28">
        <f t="shared" si="378"/>
        <v>4.02717850609981E-2</v>
      </c>
      <c r="GL17" s="28">
        <f t="shared" si="378"/>
        <v>-0.21542011207328346</v>
      </c>
      <c r="GM17" s="28">
        <f t="shared" si="378"/>
        <v>0.12071113554213063</v>
      </c>
      <c r="GN17" s="28">
        <f t="shared" si="378"/>
        <v>0.26036963092309218</v>
      </c>
      <c r="GO17" s="28">
        <f t="shared" si="378"/>
        <v>-3.4276346978757838E-2</v>
      </c>
      <c r="GP17" s="28">
        <f t="shared" ref="GP17:GQ17" si="379">(GP14-GP16)/GP16</f>
        <v>-0.27127871286464533</v>
      </c>
      <c r="GQ17" s="28">
        <f t="shared" si="379"/>
        <v>4.1734828370700632E-2</v>
      </c>
      <c r="GR17" s="109">
        <f t="shared" ref="GR17" si="380">(GR14-GR16)/GR16</f>
        <v>-0.13222021906932829</v>
      </c>
      <c r="GS17" s="157"/>
      <c r="GT17" s="2" t="s">
        <v>94</v>
      </c>
      <c r="GU17" s="11"/>
      <c r="GV17" s="11"/>
      <c r="GW17" s="58"/>
      <c r="GX17" s="58"/>
      <c r="GY17" s="58"/>
      <c r="GZ17" s="58"/>
      <c r="HA17" s="58"/>
    </row>
    <row r="18" spans="1:209" s="2" customFormat="1" ht="7.5" customHeight="1" x14ac:dyDescent="0.3">
      <c r="A18" s="8"/>
      <c r="B18" s="29"/>
      <c r="C18" s="30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111"/>
      <c r="GS18" s="156"/>
      <c r="GT18" s="9"/>
      <c r="GU18" s="9"/>
      <c r="GV18" s="9"/>
    </row>
    <row r="19" spans="1:209" ht="15" customHeight="1" x14ac:dyDescent="0.3">
      <c r="A19" s="168" t="s">
        <v>2</v>
      </c>
      <c r="B19" s="33" t="s">
        <v>2</v>
      </c>
      <c r="C19" s="17" t="s">
        <v>23</v>
      </c>
      <c r="D19" s="17">
        <v>5855.15</v>
      </c>
      <c r="E19" s="17">
        <v>5747</v>
      </c>
      <c r="F19" s="17">
        <v>6077.15</v>
      </c>
      <c r="G19" s="17">
        <v>5918.9</v>
      </c>
      <c r="H19" s="17">
        <v>5671.5</v>
      </c>
      <c r="I19" s="17">
        <v>4350.5</v>
      </c>
      <c r="J19" s="17">
        <v>4936.1000000000004</v>
      </c>
      <c r="K19" s="17">
        <v>4504.1000000000004</v>
      </c>
      <c r="L19" s="17">
        <v>4670.75</v>
      </c>
      <c r="M19" s="17">
        <v>5834.7</v>
      </c>
      <c r="N19" s="17">
        <v>5110.3500000000004</v>
      </c>
      <c r="O19" s="17">
        <v>6347.5</v>
      </c>
      <c r="P19" s="17">
        <v>7389.75</v>
      </c>
      <c r="Q19" s="17">
        <v>6380.7</v>
      </c>
      <c r="R19" s="17">
        <v>6359.4</v>
      </c>
      <c r="S19" s="17">
        <v>5886.9</v>
      </c>
      <c r="T19" s="17">
        <v>7154.6</v>
      </c>
      <c r="U19" s="17">
        <v>6663.05</v>
      </c>
      <c r="V19" s="17">
        <v>6569.25</v>
      </c>
      <c r="W19" s="17">
        <v>6418.4</v>
      </c>
      <c r="X19" s="17">
        <v>7100.62</v>
      </c>
      <c r="Y19" s="17">
        <v>10195.280000000001</v>
      </c>
      <c r="Z19" s="17">
        <v>7077.55</v>
      </c>
      <c r="AA19" s="17">
        <v>5689.35</v>
      </c>
      <c r="AB19" s="17">
        <v>5858.95</v>
      </c>
      <c r="AC19" s="17">
        <v>6266</v>
      </c>
      <c r="AD19" s="17">
        <v>6458.2</v>
      </c>
      <c r="AE19" s="17">
        <v>6811.75</v>
      </c>
      <c r="AF19" s="17">
        <v>7562.75</v>
      </c>
      <c r="AG19" s="17">
        <v>7036.1</v>
      </c>
      <c r="AH19" s="17">
        <v>6510.85</v>
      </c>
      <c r="AI19" s="17">
        <v>5734.6</v>
      </c>
      <c r="AJ19" s="17">
        <v>7400.8</v>
      </c>
      <c r="AK19" s="17">
        <v>6898</v>
      </c>
      <c r="AL19" s="17">
        <v>7199.95</v>
      </c>
      <c r="AM19" s="17">
        <v>10895.8</v>
      </c>
      <c r="AN19" s="17">
        <v>8084.9</v>
      </c>
      <c r="AO19" s="17">
        <v>7431.6</v>
      </c>
      <c r="AP19" s="17">
        <v>8555.5499999999993</v>
      </c>
      <c r="AQ19" s="17">
        <v>8749.9500000000007</v>
      </c>
      <c r="AR19" s="17">
        <v>6611</v>
      </c>
      <c r="AS19" s="17">
        <v>7012.65</v>
      </c>
      <c r="AT19" s="17">
        <v>7103.32</v>
      </c>
      <c r="AU19" s="17">
        <v>8892.6</v>
      </c>
      <c r="AV19" s="17">
        <v>9014.5</v>
      </c>
      <c r="AW19" s="17">
        <v>8000.3</v>
      </c>
      <c r="AX19" s="17">
        <v>7889.3</v>
      </c>
      <c r="AY19" s="17">
        <v>7297.55</v>
      </c>
      <c r="AZ19" s="17">
        <v>9345.65</v>
      </c>
      <c r="BA19" s="17">
        <v>8120.5</v>
      </c>
      <c r="BB19" s="17">
        <v>8238.2999999999993</v>
      </c>
      <c r="BC19" s="17">
        <v>8333.35</v>
      </c>
      <c r="BD19" s="17">
        <v>8578.25</v>
      </c>
      <c r="BE19" s="17">
        <v>9308.6</v>
      </c>
      <c r="BF19" s="17">
        <v>8556.5</v>
      </c>
      <c r="BG19" s="17">
        <v>8543.7900000000009</v>
      </c>
      <c r="BH19" s="17">
        <v>8066.65</v>
      </c>
      <c r="BI19" s="17">
        <v>9293.2000000000007</v>
      </c>
      <c r="BJ19" s="17">
        <v>7589.05</v>
      </c>
      <c r="BK19" s="17">
        <v>6448.25</v>
      </c>
      <c r="BL19" s="17">
        <v>7737.85</v>
      </c>
      <c r="BM19" s="17">
        <v>7703.95</v>
      </c>
      <c r="BN19" s="17">
        <v>8439.25</v>
      </c>
      <c r="BO19" s="17">
        <v>8392.85</v>
      </c>
      <c r="BP19" s="17">
        <v>8939.2000000000007</v>
      </c>
      <c r="BQ19" s="17">
        <v>8140.8</v>
      </c>
      <c r="BR19" s="17">
        <v>9187.25</v>
      </c>
      <c r="BS19" s="17">
        <v>8415.9</v>
      </c>
      <c r="BT19" s="17">
        <v>9091.1</v>
      </c>
      <c r="BU19" s="17">
        <v>7688.3</v>
      </c>
      <c r="BV19" s="17">
        <v>8863.0499999999993</v>
      </c>
      <c r="BW19" s="17">
        <v>11081.3</v>
      </c>
      <c r="BX19" s="17">
        <v>14521.3</v>
      </c>
      <c r="BY19" s="17">
        <v>14153.4</v>
      </c>
      <c r="BZ19" s="17">
        <v>8134.8</v>
      </c>
      <c r="CA19" s="17">
        <v>7554.94</v>
      </c>
      <c r="CB19" s="17">
        <v>9188.34</v>
      </c>
      <c r="CC19" s="17">
        <v>8493.9500000000007</v>
      </c>
      <c r="CD19" s="17">
        <v>9070.25</v>
      </c>
      <c r="CE19" s="17">
        <v>8399</v>
      </c>
      <c r="CF19" s="17">
        <v>8862.75</v>
      </c>
      <c r="CG19" s="17">
        <v>7919.9</v>
      </c>
      <c r="CH19" s="17">
        <v>8911.2999999999993</v>
      </c>
      <c r="CI19" s="17">
        <v>10286.75</v>
      </c>
      <c r="CJ19" s="17">
        <v>8275.4</v>
      </c>
      <c r="CK19" s="17">
        <v>9250.75</v>
      </c>
      <c r="CL19" s="17">
        <v>11085.2</v>
      </c>
      <c r="CM19" s="17">
        <v>11012.05</v>
      </c>
      <c r="CN19" s="17">
        <v>9972.6</v>
      </c>
      <c r="CO19" s="17">
        <v>8693.5499999999993</v>
      </c>
      <c r="CP19" s="17">
        <v>9039.4</v>
      </c>
      <c r="CQ19" s="17">
        <v>9995.65</v>
      </c>
      <c r="CR19" s="17">
        <v>9477.0499999999993</v>
      </c>
      <c r="CS19" s="17">
        <v>7476.15</v>
      </c>
      <c r="CT19" s="17">
        <v>8642.7999999999993</v>
      </c>
      <c r="CU19" s="17">
        <v>9554.25</v>
      </c>
      <c r="CV19" s="17">
        <v>8725.7000000000007</v>
      </c>
      <c r="CW19" s="17">
        <v>8252.7999999999993</v>
      </c>
      <c r="CX19" s="17">
        <v>7998.75</v>
      </c>
      <c r="CY19" s="17">
        <v>8545.5</v>
      </c>
      <c r="CZ19" s="17">
        <v>8342.7999999999993</v>
      </c>
      <c r="DA19" s="17">
        <v>7460.55</v>
      </c>
      <c r="DB19" s="17">
        <v>8768.2999999999993</v>
      </c>
      <c r="DC19" s="17">
        <v>7714.15</v>
      </c>
      <c r="DD19" s="17">
        <v>8739.25</v>
      </c>
      <c r="DE19" s="17">
        <v>7997.95</v>
      </c>
      <c r="DF19" s="17">
        <v>8306.75</v>
      </c>
      <c r="DG19" s="17">
        <v>8649.2999999999993</v>
      </c>
      <c r="DH19" s="17">
        <v>8614.4</v>
      </c>
      <c r="DI19" s="17">
        <v>8814.4500000000007</v>
      </c>
      <c r="DJ19" s="17">
        <v>6372.4</v>
      </c>
      <c r="DK19" s="17">
        <v>7300.95</v>
      </c>
      <c r="DL19" s="17">
        <v>8971.2999999999993</v>
      </c>
      <c r="DM19" s="17">
        <v>7010.95</v>
      </c>
      <c r="DN19" s="17">
        <v>8107.1</v>
      </c>
      <c r="DO19" s="17">
        <v>8953.4</v>
      </c>
      <c r="DP19" s="17">
        <v>10795.85</v>
      </c>
      <c r="DQ19" s="17">
        <v>9373</v>
      </c>
      <c r="DR19" s="17">
        <v>8826.64</v>
      </c>
      <c r="DS19" s="17">
        <v>8433.4500000000007</v>
      </c>
      <c r="DT19" s="17">
        <v>7855.1</v>
      </c>
      <c r="DU19" s="17">
        <v>7912.45</v>
      </c>
      <c r="DV19" s="17">
        <v>8064</v>
      </c>
      <c r="DW19" s="17">
        <v>10620.7</v>
      </c>
      <c r="DX19" s="17">
        <v>10231</v>
      </c>
      <c r="DY19" s="17">
        <v>10996.95</v>
      </c>
      <c r="DZ19" s="17">
        <v>12596.65</v>
      </c>
      <c r="EA19" s="17">
        <v>6657.35</v>
      </c>
      <c r="EB19" s="17">
        <v>7211.85</v>
      </c>
      <c r="EC19" s="17">
        <v>8138.8</v>
      </c>
      <c r="ED19" s="17">
        <v>8705.2999999999993</v>
      </c>
      <c r="EE19" s="17">
        <v>7484.8</v>
      </c>
      <c r="EF19" s="17">
        <v>7923.5</v>
      </c>
      <c r="EG19" s="17">
        <v>7529.35</v>
      </c>
      <c r="EH19" s="17">
        <v>7516.1</v>
      </c>
      <c r="EI19" s="17">
        <v>8941.2000000000007</v>
      </c>
      <c r="EJ19" s="17">
        <v>6997.75</v>
      </c>
      <c r="EK19" s="17">
        <v>8299.9500000000007</v>
      </c>
      <c r="EL19" s="17">
        <v>8466.15</v>
      </c>
      <c r="EM19" s="17">
        <v>8486.5499999999993</v>
      </c>
      <c r="EN19" s="17">
        <v>8988.7999999999993</v>
      </c>
      <c r="EO19" s="17">
        <v>9747.7999999999993</v>
      </c>
      <c r="EP19" s="17">
        <v>8000.3</v>
      </c>
      <c r="EQ19" s="17">
        <v>9237.5</v>
      </c>
      <c r="ER19" s="17">
        <v>7584.25</v>
      </c>
      <c r="ES19" s="17">
        <v>7120.6</v>
      </c>
      <c r="ET19" s="17">
        <v>7070.15</v>
      </c>
      <c r="EU19" s="17">
        <v>7901.15</v>
      </c>
      <c r="EV19" s="17">
        <v>6429.6</v>
      </c>
      <c r="EW19" s="17">
        <v>8847.65</v>
      </c>
      <c r="EX19" s="17">
        <v>7678.95</v>
      </c>
      <c r="EY19" s="17">
        <v>7484.55</v>
      </c>
      <c r="EZ19" s="17">
        <v>7502</v>
      </c>
      <c r="FA19" s="17">
        <v>6629.05</v>
      </c>
      <c r="FB19" s="17">
        <v>8360.2999999999993</v>
      </c>
      <c r="FC19" s="17">
        <v>10341.049999999999</v>
      </c>
      <c r="FD19" s="17">
        <v>9799.5499999999993</v>
      </c>
      <c r="FE19" s="17">
        <v>9341.65</v>
      </c>
      <c r="FF19" s="17">
        <v>8385.35</v>
      </c>
      <c r="FG19" s="17">
        <v>8149.35</v>
      </c>
      <c r="FH19" s="17">
        <v>9578.4500000000007</v>
      </c>
      <c r="FI19" s="17">
        <v>8123.95</v>
      </c>
      <c r="FJ19" s="17">
        <v>9047.5499999999993</v>
      </c>
      <c r="FK19" s="17">
        <v>9531.7000000000007</v>
      </c>
      <c r="FL19" s="17">
        <v>7750.5</v>
      </c>
      <c r="FM19" s="17">
        <v>7835.8</v>
      </c>
      <c r="FN19" s="17">
        <v>9732.4500000000007</v>
      </c>
      <c r="FO19" s="17">
        <v>8106.75</v>
      </c>
      <c r="FP19" s="17">
        <v>9485.85</v>
      </c>
      <c r="FQ19" s="17">
        <v>9273.9500000000007</v>
      </c>
      <c r="FR19" s="17">
        <v>9084.65</v>
      </c>
      <c r="FS19" s="17">
        <v>8032.95</v>
      </c>
      <c r="FT19" s="17">
        <v>8316.7999999999993</v>
      </c>
      <c r="FU19" s="17">
        <v>9528.4</v>
      </c>
      <c r="FV19" s="17">
        <v>9843.7999999999993</v>
      </c>
      <c r="FW19" s="17">
        <v>9754.2999999999993</v>
      </c>
      <c r="FX19" s="17">
        <v>11417</v>
      </c>
      <c r="FY19" s="17">
        <v>12823.6</v>
      </c>
      <c r="FZ19" s="17">
        <v>15005.2</v>
      </c>
      <c r="GA19" s="17">
        <v>6649.5</v>
      </c>
      <c r="GB19" s="17">
        <v>8664.5499999999993</v>
      </c>
      <c r="GC19" s="17">
        <v>7727.15</v>
      </c>
      <c r="GD19" s="17">
        <v>7746.9</v>
      </c>
      <c r="GE19" s="17">
        <v>7726.95</v>
      </c>
      <c r="GF19" s="17">
        <v>8190.7</v>
      </c>
      <c r="GG19" s="17">
        <v>8179.81</v>
      </c>
      <c r="GH19" s="17">
        <v>6742.66</v>
      </c>
      <c r="GI19" s="17">
        <v>7405.69</v>
      </c>
      <c r="GJ19" s="17">
        <v>8523.1</v>
      </c>
      <c r="GK19" s="17">
        <v>9346.8799999999992</v>
      </c>
      <c r="GL19" s="17">
        <v>8505.7999999999993</v>
      </c>
      <c r="GM19" s="17">
        <v>11301.95</v>
      </c>
      <c r="GN19" s="17">
        <v>10277.700000000001</v>
      </c>
      <c r="GO19" s="17">
        <v>8486.0300000000007</v>
      </c>
      <c r="GP19" s="17">
        <v>9188.35</v>
      </c>
      <c r="GQ19" s="17">
        <v>10574.4</v>
      </c>
      <c r="GR19" s="107">
        <v>10128</v>
      </c>
      <c r="GS19" s="153">
        <f>EQ19</f>
        <v>9237.5</v>
      </c>
      <c r="GT19" s="84" t="s">
        <v>23</v>
      </c>
      <c r="GU19" s="92" t="s">
        <v>369</v>
      </c>
      <c r="GV19" s="93"/>
      <c r="GW19" s="59"/>
      <c r="GX19" s="59"/>
      <c r="GY19" s="59"/>
      <c r="GZ19" s="59"/>
      <c r="HA19" s="59"/>
    </row>
    <row r="20" spans="1:209" ht="15" customHeight="1" x14ac:dyDescent="0.3">
      <c r="A20" s="169"/>
      <c r="B20" s="34"/>
      <c r="C20" s="17" t="s">
        <v>24</v>
      </c>
      <c r="D20" s="17">
        <v>10242</v>
      </c>
      <c r="E20" s="17">
        <v>9942.6</v>
      </c>
      <c r="F20" s="17">
        <v>11182.35</v>
      </c>
      <c r="G20" s="17">
        <v>11567.65</v>
      </c>
      <c r="H20" s="17">
        <v>10095.299999999999</v>
      </c>
      <c r="I20" s="17">
        <v>8741.75</v>
      </c>
      <c r="J20" s="17">
        <v>9032.7999999999993</v>
      </c>
      <c r="K20" s="17">
        <v>9003.2999999999993</v>
      </c>
      <c r="L20" s="17">
        <v>9440.5499999999993</v>
      </c>
      <c r="M20" s="17">
        <v>9712.6</v>
      </c>
      <c r="N20" s="17">
        <v>10103.799999999999</v>
      </c>
      <c r="O20" s="17">
        <v>10931.9</v>
      </c>
      <c r="P20" s="17">
        <v>14245.2</v>
      </c>
      <c r="Q20" s="17">
        <v>10843.25</v>
      </c>
      <c r="R20" s="17">
        <v>10892.35</v>
      </c>
      <c r="S20" s="17">
        <v>10987.1</v>
      </c>
      <c r="T20" s="17">
        <v>10512.1</v>
      </c>
      <c r="U20" s="17">
        <v>11368.6</v>
      </c>
      <c r="V20" s="17">
        <v>11266.1</v>
      </c>
      <c r="W20" s="17">
        <v>12198.85</v>
      </c>
      <c r="X20" s="17">
        <v>11502.35</v>
      </c>
      <c r="Y20" s="17">
        <v>16405.5</v>
      </c>
      <c r="Z20" s="17">
        <v>13674.2</v>
      </c>
      <c r="AA20" s="17">
        <v>10382.35</v>
      </c>
      <c r="AB20" s="17">
        <v>10367.549999999999</v>
      </c>
      <c r="AC20" s="17">
        <v>11883.7</v>
      </c>
      <c r="AD20" s="17">
        <v>10654.65</v>
      </c>
      <c r="AE20" s="17">
        <v>12029.45</v>
      </c>
      <c r="AF20" s="17">
        <v>14136.89</v>
      </c>
      <c r="AG20" s="17">
        <v>12328.55</v>
      </c>
      <c r="AH20" s="17">
        <v>10598.45</v>
      </c>
      <c r="AI20" s="17">
        <v>10135.200000000001</v>
      </c>
      <c r="AJ20" s="17">
        <v>13418.1</v>
      </c>
      <c r="AK20" s="17">
        <v>10784.7</v>
      </c>
      <c r="AL20" s="17">
        <v>13326.2</v>
      </c>
      <c r="AM20" s="17">
        <v>18240.400000000001</v>
      </c>
      <c r="AN20" s="17">
        <v>15776.9</v>
      </c>
      <c r="AO20" s="17">
        <v>13345.8</v>
      </c>
      <c r="AP20" s="17">
        <v>14922.7</v>
      </c>
      <c r="AQ20" s="17">
        <v>14778.05</v>
      </c>
      <c r="AR20" s="17">
        <v>11352</v>
      </c>
      <c r="AS20" s="17">
        <v>13317.1</v>
      </c>
      <c r="AT20" s="17">
        <v>12059.55</v>
      </c>
      <c r="AU20" s="17">
        <v>16241.45</v>
      </c>
      <c r="AV20" s="17">
        <v>13282.3</v>
      </c>
      <c r="AW20" s="17">
        <v>14507.75</v>
      </c>
      <c r="AX20" s="17">
        <v>11712.7</v>
      </c>
      <c r="AY20" s="17">
        <v>12414.6</v>
      </c>
      <c r="AZ20" s="17">
        <v>14896.75</v>
      </c>
      <c r="BA20" s="17">
        <v>14687.7</v>
      </c>
      <c r="BB20" s="17">
        <v>12843.8</v>
      </c>
      <c r="BC20" s="17">
        <v>14321.05</v>
      </c>
      <c r="BD20" s="17">
        <v>15595.75</v>
      </c>
      <c r="BE20" s="17">
        <v>14993.6</v>
      </c>
      <c r="BF20" s="17">
        <v>12996.15</v>
      </c>
      <c r="BG20" s="17">
        <v>14501.5</v>
      </c>
      <c r="BH20" s="17">
        <v>14146.6</v>
      </c>
      <c r="BI20" s="17">
        <v>13228.85</v>
      </c>
      <c r="BJ20" s="17">
        <v>12876.45</v>
      </c>
      <c r="BK20" s="17">
        <v>11249.4</v>
      </c>
      <c r="BL20" s="17">
        <v>12236.25</v>
      </c>
      <c r="BM20" s="17">
        <v>13475.75</v>
      </c>
      <c r="BN20" s="17">
        <v>13314.7</v>
      </c>
      <c r="BO20" s="17">
        <v>13119.6</v>
      </c>
      <c r="BP20" s="17">
        <v>13913.05</v>
      </c>
      <c r="BQ20" s="17">
        <v>12483.95</v>
      </c>
      <c r="BR20" s="17">
        <v>15478.25</v>
      </c>
      <c r="BS20" s="17">
        <v>14312.8</v>
      </c>
      <c r="BT20" s="17">
        <v>13529.75</v>
      </c>
      <c r="BU20" s="17">
        <v>13313.55</v>
      </c>
      <c r="BV20" s="17">
        <v>14155.77</v>
      </c>
      <c r="BW20" s="17">
        <v>20143.150000000001</v>
      </c>
      <c r="BX20" s="17">
        <v>21790.2</v>
      </c>
      <c r="BY20" s="17">
        <v>18175.099999999999</v>
      </c>
      <c r="BZ20" s="17">
        <v>13797.2</v>
      </c>
      <c r="CA20" s="17">
        <v>10963.6</v>
      </c>
      <c r="CB20" s="17">
        <v>13319.25</v>
      </c>
      <c r="CC20" s="17">
        <v>12119</v>
      </c>
      <c r="CD20" s="17">
        <v>10929.5</v>
      </c>
      <c r="CE20" s="17">
        <v>12594.55</v>
      </c>
      <c r="CF20" s="17">
        <v>15994.3</v>
      </c>
      <c r="CG20" s="17">
        <v>13539.55</v>
      </c>
      <c r="CH20" s="17">
        <v>13320.6</v>
      </c>
      <c r="CI20" s="17">
        <v>17718.25</v>
      </c>
      <c r="CJ20" s="17">
        <v>13154.2</v>
      </c>
      <c r="CK20" s="17">
        <v>13219.45</v>
      </c>
      <c r="CL20" s="17">
        <v>15457.85</v>
      </c>
      <c r="CM20" s="17">
        <v>17401.150000000001</v>
      </c>
      <c r="CN20" s="17">
        <v>15386.75</v>
      </c>
      <c r="CO20" s="17">
        <f>12591.7+1250</f>
        <v>13841.7</v>
      </c>
      <c r="CP20" s="17">
        <v>12852.9</v>
      </c>
      <c r="CQ20" s="17">
        <v>14512.25</v>
      </c>
      <c r="CR20" s="17">
        <v>14508.9</v>
      </c>
      <c r="CS20" s="17">
        <v>12015.95</v>
      </c>
      <c r="CT20" s="17">
        <v>15420.35</v>
      </c>
      <c r="CU20" s="17">
        <v>14043.1</v>
      </c>
      <c r="CV20" s="17">
        <v>12795.4</v>
      </c>
      <c r="CW20" s="17">
        <v>13974.1</v>
      </c>
      <c r="CX20" s="17">
        <v>12260.05</v>
      </c>
      <c r="CY20" s="17">
        <v>11036.35</v>
      </c>
      <c r="CZ20" s="17">
        <v>13101.7</v>
      </c>
      <c r="DA20" s="17">
        <v>10706.35</v>
      </c>
      <c r="DB20" s="17">
        <v>15479.55</v>
      </c>
      <c r="DC20" s="17">
        <v>13064.9</v>
      </c>
      <c r="DD20" s="17">
        <v>13028.8</v>
      </c>
      <c r="DE20" s="17">
        <v>13949.8</v>
      </c>
      <c r="DF20" s="17">
        <v>12276.27</v>
      </c>
      <c r="DG20" s="17">
        <v>14731.5</v>
      </c>
      <c r="DH20" s="17">
        <v>16259.48</v>
      </c>
      <c r="DI20" s="17">
        <v>14118.2</v>
      </c>
      <c r="DJ20" s="17">
        <v>11825.05</v>
      </c>
      <c r="DK20" s="17">
        <v>12481.5</v>
      </c>
      <c r="DL20" s="17">
        <v>13768</v>
      </c>
      <c r="DM20" s="17">
        <v>12183.7</v>
      </c>
      <c r="DN20" s="17">
        <v>14519.5</v>
      </c>
      <c r="DO20" s="17">
        <v>14507.4</v>
      </c>
      <c r="DP20" s="17">
        <v>16896.45</v>
      </c>
      <c r="DQ20" s="17">
        <v>16787.400000000001</v>
      </c>
      <c r="DR20" s="17">
        <v>13686.59</v>
      </c>
      <c r="DS20" s="17">
        <v>12126</v>
      </c>
      <c r="DT20" s="17">
        <v>10598.65</v>
      </c>
      <c r="DU20" s="17">
        <v>11982.8</v>
      </c>
      <c r="DV20" s="17">
        <v>12768.45</v>
      </c>
      <c r="DW20" s="17">
        <v>19233.2</v>
      </c>
      <c r="DX20" s="17">
        <v>17887.400000000001</v>
      </c>
      <c r="DY20" s="17">
        <v>17577.5</v>
      </c>
      <c r="DZ20" s="17">
        <v>18970.75</v>
      </c>
      <c r="EA20" s="17">
        <v>12044.45</v>
      </c>
      <c r="EB20" s="17">
        <v>12193.8</v>
      </c>
      <c r="EC20" s="17">
        <v>12128.4</v>
      </c>
      <c r="ED20" s="17">
        <v>12352.6</v>
      </c>
      <c r="EE20" s="17">
        <v>12210.1</v>
      </c>
      <c r="EF20" s="17">
        <v>13186</v>
      </c>
      <c r="EG20" s="17">
        <v>12753.2</v>
      </c>
      <c r="EH20" s="17">
        <v>12024.25</v>
      </c>
      <c r="EI20" s="17">
        <v>14104.65</v>
      </c>
      <c r="EJ20" s="17">
        <v>12371.25</v>
      </c>
      <c r="EK20" s="17">
        <v>13675.05</v>
      </c>
      <c r="EL20" s="17">
        <v>14754.75</v>
      </c>
      <c r="EM20" s="17">
        <v>10338.200000000001</v>
      </c>
      <c r="EN20" s="17">
        <v>13227.5</v>
      </c>
      <c r="EO20" s="17">
        <v>15640.75</v>
      </c>
      <c r="EP20" s="17">
        <v>12059.3</v>
      </c>
      <c r="EQ20" s="17">
        <v>11175</v>
      </c>
      <c r="ER20" s="17">
        <v>11236.25</v>
      </c>
      <c r="ES20" s="17">
        <v>9983.2999999999993</v>
      </c>
      <c r="ET20" s="17">
        <v>10336.6</v>
      </c>
      <c r="EU20" s="17">
        <v>13716.87</v>
      </c>
      <c r="EV20" s="17">
        <v>10011.200000000001</v>
      </c>
      <c r="EW20" s="17">
        <v>14183.55</v>
      </c>
      <c r="EX20" s="17">
        <v>11261.75</v>
      </c>
      <c r="EY20" s="17">
        <v>10911.2</v>
      </c>
      <c r="EZ20" s="17">
        <v>10572.25</v>
      </c>
      <c r="FA20" s="17">
        <v>9637.35</v>
      </c>
      <c r="FB20" s="17">
        <v>12997.83</v>
      </c>
      <c r="FC20" s="17">
        <v>14759.85</v>
      </c>
      <c r="FD20" s="17">
        <v>15141.75</v>
      </c>
      <c r="FE20" s="17">
        <v>13653.35</v>
      </c>
      <c r="FF20" s="17">
        <v>11542.6</v>
      </c>
      <c r="FG20" s="17">
        <v>14328</v>
      </c>
      <c r="FH20" s="17">
        <v>13229.6</v>
      </c>
      <c r="FI20" s="17">
        <v>12607</v>
      </c>
      <c r="FJ20" s="17">
        <v>12167.8</v>
      </c>
      <c r="FK20" s="17">
        <v>13275.3</v>
      </c>
      <c r="FL20" s="17">
        <v>11458.45</v>
      </c>
      <c r="FM20" s="17">
        <v>12444.2</v>
      </c>
      <c r="FN20" s="17">
        <v>15282.7</v>
      </c>
      <c r="FO20" s="17">
        <v>13721.24</v>
      </c>
      <c r="FP20" s="17">
        <v>15688.55</v>
      </c>
      <c r="FQ20" s="17">
        <v>14876.2</v>
      </c>
      <c r="FR20" s="17">
        <v>12578.75</v>
      </c>
      <c r="FS20" s="17">
        <v>12850.8</v>
      </c>
      <c r="FT20" s="17">
        <v>12278.8</v>
      </c>
      <c r="FU20" s="17">
        <v>14655.55</v>
      </c>
      <c r="FV20" s="17">
        <v>16227.45</v>
      </c>
      <c r="FW20" s="17">
        <v>17868.599999999999</v>
      </c>
      <c r="FX20" s="17">
        <v>21329.15</v>
      </c>
      <c r="FY20" s="17">
        <v>17941.7</v>
      </c>
      <c r="FZ20" s="17">
        <v>26554.9</v>
      </c>
      <c r="GA20" s="17">
        <v>10202.1</v>
      </c>
      <c r="GB20" s="17">
        <v>12885.15</v>
      </c>
      <c r="GC20" s="17">
        <v>11655.5</v>
      </c>
      <c r="GD20" s="17">
        <v>13164.1</v>
      </c>
      <c r="GE20" s="17">
        <v>12260.25</v>
      </c>
      <c r="GF20" s="17">
        <v>13686.1</v>
      </c>
      <c r="GG20" s="17">
        <v>14049.96</v>
      </c>
      <c r="GH20" s="17">
        <v>11964.94</v>
      </c>
      <c r="GI20" s="17">
        <v>12819.66</v>
      </c>
      <c r="GJ20" s="17">
        <v>14396.25</v>
      </c>
      <c r="GK20" s="17">
        <v>13386.57</v>
      </c>
      <c r="GL20" s="17">
        <v>13885.5</v>
      </c>
      <c r="GM20" s="17">
        <v>19392</v>
      </c>
      <c r="GN20" s="17">
        <v>17805.05</v>
      </c>
      <c r="GO20" s="17">
        <v>15188.44</v>
      </c>
      <c r="GP20" s="17">
        <v>13433</v>
      </c>
      <c r="GQ20" s="17">
        <v>16169</v>
      </c>
      <c r="GR20" s="107">
        <v>15355.8</v>
      </c>
      <c r="GS20" s="153">
        <f>EQ20</f>
        <v>11175</v>
      </c>
      <c r="GT20" s="5" t="s">
        <v>24</v>
      </c>
      <c r="GU20" s="94" t="s">
        <v>367</v>
      </c>
      <c r="GV20" s="104">
        <f>DRY!AG7</f>
        <v>0.73008400734575862</v>
      </c>
      <c r="GW20" s="55"/>
      <c r="GX20" s="55"/>
      <c r="GY20" s="55"/>
      <c r="GZ20" s="55"/>
      <c r="HA20" s="55"/>
    </row>
    <row r="21" spans="1:209" s="2" customFormat="1" ht="15" customHeight="1" x14ac:dyDescent="0.3">
      <c r="A21" s="169"/>
      <c r="B21" s="19" t="s">
        <v>21</v>
      </c>
      <c r="C21" s="20"/>
      <c r="D21" s="20">
        <f>SUM(D19:D20)</f>
        <v>16097.15</v>
      </c>
      <c r="E21" s="20">
        <f t="shared" ref="E21:AZ21" si="381">SUM(E19:E20)</f>
        <v>15689.6</v>
      </c>
      <c r="F21" s="20">
        <f t="shared" si="381"/>
        <v>17259.5</v>
      </c>
      <c r="G21" s="20">
        <f t="shared" si="381"/>
        <v>17486.55</v>
      </c>
      <c r="H21" s="20">
        <f t="shared" si="381"/>
        <v>15766.8</v>
      </c>
      <c r="I21" s="20">
        <f t="shared" si="381"/>
        <v>13092.25</v>
      </c>
      <c r="J21" s="20">
        <f t="shared" si="381"/>
        <v>13968.9</v>
      </c>
      <c r="K21" s="20">
        <f t="shared" si="381"/>
        <v>13507.4</v>
      </c>
      <c r="L21" s="20">
        <f t="shared" si="381"/>
        <v>14111.3</v>
      </c>
      <c r="M21" s="20">
        <f t="shared" si="381"/>
        <v>15547.3</v>
      </c>
      <c r="N21" s="20">
        <f t="shared" si="381"/>
        <v>15214.15</v>
      </c>
      <c r="O21" s="20">
        <f t="shared" si="381"/>
        <v>17279.400000000001</v>
      </c>
      <c r="P21" s="20">
        <f t="shared" si="381"/>
        <v>21634.95</v>
      </c>
      <c r="Q21" s="20">
        <f t="shared" si="381"/>
        <v>17223.95</v>
      </c>
      <c r="R21" s="20">
        <f t="shared" si="381"/>
        <v>17251.75</v>
      </c>
      <c r="S21" s="20">
        <f t="shared" si="381"/>
        <v>16874</v>
      </c>
      <c r="T21" s="20">
        <f t="shared" si="381"/>
        <v>17666.7</v>
      </c>
      <c r="U21" s="20">
        <f t="shared" si="381"/>
        <v>18031.650000000001</v>
      </c>
      <c r="V21" s="20">
        <f t="shared" si="381"/>
        <v>17835.349999999999</v>
      </c>
      <c r="W21" s="20">
        <f t="shared" si="381"/>
        <v>18617.25</v>
      </c>
      <c r="X21" s="20">
        <f t="shared" si="381"/>
        <v>18602.97</v>
      </c>
      <c r="Y21" s="20">
        <f t="shared" si="381"/>
        <v>26600.78</v>
      </c>
      <c r="Z21" s="20">
        <f t="shared" si="381"/>
        <v>20751.75</v>
      </c>
      <c r="AA21" s="20">
        <f t="shared" si="381"/>
        <v>16071.7</v>
      </c>
      <c r="AB21" s="20">
        <f t="shared" si="381"/>
        <v>16226.5</v>
      </c>
      <c r="AC21" s="20">
        <f t="shared" si="381"/>
        <v>18149.7</v>
      </c>
      <c r="AD21" s="20">
        <f t="shared" si="381"/>
        <v>17112.849999999999</v>
      </c>
      <c r="AE21" s="20">
        <f t="shared" si="381"/>
        <v>18841.2</v>
      </c>
      <c r="AF21" s="20">
        <f t="shared" si="381"/>
        <v>21699.64</v>
      </c>
      <c r="AG21" s="20">
        <f t="shared" si="381"/>
        <v>19364.650000000001</v>
      </c>
      <c r="AH21" s="20">
        <f t="shared" si="381"/>
        <v>17109.300000000003</v>
      </c>
      <c r="AI21" s="20">
        <f t="shared" si="381"/>
        <v>15869.800000000001</v>
      </c>
      <c r="AJ21" s="20">
        <f t="shared" si="381"/>
        <v>20818.900000000001</v>
      </c>
      <c r="AK21" s="20">
        <f t="shared" si="381"/>
        <v>17682.7</v>
      </c>
      <c r="AL21" s="20">
        <f t="shared" si="381"/>
        <v>20526.150000000001</v>
      </c>
      <c r="AM21" s="20">
        <f t="shared" si="381"/>
        <v>29136.2</v>
      </c>
      <c r="AN21" s="20">
        <f t="shared" si="381"/>
        <v>23861.8</v>
      </c>
      <c r="AO21" s="20">
        <f t="shared" si="381"/>
        <v>20777.400000000001</v>
      </c>
      <c r="AP21" s="20">
        <f t="shared" si="381"/>
        <v>23478.25</v>
      </c>
      <c r="AQ21" s="20">
        <f t="shared" si="381"/>
        <v>23528</v>
      </c>
      <c r="AR21" s="20">
        <f t="shared" si="381"/>
        <v>17963</v>
      </c>
      <c r="AS21" s="20">
        <f t="shared" si="381"/>
        <v>20329.75</v>
      </c>
      <c r="AT21" s="20">
        <f t="shared" si="381"/>
        <v>19162.87</v>
      </c>
      <c r="AU21" s="20">
        <f t="shared" si="381"/>
        <v>25134.050000000003</v>
      </c>
      <c r="AV21" s="20">
        <f t="shared" si="381"/>
        <v>22296.799999999999</v>
      </c>
      <c r="AW21" s="20">
        <f t="shared" si="381"/>
        <v>22508.05</v>
      </c>
      <c r="AX21" s="20">
        <f t="shared" si="381"/>
        <v>19602</v>
      </c>
      <c r="AY21" s="20">
        <f t="shared" si="381"/>
        <v>19712.150000000001</v>
      </c>
      <c r="AZ21" s="20">
        <f t="shared" si="381"/>
        <v>24242.400000000001</v>
      </c>
      <c r="BA21" s="20">
        <f t="shared" ref="BA21:BR21" si="382">SUM(BA19:BA20)</f>
        <v>22808.2</v>
      </c>
      <c r="BB21" s="20">
        <f t="shared" si="382"/>
        <v>21082.1</v>
      </c>
      <c r="BC21" s="20">
        <f t="shared" si="382"/>
        <v>22654.400000000001</v>
      </c>
      <c r="BD21" s="20">
        <f t="shared" si="382"/>
        <v>24174</v>
      </c>
      <c r="BE21" s="20">
        <f t="shared" si="382"/>
        <v>24302.2</v>
      </c>
      <c r="BF21" s="20">
        <f t="shared" si="382"/>
        <v>21552.65</v>
      </c>
      <c r="BG21" s="20">
        <f t="shared" si="382"/>
        <v>23045.29</v>
      </c>
      <c r="BH21" s="20">
        <f t="shared" si="382"/>
        <v>22213.25</v>
      </c>
      <c r="BI21" s="20">
        <f t="shared" si="382"/>
        <v>22522.050000000003</v>
      </c>
      <c r="BJ21" s="20">
        <f t="shared" si="382"/>
        <v>20465.5</v>
      </c>
      <c r="BK21" s="20">
        <f t="shared" si="382"/>
        <v>17697.650000000001</v>
      </c>
      <c r="BL21" s="20">
        <f t="shared" si="382"/>
        <v>19974.099999999999</v>
      </c>
      <c r="BM21" s="20">
        <f t="shared" si="382"/>
        <v>21179.7</v>
      </c>
      <c r="BN21" s="20">
        <f t="shared" si="382"/>
        <v>21753.95</v>
      </c>
      <c r="BO21" s="20">
        <f t="shared" si="382"/>
        <v>21512.45</v>
      </c>
      <c r="BP21" s="20">
        <f t="shared" si="382"/>
        <v>22852.25</v>
      </c>
      <c r="BQ21" s="20">
        <f t="shared" si="382"/>
        <v>20624.75</v>
      </c>
      <c r="BR21" s="20">
        <f t="shared" si="382"/>
        <v>24665.5</v>
      </c>
      <c r="BS21" s="20">
        <f t="shared" ref="BS21:BW21" si="383">SUM(BS19:BS20)</f>
        <v>22728.699999999997</v>
      </c>
      <c r="BT21" s="20">
        <f t="shared" si="383"/>
        <v>22620.85</v>
      </c>
      <c r="BU21" s="20">
        <f t="shared" si="383"/>
        <v>21001.85</v>
      </c>
      <c r="BV21" s="20">
        <f t="shared" si="383"/>
        <v>23018.82</v>
      </c>
      <c r="BW21" s="20">
        <f t="shared" si="383"/>
        <v>31224.45</v>
      </c>
      <c r="BX21" s="20">
        <f t="shared" ref="BX21:CN21" si="384">SUM(BX19:BX20)</f>
        <v>36311.5</v>
      </c>
      <c r="BY21" s="20">
        <f t="shared" si="384"/>
        <v>32328.5</v>
      </c>
      <c r="BZ21" s="20">
        <f t="shared" si="384"/>
        <v>21932</v>
      </c>
      <c r="CA21" s="20">
        <f t="shared" si="384"/>
        <v>18518.54</v>
      </c>
      <c r="CB21" s="20">
        <f t="shared" si="384"/>
        <v>22507.59</v>
      </c>
      <c r="CC21" s="20">
        <f t="shared" si="384"/>
        <v>20612.95</v>
      </c>
      <c r="CD21" s="20">
        <f t="shared" si="384"/>
        <v>19999.75</v>
      </c>
      <c r="CE21" s="20">
        <f t="shared" si="384"/>
        <v>20993.55</v>
      </c>
      <c r="CF21" s="20">
        <f t="shared" si="384"/>
        <v>24857.05</v>
      </c>
      <c r="CG21" s="20">
        <f t="shared" si="384"/>
        <v>21459.449999999997</v>
      </c>
      <c r="CH21" s="20">
        <f t="shared" si="384"/>
        <v>22231.9</v>
      </c>
      <c r="CI21" s="20">
        <f t="shared" si="384"/>
        <v>28005</v>
      </c>
      <c r="CJ21" s="20">
        <f t="shared" si="384"/>
        <v>21429.599999999999</v>
      </c>
      <c r="CK21" s="20">
        <f t="shared" si="384"/>
        <v>22470.2</v>
      </c>
      <c r="CL21" s="20">
        <f t="shared" si="384"/>
        <v>26543.050000000003</v>
      </c>
      <c r="CM21" s="20">
        <f t="shared" si="384"/>
        <v>28413.200000000001</v>
      </c>
      <c r="CN21" s="20">
        <f t="shared" si="384"/>
        <v>25359.35</v>
      </c>
      <c r="CO21" s="20">
        <f t="shared" ref="CO21:CZ21" si="385">SUM(CO19:CO20)</f>
        <v>22535.25</v>
      </c>
      <c r="CP21" s="20">
        <f t="shared" si="385"/>
        <v>21892.3</v>
      </c>
      <c r="CQ21" s="20">
        <f t="shared" si="385"/>
        <v>24507.9</v>
      </c>
      <c r="CR21" s="20">
        <f t="shared" si="385"/>
        <v>23985.949999999997</v>
      </c>
      <c r="CS21" s="20">
        <f t="shared" si="385"/>
        <v>19492.099999999999</v>
      </c>
      <c r="CT21" s="20">
        <f t="shared" si="385"/>
        <v>24063.15</v>
      </c>
      <c r="CU21" s="20">
        <f t="shared" si="385"/>
        <v>23597.35</v>
      </c>
      <c r="CV21" s="20">
        <f t="shared" si="385"/>
        <v>21521.1</v>
      </c>
      <c r="CW21" s="20">
        <f t="shared" si="385"/>
        <v>22226.9</v>
      </c>
      <c r="CX21" s="20">
        <f t="shared" si="385"/>
        <v>20258.8</v>
      </c>
      <c r="CY21" s="20">
        <f t="shared" si="385"/>
        <v>19581.849999999999</v>
      </c>
      <c r="CZ21" s="20">
        <f t="shared" si="385"/>
        <v>21444.5</v>
      </c>
      <c r="DA21" s="20">
        <f t="shared" ref="DA21:DB21" si="386">SUM(DA19:DA20)</f>
        <v>18166.900000000001</v>
      </c>
      <c r="DB21" s="20">
        <f t="shared" si="386"/>
        <v>24247.85</v>
      </c>
      <c r="DC21" s="20">
        <f t="shared" ref="DC21:DD21" si="387">SUM(DC19:DC20)</f>
        <v>20779.05</v>
      </c>
      <c r="DD21" s="20">
        <f t="shared" si="387"/>
        <v>21768.05</v>
      </c>
      <c r="DE21" s="20">
        <f t="shared" ref="DE21:DF21" si="388">SUM(DE19:DE20)</f>
        <v>21947.75</v>
      </c>
      <c r="DF21" s="20">
        <f t="shared" si="388"/>
        <v>20583.02</v>
      </c>
      <c r="DG21" s="20">
        <f t="shared" ref="DG21:DH21" si="389">SUM(DG19:DG20)</f>
        <v>23380.799999999999</v>
      </c>
      <c r="DH21" s="20">
        <f t="shared" si="389"/>
        <v>24873.879999999997</v>
      </c>
      <c r="DI21" s="20">
        <f t="shared" ref="DI21:DJ21" si="390">SUM(DI19:DI20)</f>
        <v>22932.65</v>
      </c>
      <c r="DJ21" s="20">
        <f t="shared" si="390"/>
        <v>18197.449999999997</v>
      </c>
      <c r="DK21" s="20">
        <f t="shared" ref="DK21:DL21" si="391">SUM(DK19:DK20)</f>
        <v>19782.45</v>
      </c>
      <c r="DL21" s="20">
        <f t="shared" si="391"/>
        <v>22739.3</v>
      </c>
      <c r="DM21" s="20">
        <f t="shared" ref="DM21:DN21" si="392">SUM(DM19:DM20)</f>
        <v>19194.650000000001</v>
      </c>
      <c r="DN21" s="20">
        <f t="shared" si="392"/>
        <v>22626.6</v>
      </c>
      <c r="DO21" s="20">
        <f t="shared" ref="DO21:DP21" si="393">SUM(DO19:DO20)</f>
        <v>23460.799999999999</v>
      </c>
      <c r="DP21" s="20">
        <f t="shared" si="393"/>
        <v>27692.300000000003</v>
      </c>
      <c r="DQ21" s="20">
        <f t="shared" ref="DQ21:DR21" si="394">SUM(DQ19:DQ20)</f>
        <v>26160.400000000001</v>
      </c>
      <c r="DR21" s="20">
        <f t="shared" si="394"/>
        <v>22513.23</v>
      </c>
      <c r="DS21" s="20">
        <f t="shared" ref="DS21:DT21" si="395">SUM(DS19:DS20)</f>
        <v>20559.45</v>
      </c>
      <c r="DT21" s="20">
        <f t="shared" si="395"/>
        <v>18453.75</v>
      </c>
      <c r="DU21" s="20">
        <f t="shared" ref="DU21:DV21" si="396">SUM(DU19:DU20)</f>
        <v>19895.25</v>
      </c>
      <c r="DV21" s="20">
        <f t="shared" si="396"/>
        <v>20832.45</v>
      </c>
      <c r="DW21" s="20">
        <f t="shared" ref="DW21:DX21" si="397">SUM(DW19:DW20)</f>
        <v>29853.9</v>
      </c>
      <c r="DX21" s="20">
        <f t="shared" si="397"/>
        <v>28118.400000000001</v>
      </c>
      <c r="DY21" s="20">
        <f t="shared" ref="DY21:DZ21" si="398">SUM(DY19:DY20)</f>
        <v>28574.45</v>
      </c>
      <c r="DZ21" s="20">
        <f t="shared" si="398"/>
        <v>31567.4</v>
      </c>
      <c r="EA21" s="20">
        <f t="shared" ref="EA21:EB21" si="399">SUM(EA19:EA20)</f>
        <v>18701.800000000003</v>
      </c>
      <c r="EB21" s="20">
        <f t="shared" si="399"/>
        <v>19405.650000000001</v>
      </c>
      <c r="EC21" s="20">
        <f t="shared" ref="EC21:ED21" si="400">SUM(EC19:EC20)</f>
        <v>20267.2</v>
      </c>
      <c r="ED21" s="20">
        <f t="shared" si="400"/>
        <v>21057.9</v>
      </c>
      <c r="EE21" s="20">
        <f t="shared" ref="EE21:EF21" si="401">SUM(EE19:EE20)</f>
        <v>19694.900000000001</v>
      </c>
      <c r="EF21" s="20">
        <f t="shared" si="401"/>
        <v>21109.5</v>
      </c>
      <c r="EG21" s="20">
        <f t="shared" ref="EG21:EH21" si="402">SUM(EG19:EG20)</f>
        <v>20282.550000000003</v>
      </c>
      <c r="EH21" s="20">
        <f t="shared" si="402"/>
        <v>19540.349999999999</v>
      </c>
      <c r="EI21" s="20">
        <f t="shared" ref="EI21:EJ21" si="403">SUM(EI19:EI20)</f>
        <v>23045.85</v>
      </c>
      <c r="EJ21" s="20">
        <f t="shared" si="403"/>
        <v>19369</v>
      </c>
      <c r="EK21" s="20">
        <f t="shared" ref="EK21:EL21" si="404">SUM(EK19:EK20)</f>
        <v>21975</v>
      </c>
      <c r="EL21" s="20">
        <f t="shared" si="404"/>
        <v>23220.9</v>
      </c>
      <c r="EM21" s="20">
        <f t="shared" ref="EM21:EN21" si="405">SUM(EM19:EM20)</f>
        <v>18824.75</v>
      </c>
      <c r="EN21" s="20">
        <f t="shared" si="405"/>
        <v>22216.3</v>
      </c>
      <c r="EO21" s="20">
        <f t="shared" ref="EO21:EP21" si="406">SUM(EO19:EO20)</f>
        <v>25388.55</v>
      </c>
      <c r="EP21" s="20">
        <f t="shared" si="406"/>
        <v>20059.599999999999</v>
      </c>
      <c r="EQ21" s="20">
        <f t="shared" ref="EQ21:ER21" si="407">SUM(EQ19:EQ20)</f>
        <v>20412.5</v>
      </c>
      <c r="ER21" s="20">
        <f t="shared" si="407"/>
        <v>18820.5</v>
      </c>
      <c r="ES21" s="20">
        <f t="shared" ref="ES21:ET21" si="408">SUM(ES19:ES20)</f>
        <v>17103.900000000001</v>
      </c>
      <c r="ET21" s="20">
        <f t="shared" si="408"/>
        <v>17406.75</v>
      </c>
      <c r="EU21" s="20">
        <f t="shared" ref="EU21:EV21" si="409">SUM(EU19:EU20)</f>
        <v>21618.02</v>
      </c>
      <c r="EV21" s="20">
        <f t="shared" si="409"/>
        <v>16440.800000000003</v>
      </c>
      <c r="EW21" s="20">
        <f t="shared" ref="EW21:EX21" si="410">SUM(EW19:EW20)</f>
        <v>23031.199999999997</v>
      </c>
      <c r="EX21" s="20">
        <f t="shared" si="410"/>
        <v>18940.7</v>
      </c>
      <c r="EY21" s="20">
        <f t="shared" ref="EY21:EZ21" si="411">SUM(EY19:EY20)</f>
        <v>18395.75</v>
      </c>
      <c r="EZ21" s="20">
        <f t="shared" si="411"/>
        <v>18074.25</v>
      </c>
      <c r="FA21" s="20">
        <f t="shared" ref="FA21:FB21" si="412">SUM(FA19:FA20)</f>
        <v>16266.400000000001</v>
      </c>
      <c r="FB21" s="20">
        <f t="shared" si="412"/>
        <v>21358.129999999997</v>
      </c>
      <c r="FC21" s="20">
        <f t="shared" ref="FC21:FD21" si="413">SUM(FC19:FC20)</f>
        <v>25100.9</v>
      </c>
      <c r="FD21" s="20">
        <f t="shared" si="413"/>
        <v>24941.3</v>
      </c>
      <c r="FE21" s="20">
        <f t="shared" ref="FE21:FF21" si="414">SUM(FE19:FE20)</f>
        <v>22995</v>
      </c>
      <c r="FF21" s="20">
        <f t="shared" si="414"/>
        <v>19927.95</v>
      </c>
      <c r="FG21" s="20">
        <f t="shared" ref="FG21:FH21" si="415">SUM(FG19:FG20)</f>
        <v>22477.35</v>
      </c>
      <c r="FH21" s="20">
        <f t="shared" si="415"/>
        <v>22808.050000000003</v>
      </c>
      <c r="FI21" s="20">
        <f t="shared" ref="FI21:FJ21" si="416">SUM(FI19:FI20)</f>
        <v>20730.95</v>
      </c>
      <c r="FJ21" s="20">
        <f t="shared" si="416"/>
        <v>21215.35</v>
      </c>
      <c r="FK21" s="20">
        <f t="shared" ref="FK21:FL21" si="417">SUM(FK19:FK20)</f>
        <v>22807</v>
      </c>
      <c r="FL21" s="20">
        <f t="shared" si="417"/>
        <v>19208.95</v>
      </c>
      <c r="FM21" s="20">
        <f t="shared" ref="FM21:FN21" si="418">SUM(FM19:FM20)</f>
        <v>20280</v>
      </c>
      <c r="FN21" s="20">
        <f t="shared" si="418"/>
        <v>25015.15</v>
      </c>
      <c r="FO21" s="20">
        <f t="shared" ref="FO21:FP21" si="419">SUM(FO19:FO20)</f>
        <v>21827.989999999998</v>
      </c>
      <c r="FP21" s="20">
        <f t="shared" si="419"/>
        <v>25174.400000000001</v>
      </c>
      <c r="FQ21" s="20">
        <f t="shared" ref="FQ21:FR21" si="420">SUM(FQ19:FQ20)</f>
        <v>24150.15</v>
      </c>
      <c r="FR21" s="20">
        <f t="shared" si="420"/>
        <v>21663.4</v>
      </c>
      <c r="FS21" s="20">
        <f t="shared" ref="FS21:FT21" si="421">SUM(FS19:FS20)</f>
        <v>20883.75</v>
      </c>
      <c r="FT21" s="20">
        <f t="shared" si="421"/>
        <v>20595.599999999999</v>
      </c>
      <c r="FU21" s="20">
        <f t="shared" ref="FU21:FV21" si="422">SUM(FU19:FU20)</f>
        <v>24183.949999999997</v>
      </c>
      <c r="FV21" s="20">
        <f t="shared" si="422"/>
        <v>26071.25</v>
      </c>
      <c r="FW21" s="20">
        <f t="shared" ref="FW21:FX21" si="423">SUM(FW19:FW20)</f>
        <v>27622.899999999998</v>
      </c>
      <c r="FX21" s="20">
        <f t="shared" si="423"/>
        <v>32746.15</v>
      </c>
      <c r="FY21" s="20">
        <f t="shared" ref="FY21:FZ21" si="424">SUM(FY19:FY20)</f>
        <v>30765.300000000003</v>
      </c>
      <c r="FZ21" s="20">
        <f t="shared" si="424"/>
        <v>41560.100000000006</v>
      </c>
      <c r="GA21" s="20">
        <f t="shared" ref="GA21:GB21" si="425">SUM(GA19:GA20)</f>
        <v>16851.599999999999</v>
      </c>
      <c r="GB21" s="20">
        <f t="shared" si="425"/>
        <v>21549.699999999997</v>
      </c>
      <c r="GC21" s="20">
        <f t="shared" ref="GC21:GD21" si="426">SUM(GC19:GC20)</f>
        <v>19382.650000000001</v>
      </c>
      <c r="GD21" s="20">
        <f t="shared" si="426"/>
        <v>20911</v>
      </c>
      <c r="GE21" s="20">
        <f t="shared" ref="GE21:GF21" si="427">SUM(GE19:GE20)</f>
        <v>19987.2</v>
      </c>
      <c r="GF21" s="20">
        <f t="shared" si="427"/>
        <v>21876.799999999999</v>
      </c>
      <c r="GG21" s="20">
        <f t="shared" ref="GG21:GH21" si="428">SUM(GG19:GG20)</f>
        <v>22229.77</v>
      </c>
      <c r="GH21" s="20">
        <f t="shared" si="428"/>
        <v>18707.599999999999</v>
      </c>
      <c r="GI21" s="20">
        <f t="shared" ref="GI21:GJ21" si="429">SUM(GI19:GI20)</f>
        <v>20225.349999999999</v>
      </c>
      <c r="GJ21" s="20">
        <f t="shared" si="429"/>
        <v>22919.35</v>
      </c>
      <c r="GK21" s="20">
        <f t="shared" ref="GK21:GL21" si="430">SUM(GK19:GK20)</f>
        <v>22733.449999999997</v>
      </c>
      <c r="GL21" s="20">
        <f t="shared" si="430"/>
        <v>22391.3</v>
      </c>
      <c r="GM21" s="20">
        <f t="shared" ref="GM21:GN21" si="431">SUM(GM19:GM20)</f>
        <v>30693.95</v>
      </c>
      <c r="GN21" s="20">
        <f t="shared" si="431"/>
        <v>28082.75</v>
      </c>
      <c r="GO21" s="20">
        <f t="shared" ref="GO21:GP21" si="432">SUM(GO19:GO20)</f>
        <v>23674.47</v>
      </c>
      <c r="GP21" s="20">
        <f t="shared" si="432"/>
        <v>22621.35</v>
      </c>
      <c r="GQ21" s="20">
        <f t="shared" ref="GQ21:GR21" si="433">SUM(GQ19:GQ20)</f>
        <v>26743.4</v>
      </c>
      <c r="GR21" s="108">
        <f t="shared" si="433"/>
        <v>25483.8</v>
      </c>
      <c r="GS21" s="154">
        <f t="shared" ref="GS21" si="434">SUM(GS19+GS20)</f>
        <v>20412.5</v>
      </c>
      <c r="GT21" s="10" t="str">
        <f>B19</f>
        <v>BELL &amp; CROWN</v>
      </c>
      <c r="GU21" s="139" t="s">
        <v>398</v>
      </c>
      <c r="GV21" s="140">
        <f>DRY!AH7</f>
        <v>0.69824571216204379</v>
      </c>
      <c r="GW21" s="56">
        <f>AVERAGE(ES21:GR21)</f>
        <v>22701.043846153847</v>
      </c>
      <c r="GX21" s="56">
        <f>AVERAGE(FS21:GR21)</f>
        <v>24288.249615384615</v>
      </c>
      <c r="GY21" s="56">
        <f>AVERAGE(GF21:GR21)</f>
        <v>23721.795384615387</v>
      </c>
      <c r="GZ21" s="56">
        <f>AVERAGE(GN21:GR21)</f>
        <v>25321.154000000002</v>
      </c>
      <c r="HA21" s="56">
        <f>MAX(D21:GR21)</f>
        <v>41560.100000000006</v>
      </c>
    </row>
    <row r="22" spans="1:209" s="2" customFormat="1" ht="15" customHeight="1" x14ac:dyDescent="0.3">
      <c r="A22" s="169"/>
      <c r="B22" s="35" t="s">
        <v>365</v>
      </c>
      <c r="C22" s="21"/>
      <c r="D22" s="21"/>
      <c r="E22" s="21">
        <f>SUM(E21-D21)</f>
        <v>-407.54999999999927</v>
      </c>
      <c r="F22" s="21">
        <f t="shared" ref="F22:AN22" si="435">SUM(F21-E21)</f>
        <v>1569.8999999999996</v>
      </c>
      <c r="G22" s="21">
        <f t="shared" si="435"/>
        <v>227.04999999999927</v>
      </c>
      <c r="H22" s="21">
        <f t="shared" si="435"/>
        <v>-1719.75</v>
      </c>
      <c r="I22" s="21">
        <f t="shared" si="435"/>
        <v>-2674.5499999999993</v>
      </c>
      <c r="J22" s="21">
        <f t="shared" si="435"/>
        <v>876.64999999999964</v>
      </c>
      <c r="K22" s="21">
        <f t="shared" si="435"/>
        <v>-461.5</v>
      </c>
      <c r="L22" s="21">
        <f t="shared" si="435"/>
        <v>603.89999999999964</v>
      </c>
      <c r="M22" s="21">
        <f t="shared" si="435"/>
        <v>1436</v>
      </c>
      <c r="N22" s="21">
        <f t="shared" si="435"/>
        <v>-333.14999999999964</v>
      </c>
      <c r="O22" s="21">
        <f t="shared" si="435"/>
        <v>2065.2500000000018</v>
      </c>
      <c r="P22" s="21">
        <f t="shared" si="435"/>
        <v>4355.5499999999993</v>
      </c>
      <c r="Q22" s="21">
        <f t="shared" si="435"/>
        <v>-4411</v>
      </c>
      <c r="R22" s="21">
        <f t="shared" si="435"/>
        <v>27.799999999999272</v>
      </c>
      <c r="S22" s="21">
        <f t="shared" si="435"/>
        <v>-377.75</v>
      </c>
      <c r="T22" s="21">
        <f t="shared" si="435"/>
        <v>792.70000000000073</v>
      </c>
      <c r="U22" s="21">
        <f t="shared" si="435"/>
        <v>364.95000000000073</v>
      </c>
      <c r="V22" s="21">
        <f t="shared" si="435"/>
        <v>-196.30000000000291</v>
      </c>
      <c r="W22" s="21">
        <f t="shared" si="435"/>
        <v>781.90000000000146</v>
      </c>
      <c r="X22" s="21">
        <f t="shared" si="435"/>
        <v>-14.279999999998836</v>
      </c>
      <c r="Y22" s="21">
        <f t="shared" si="435"/>
        <v>7997.8099999999977</v>
      </c>
      <c r="Z22" s="21">
        <f t="shared" si="435"/>
        <v>-5849.0299999999988</v>
      </c>
      <c r="AA22" s="21">
        <f t="shared" si="435"/>
        <v>-4680.0499999999993</v>
      </c>
      <c r="AB22" s="21">
        <f t="shared" si="435"/>
        <v>154.79999999999927</v>
      </c>
      <c r="AC22" s="21">
        <f t="shared" si="435"/>
        <v>1923.2000000000007</v>
      </c>
      <c r="AD22" s="21">
        <f t="shared" si="435"/>
        <v>-1036.8500000000022</v>
      </c>
      <c r="AE22" s="21">
        <f t="shared" si="435"/>
        <v>1728.3500000000022</v>
      </c>
      <c r="AF22" s="21">
        <f t="shared" si="435"/>
        <v>2858.4399999999987</v>
      </c>
      <c r="AG22" s="21">
        <f t="shared" si="435"/>
        <v>-2334.989999999998</v>
      </c>
      <c r="AH22" s="21">
        <f t="shared" si="435"/>
        <v>-2255.3499999999985</v>
      </c>
      <c r="AI22" s="21">
        <f t="shared" si="435"/>
        <v>-1239.5000000000018</v>
      </c>
      <c r="AJ22" s="21">
        <f t="shared" si="435"/>
        <v>4949.1000000000004</v>
      </c>
      <c r="AK22" s="21">
        <f t="shared" si="435"/>
        <v>-3136.2000000000007</v>
      </c>
      <c r="AL22" s="21">
        <f t="shared" si="435"/>
        <v>2843.4500000000007</v>
      </c>
      <c r="AM22" s="21">
        <f t="shared" si="435"/>
        <v>8610.0499999999993</v>
      </c>
      <c r="AN22" s="21">
        <f t="shared" si="435"/>
        <v>-5274.4000000000015</v>
      </c>
      <c r="AO22" s="21">
        <f t="shared" ref="AO22:BA22" si="436">SUM(AO21-AN21)</f>
        <v>-3084.3999999999978</v>
      </c>
      <c r="AP22" s="21">
        <f t="shared" si="436"/>
        <v>2700.8499999999985</v>
      </c>
      <c r="AQ22" s="21">
        <f t="shared" si="436"/>
        <v>49.75</v>
      </c>
      <c r="AR22" s="21">
        <f t="shared" si="436"/>
        <v>-5565</v>
      </c>
      <c r="AS22" s="21">
        <f t="shared" si="436"/>
        <v>2366.75</v>
      </c>
      <c r="AT22" s="21">
        <f t="shared" si="436"/>
        <v>-1166.880000000001</v>
      </c>
      <c r="AU22" s="21">
        <f t="shared" si="436"/>
        <v>5971.1800000000039</v>
      </c>
      <c r="AV22" s="21">
        <f t="shared" si="436"/>
        <v>-2837.2500000000036</v>
      </c>
      <c r="AW22" s="21">
        <f t="shared" si="436"/>
        <v>211.25</v>
      </c>
      <c r="AX22" s="21">
        <f t="shared" si="436"/>
        <v>-2906.0499999999993</v>
      </c>
      <c r="AY22" s="21">
        <f t="shared" si="436"/>
        <v>110.15000000000146</v>
      </c>
      <c r="AZ22" s="21">
        <f t="shared" si="436"/>
        <v>4530.25</v>
      </c>
      <c r="BA22" s="21">
        <f t="shared" si="436"/>
        <v>-1434.2000000000007</v>
      </c>
      <c r="BB22" s="21">
        <f>SUM(BB21-BA21)</f>
        <v>-1726.1000000000022</v>
      </c>
      <c r="BC22" s="21">
        <f t="shared" ref="BC22:CO22" si="437">SUM(BC21-BB21)</f>
        <v>1572.3000000000029</v>
      </c>
      <c r="BD22" s="21">
        <f t="shared" si="437"/>
        <v>1519.5999999999985</v>
      </c>
      <c r="BE22" s="21">
        <f t="shared" si="437"/>
        <v>128.20000000000073</v>
      </c>
      <c r="BF22" s="21">
        <f t="shared" si="437"/>
        <v>-2749.5499999999993</v>
      </c>
      <c r="BG22" s="21">
        <f t="shared" si="437"/>
        <v>1492.6399999999994</v>
      </c>
      <c r="BH22" s="21">
        <f t="shared" si="437"/>
        <v>-832.04000000000087</v>
      </c>
      <c r="BI22" s="21">
        <f t="shared" si="437"/>
        <v>308.80000000000291</v>
      </c>
      <c r="BJ22" s="21">
        <f t="shared" si="437"/>
        <v>-2056.5500000000029</v>
      </c>
      <c r="BK22" s="21">
        <f t="shared" si="437"/>
        <v>-2767.8499999999985</v>
      </c>
      <c r="BL22" s="21">
        <f t="shared" si="437"/>
        <v>2276.4499999999971</v>
      </c>
      <c r="BM22" s="21">
        <f t="shared" si="437"/>
        <v>1205.6000000000022</v>
      </c>
      <c r="BN22" s="21">
        <f t="shared" si="437"/>
        <v>574.25</v>
      </c>
      <c r="BO22" s="21">
        <f t="shared" si="437"/>
        <v>-241.5</v>
      </c>
      <c r="BP22" s="21">
        <f t="shared" si="437"/>
        <v>1339.7999999999993</v>
      </c>
      <c r="BQ22" s="21">
        <f t="shared" si="437"/>
        <v>-2227.5</v>
      </c>
      <c r="BR22" s="21">
        <f t="shared" si="437"/>
        <v>4040.75</v>
      </c>
      <c r="BS22" s="21">
        <f t="shared" si="437"/>
        <v>-1936.8000000000029</v>
      </c>
      <c r="BT22" s="21">
        <f t="shared" si="437"/>
        <v>-107.84999999999854</v>
      </c>
      <c r="BU22" s="21">
        <f t="shared" si="437"/>
        <v>-1619</v>
      </c>
      <c r="BV22" s="21">
        <f t="shared" si="437"/>
        <v>2016.9700000000012</v>
      </c>
      <c r="BW22" s="21">
        <f t="shared" si="437"/>
        <v>8205.630000000001</v>
      </c>
      <c r="BX22" s="21">
        <f t="shared" si="437"/>
        <v>5087.0499999999993</v>
      </c>
      <c r="BY22" s="21">
        <f t="shared" si="437"/>
        <v>-3983</v>
      </c>
      <c r="BZ22" s="21">
        <f t="shared" si="437"/>
        <v>-10396.5</v>
      </c>
      <c r="CA22" s="21">
        <f t="shared" si="437"/>
        <v>-3413.4599999999991</v>
      </c>
      <c r="CB22" s="21">
        <f t="shared" si="437"/>
        <v>3989.0499999999993</v>
      </c>
      <c r="CC22" s="21">
        <f t="shared" si="437"/>
        <v>-1894.6399999999994</v>
      </c>
      <c r="CD22" s="21">
        <f t="shared" si="437"/>
        <v>-613.20000000000073</v>
      </c>
      <c r="CE22" s="21">
        <f t="shared" si="437"/>
        <v>993.79999999999927</v>
      </c>
      <c r="CF22" s="21">
        <f t="shared" si="437"/>
        <v>3863.5</v>
      </c>
      <c r="CG22" s="21">
        <f t="shared" si="437"/>
        <v>-3397.6000000000022</v>
      </c>
      <c r="CH22" s="21">
        <f t="shared" si="437"/>
        <v>772.45000000000437</v>
      </c>
      <c r="CI22" s="21">
        <f t="shared" si="437"/>
        <v>5773.0999999999985</v>
      </c>
      <c r="CJ22" s="21">
        <f t="shared" si="437"/>
        <v>-6575.4000000000015</v>
      </c>
      <c r="CK22" s="21">
        <f t="shared" si="437"/>
        <v>1040.6000000000022</v>
      </c>
      <c r="CL22" s="21">
        <f t="shared" si="437"/>
        <v>4072.8500000000022</v>
      </c>
      <c r="CM22" s="21">
        <f t="shared" si="437"/>
        <v>1870.1499999999978</v>
      </c>
      <c r="CN22" s="21">
        <f t="shared" si="437"/>
        <v>-3053.8500000000022</v>
      </c>
      <c r="CO22" s="21">
        <f t="shared" si="437"/>
        <v>-2824.0999999999985</v>
      </c>
      <c r="CP22" s="21">
        <f t="shared" ref="CP22:DH22" si="438">SUM(CP21-CO21)</f>
        <v>-642.95000000000073</v>
      </c>
      <c r="CQ22" s="21">
        <f t="shared" si="438"/>
        <v>2615.6000000000022</v>
      </c>
      <c r="CR22" s="21">
        <f t="shared" si="438"/>
        <v>-521.95000000000437</v>
      </c>
      <c r="CS22" s="21">
        <f t="shared" si="438"/>
        <v>-4493.8499999999985</v>
      </c>
      <c r="CT22" s="21">
        <f t="shared" si="438"/>
        <v>4571.0500000000029</v>
      </c>
      <c r="CU22" s="21">
        <f t="shared" si="438"/>
        <v>-465.80000000000291</v>
      </c>
      <c r="CV22" s="21">
        <f t="shared" si="438"/>
        <v>-2076.25</v>
      </c>
      <c r="CW22" s="21">
        <f t="shared" si="438"/>
        <v>705.80000000000291</v>
      </c>
      <c r="CX22" s="21">
        <f t="shared" si="438"/>
        <v>-1968.1000000000022</v>
      </c>
      <c r="CY22" s="21">
        <f t="shared" si="438"/>
        <v>-676.95000000000073</v>
      </c>
      <c r="CZ22" s="21">
        <f t="shared" si="438"/>
        <v>1862.6500000000015</v>
      </c>
      <c r="DA22" s="21">
        <f t="shared" si="438"/>
        <v>-3277.5999999999985</v>
      </c>
      <c r="DB22" s="21">
        <f t="shared" si="438"/>
        <v>6080.9499999999971</v>
      </c>
      <c r="DC22" s="21">
        <f t="shared" si="438"/>
        <v>-3468.7999999999993</v>
      </c>
      <c r="DD22" s="21">
        <f t="shared" si="438"/>
        <v>989</v>
      </c>
      <c r="DE22" s="21">
        <f t="shared" si="438"/>
        <v>179.70000000000073</v>
      </c>
      <c r="DF22" s="21">
        <f t="shared" si="438"/>
        <v>-1364.7299999999996</v>
      </c>
      <c r="DG22" s="21">
        <f t="shared" si="438"/>
        <v>2797.7799999999988</v>
      </c>
      <c r="DH22" s="21">
        <f t="shared" si="438"/>
        <v>1493.0799999999981</v>
      </c>
      <c r="DI22" s="28">
        <f t="shared" ref="DI22" si="439">SUM(DI21-DH21)/DH21</f>
        <v>-7.8042910876791077E-2</v>
      </c>
      <c r="DJ22" s="28">
        <f t="shared" ref="DJ22" si="440">SUM(DJ21-DI21)/DI21</f>
        <v>-0.20648289665607786</v>
      </c>
      <c r="DK22" s="28">
        <f t="shared" ref="DK22" si="441">SUM(DK21-DJ21)/DJ21</f>
        <v>8.7100115675548165E-2</v>
      </c>
      <c r="DL22" s="28">
        <f t="shared" ref="DL22" si="442">SUM(DL21-DK21)/DK21</f>
        <v>0.14946834188889641</v>
      </c>
      <c r="DM22" s="28">
        <f t="shared" ref="DM22" si="443">SUM(DM21-DL21)/DL21</f>
        <v>-0.15588210718887555</v>
      </c>
      <c r="DN22" s="28">
        <f t="shared" ref="DN22" si="444">SUM(DN21-DM21)/DM21</f>
        <v>0.17879721693284309</v>
      </c>
      <c r="DO22" s="28">
        <f t="shared" ref="DO22" si="445">SUM(DO21-DN21)/DN21</f>
        <v>3.6868110984416606E-2</v>
      </c>
      <c r="DP22" s="28">
        <f t="shared" ref="DP22" si="446">SUM(DP21-DO21)/DO21</f>
        <v>0.18036469344608896</v>
      </c>
      <c r="DQ22" s="28">
        <f t="shared" ref="DQ22" si="447">SUM(DQ21-DP21)/DP21</f>
        <v>-5.5318626477396292E-2</v>
      </c>
      <c r="DR22" s="28">
        <f t="shared" ref="DR22" si="448">SUM(DR21-DQ21)/DQ21</f>
        <v>-0.13941568171740501</v>
      </c>
      <c r="DS22" s="28">
        <f t="shared" ref="DS22" si="449">SUM(DS21-DR21)/DR21</f>
        <v>-8.6783637887588708E-2</v>
      </c>
      <c r="DT22" s="28">
        <f t="shared" ref="DT22" si="450">SUM(DT21-DS21)/DS21</f>
        <v>-0.10242005501119926</v>
      </c>
      <c r="DU22" s="28">
        <f t="shared" ref="DU22" si="451">SUM(DU21-DT21)/DT21</f>
        <v>7.8114204429993908E-2</v>
      </c>
      <c r="DV22" s="28">
        <f t="shared" ref="DV22" si="452">SUM(DV21-DU21)/DU21</f>
        <v>4.7106721453613339E-2</v>
      </c>
      <c r="DW22" s="28">
        <f t="shared" ref="DW22" si="453">SUM(DW21-DV21)/DV21</f>
        <v>0.43304796123355632</v>
      </c>
      <c r="DX22" s="28">
        <f t="shared" ref="DX22" si="454">SUM(DX21-DW21)/DW21</f>
        <v>-5.8133108237114747E-2</v>
      </c>
      <c r="DY22" s="28">
        <f t="shared" ref="DY22" si="455">SUM(DY21-DX21)/DX21</f>
        <v>1.6218917150335698E-2</v>
      </c>
      <c r="DZ22" s="28">
        <f t="shared" ref="DZ22" si="456">SUM(DZ21-DY21)/DY21</f>
        <v>0.10474217351515079</v>
      </c>
      <c r="EA22" s="28">
        <f t="shared" ref="EA22" si="457">SUM(EA21-DZ21)/DZ21</f>
        <v>-0.40755969766277861</v>
      </c>
      <c r="EB22" s="28">
        <f t="shared" ref="EB22" si="458">SUM(EB21-EA21)/EA21</f>
        <v>3.7635414772909478E-2</v>
      </c>
      <c r="EC22" s="28">
        <f t="shared" ref="EC22" si="459">SUM(EC21-EB21)/EB21</f>
        <v>4.439686379997574E-2</v>
      </c>
      <c r="ED22" s="28">
        <f t="shared" ref="ED22" si="460">SUM(ED21-EC21)/EC21</f>
        <v>3.9013775953264419E-2</v>
      </c>
      <c r="EE22" s="28">
        <f t="shared" ref="EE22" si="461">SUM(EE21-ED21)/ED21</f>
        <v>-6.4726302242863715E-2</v>
      </c>
      <c r="EF22" s="28">
        <f t="shared" ref="EF22" si="462">SUM(EF21-EE21)/EE21</f>
        <v>7.182570106982003E-2</v>
      </c>
      <c r="EG22" s="28">
        <f t="shared" ref="EG22" si="463">SUM(EG21-EF21)/EF21</f>
        <v>-3.9174305407517804E-2</v>
      </c>
      <c r="EH22" s="28">
        <f t="shared" ref="EH22" si="464">SUM(EH21-EG21)/EG21</f>
        <v>-3.6593031941250201E-2</v>
      </c>
      <c r="EI22" s="28">
        <f t="shared" ref="EI22" si="465">SUM(EI21-EH21)/EH21</f>
        <v>0.17939801487690857</v>
      </c>
      <c r="EJ22" s="28">
        <f t="shared" ref="EJ22" si="466">SUM(EJ21-EI21)/EI21</f>
        <v>-0.15954499400108907</v>
      </c>
      <c r="EK22" s="28">
        <f t="shared" ref="EK22" si="467">SUM(EK21-EJ21)/EJ21</f>
        <v>0.13454489132118333</v>
      </c>
      <c r="EL22" s="28">
        <f t="shared" ref="EL22" si="468">SUM(EL21-EK21)/EK21</f>
        <v>5.669624573378846E-2</v>
      </c>
      <c r="EM22" s="28">
        <f t="shared" ref="EM22" si="469">SUM(EM21-EL21)/EL21</f>
        <v>-0.1893186741254646</v>
      </c>
      <c r="EN22" s="28">
        <f t="shared" ref="EN22" si="470">SUM(EN21-EM21)/EM21</f>
        <v>0.18016441121396032</v>
      </c>
      <c r="EO22" s="28">
        <f t="shared" ref="EO22" si="471">SUM(EO21-EN21)/EN21</f>
        <v>0.14278930334934262</v>
      </c>
      <c r="EP22" s="28">
        <f t="shared" ref="EP22" si="472">SUM(EP21-EO21)/EO21</f>
        <v>-0.20989579948441328</v>
      </c>
      <c r="EQ22" s="28">
        <f t="shared" ref="EQ22" si="473">SUM(EQ21-EP21)/EP21</f>
        <v>1.759257412909537E-2</v>
      </c>
      <c r="ER22" s="28">
        <f t="shared" ref="ER22" si="474">SUM(ER21-EQ21)/EQ21</f>
        <v>-7.7991426821800366E-2</v>
      </c>
      <c r="ES22" s="28">
        <f t="shared" ref="ES22" si="475">SUM(ES21-ER21)/ER21</f>
        <v>-9.1209053957121144E-2</v>
      </c>
      <c r="ET22" s="28">
        <f t="shared" ref="ET22" si="476">SUM(ET21-ES21)/ES21</f>
        <v>1.7706487993966201E-2</v>
      </c>
      <c r="EU22" s="28">
        <f t="shared" ref="EU22" si="477">SUM(EU21-ET21)/ET21</f>
        <v>0.24193315811395008</v>
      </c>
      <c r="EV22" s="28">
        <f t="shared" ref="EV22" si="478">SUM(EV21-EU21)/EU21</f>
        <v>-0.23948631743332632</v>
      </c>
      <c r="EW22" s="28">
        <f t="shared" ref="EW22" si="479">SUM(EW21-EV21)/EV21</f>
        <v>0.40085640601430544</v>
      </c>
      <c r="EX22" s="28">
        <f t="shared" ref="EX22" si="480">SUM(EX21-EW21)/EW21</f>
        <v>-0.1776068984681648</v>
      </c>
      <c r="EY22" s="28">
        <f t="shared" ref="EY22" si="481">SUM(EY21-EX21)/EX21</f>
        <v>-2.8771375925916186E-2</v>
      </c>
      <c r="EZ22" s="28">
        <f t="shared" ref="EZ22" si="482">SUM(EZ21-EY21)/EY21</f>
        <v>-1.7476862862345923E-2</v>
      </c>
      <c r="FA22" s="28">
        <f t="shared" ref="FA22" si="483">SUM(FA21-EZ21)/EZ21</f>
        <v>-0.10002351411538507</v>
      </c>
      <c r="FB22" s="28">
        <f t="shared" ref="FB22" si="484">SUM(FB21-FA21)/FA21</f>
        <v>0.3130213200216394</v>
      </c>
      <c r="FC22" s="28">
        <f t="shared" ref="FC22" si="485">SUM(FC21-FB21)/FB21</f>
        <v>0.17523865619321563</v>
      </c>
      <c r="FD22" s="28">
        <f t="shared" ref="FD22" si="486">SUM(FD21-FC21)/FC21</f>
        <v>-6.3583377488457453E-3</v>
      </c>
      <c r="FE22" s="28">
        <f t="shared" ref="FE22" si="487">SUM(FE21-FD21)/FD21</f>
        <v>-7.8035226712320507E-2</v>
      </c>
      <c r="FF22" s="28">
        <f t="shared" ref="FF22" si="488">SUM(FF21-FE21)/FE21</f>
        <v>-0.13337899543378992</v>
      </c>
      <c r="FG22" s="28">
        <f t="shared" ref="FG22" si="489">SUM(FG21-FF21)/FF21</f>
        <v>0.1279308709626428</v>
      </c>
      <c r="FH22" s="28">
        <f t="shared" ref="FH22" si="490">SUM(FH21-FG21)/FG21</f>
        <v>1.4712588450151125E-2</v>
      </c>
      <c r="FI22" s="28">
        <f t="shared" ref="FI22" si="491">SUM(FI21-FH21)/FH21</f>
        <v>-9.1068723542784322E-2</v>
      </c>
      <c r="FJ22" s="28">
        <f t="shared" ref="FJ22" si="492">SUM(FJ21-FI21)/FI21</f>
        <v>2.336603001791996E-2</v>
      </c>
      <c r="FK22" s="28">
        <f t="shared" ref="FK22" si="493">SUM(FK21-FJ21)/FJ21</f>
        <v>7.5023508921606363E-2</v>
      </c>
      <c r="FL22" s="28">
        <f t="shared" ref="FL22" si="494">SUM(FL21-FK21)/FK21</f>
        <v>-0.15776077520059628</v>
      </c>
      <c r="FM22" s="28">
        <f t="shared" ref="FM22:GK22" si="495">SUM(FM21-FL21)/FL21</f>
        <v>5.5757862871213641E-2</v>
      </c>
      <c r="FN22" s="28">
        <f t="shared" si="495"/>
        <v>0.23348865877712038</v>
      </c>
      <c r="FO22" s="28">
        <f t="shared" si="495"/>
        <v>-0.12740919003084145</v>
      </c>
      <c r="FP22" s="28">
        <f t="shared" si="495"/>
        <v>0.15330820657330355</v>
      </c>
      <c r="FQ22" s="28">
        <f t="shared" si="495"/>
        <v>-4.0686173255370529E-2</v>
      </c>
      <c r="FR22" s="28">
        <f t="shared" si="495"/>
        <v>-0.1029703749252075</v>
      </c>
      <c r="FS22" s="28">
        <f t="shared" si="495"/>
        <v>-3.5989272228736088E-2</v>
      </c>
      <c r="FT22" s="28">
        <f t="shared" si="495"/>
        <v>-1.3797809301490462E-2</v>
      </c>
      <c r="FU22" s="28">
        <f t="shared" si="495"/>
        <v>0.17422896152576273</v>
      </c>
      <c r="FV22" s="28">
        <f t="shared" si="495"/>
        <v>7.8039360815747763E-2</v>
      </c>
      <c r="FW22" s="28">
        <f t="shared" si="495"/>
        <v>5.9515750107877366E-2</v>
      </c>
      <c r="FX22" s="28">
        <f t="shared" si="495"/>
        <v>0.18547111273617195</v>
      </c>
      <c r="FY22" s="28">
        <f t="shared" si="495"/>
        <v>-6.0491080630852741E-2</v>
      </c>
      <c r="FZ22" s="28">
        <f t="shared" si="495"/>
        <v>0.35087582438656545</v>
      </c>
      <c r="GA22" s="28">
        <f t="shared" si="495"/>
        <v>-0.59452455600443699</v>
      </c>
      <c r="GB22" s="28">
        <f t="shared" si="495"/>
        <v>0.27879251821785461</v>
      </c>
      <c r="GC22" s="28">
        <f t="shared" si="495"/>
        <v>-0.10056056464823157</v>
      </c>
      <c r="GD22" s="28">
        <f t="shared" si="495"/>
        <v>7.8851447041555126E-2</v>
      </c>
      <c r="GE22" s="28">
        <f t="shared" si="495"/>
        <v>-4.4177705513844354E-2</v>
      </c>
      <c r="GF22" s="28">
        <f t="shared" si="495"/>
        <v>9.4540505923791152E-2</v>
      </c>
      <c r="GG22" s="28">
        <f t="shared" si="495"/>
        <v>1.6134443794339263E-2</v>
      </c>
      <c r="GH22" s="28">
        <f t="shared" si="495"/>
        <v>-0.15844383455159464</v>
      </c>
      <c r="GI22" s="28">
        <f t="shared" si="495"/>
        <v>8.113012893155723E-2</v>
      </c>
      <c r="GJ22" s="28">
        <f t="shared" si="495"/>
        <v>0.1331991782589671</v>
      </c>
      <c r="GK22" s="28">
        <f t="shared" si="495"/>
        <v>-8.1110502697502966E-3</v>
      </c>
      <c r="GL22" s="28">
        <f t="shared" ref="GL22" si="496">(GL21-GK21)/GK21</f>
        <v>-1.5050509271579891E-2</v>
      </c>
      <c r="GM22" s="28">
        <f t="shared" ref="GM22" si="497">(GM21-GL21)/GL21</f>
        <v>0.3707980331646667</v>
      </c>
      <c r="GN22" s="28">
        <f t="shared" ref="GN22" si="498">(GN21-GM21)/GM21</f>
        <v>-8.507213962360663E-2</v>
      </c>
      <c r="GO22" s="28">
        <f t="shared" ref="GO22:GR22" si="499">(GO21-GN21)/GN21</f>
        <v>-0.15697465525990151</v>
      </c>
      <c r="GP22" s="28">
        <f t="shared" si="499"/>
        <v>-4.4483361190345655E-2</v>
      </c>
      <c r="GQ22" s="28">
        <f t="shared" si="499"/>
        <v>0.18221945197788827</v>
      </c>
      <c r="GR22" s="165">
        <f t="shared" si="499"/>
        <v>-4.7099471271416581E-2</v>
      </c>
      <c r="GS22" s="157"/>
      <c r="GT22" s="11"/>
      <c r="GU22" s="95" t="s">
        <v>368</v>
      </c>
      <c r="GV22" s="105">
        <f>LABOUR!AG9</f>
        <v>0.33296190167362633</v>
      </c>
      <c r="GW22" s="58"/>
      <c r="GX22" s="58"/>
      <c r="GY22" s="58"/>
      <c r="GZ22" s="58"/>
      <c r="HA22" s="58"/>
    </row>
    <row r="23" spans="1:209" s="2" customFormat="1" ht="15" customHeight="1" x14ac:dyDescent="0.3">
      <c r="A23" s="169"/>
      <c r="B23" s="22" t="s">
        <v>91</v>
      </c>
      <c r="C23" s="23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>
        <f t="shared" ref="BD23" si="500">D21</f>
        <v>16097.15</v>
      </c>
      <c r="BE23" s="25">
        <f t="shared" ref="BE23" si="501">E21</f>
        <v>15689.6</v>
      </c>
      <c r="BF23" s="25">
        <f t="shared" ref="BF23" si="502">F21</f>
        <v>17259.5</v>
      </c>
      <c r="BG23" s="25">
        <f t="shared" ref="BG23" si="503">G21</f>
        <v>17486.55</v>
      </c>
      <c r="BH23" s="25">
        <f t="shared" ref="BH23" si="504">H21</f>
        <v>15766.8</v>
      </c>
      <c r="BI23" s="25">
        <f t="shared" ref="BI23" si="505">I21</f>
        <v>13092.25</v>
      </c>
      <c r="BJ23" s="25">
        <f t="shared" ref="BJ23" si="506">J21</f>
        <v>13968.9</v>
      </c>
      <c r="BK23" s="25">
        <f t="shared" ref="BK23" si="507">K21</f>
        <v>13507.4</v>
      </c>
      <c r="BL23" s="25">
        <f t="shared" ref="BL23" si="508">L21</f>
        <v>14111.3</v>
      </c>
      <c r="BM23" s="25">
        <f t="shared" ref="BM23" si="509">M21</f>
        <v>15547.3</v>
      </c>
      <c r="BN23" s="25">
        <f t="shared" ref="BN23" si="510">N21</f>
        <v>15214.15</v>
      </c>
      <c r="BO23" s="25">
        <f t="shared" ref="BO23" si="511">O21</f>
        <v>17279.400000000001</v>
      </c>
      <c r="BP23" s="25">
        <f t="shared" ref="BP23" si="512">P21</f>
        <v>21634.95</v>
      </c>
      <c r="BQ23" s="25">
        <f t="shared" ref="BQ23" si="513">Q21</f>
        <v>17223.95</v>
      </c>
      <c r="BR23" s="25">
        <f t="shared" ref="BR23" si="514">R21</f>
        <v>17251.75</v>
      </c>
      <c r="BS23" s="25">
        <f t="shared" ref="BS23" si="515">S21</f>
        <v>16874</v>
      </c>
      <c r="BT23" s="25">
        <f t="shared" ref="BT23" si="516">T21</f>
        <v>17666.7</v>
      </c>
      <c r="BU23" s="25">
        <f t="shared" ref="BU23" si="517">U21</f>
        <v>18031.650000000001</v>
      </c>
      <c r="BV23" s="25">
        <f t="shared" ref="BV23" si="518">V21</f>
        <v>17835.349999999999</v>
      </c>
      <c r="BW23" s="25">
        <f t="shared" ref="BW23" si="519">W21</f>
        <v>18617.25</v>
      </c>
      <c r="BX23" s="25">
        <f t="shared" ref="BX23" si="520">X21</f>
        <v>18602.97</v>
      </c>
      <c r="BY23" s="25">
        <f t="shared" ref="BY23" si="521">Y21</f>
        <v>26600.78</v>
      </c>
      <c r="BZ23" s="25">
        <f t="shared" ref="BZ23" si="522">Z21</f>
        <v>20751.75</v>
      </c>
      <c r="CA23" s="25">
        <f t="shared" ref="CA23" si="523">AA21</f>
        <v>16071.7</v>
      </c>
      <c r="CB23" s="25">
        <f t="shared" ref="CB23" si="524">AB21</f>
        <v>16226.5</v>
      </c>
      <c r="CC23" s="25">
        <f t="shared" ref="CC23" si="525">AC21</f>
        <v>18149.7</v>
      </c>
      <c r="CD23" s="25">
        <f t="shared" ref="CD23" si="526">AD21</f>
        <v>17112.849999999999</v>
      </c>
      <c r="CE23" s="25">
        <f t="shared" ref="CE23" si="527">AE21</f>
        <v>18841.2</v>
      </c>
      <c r="CF23" s="25">
        <f t="shared" ref="CF23" si="528">AF21</f>
        <v>21699.64</v>
      </c>
      <c r="CG23" s="25">
        <f t="shared" ref="CG23" si="529">AG21</f>
        <v>19364.650000000001</v>
      </c>
      <c r="CH23" s="25">
        <f t="shared" ref="CH23" si="530">AH21</f>
        <v>17109.300000000003</v>
      </c>
      <c r="CI23" s="25">
        <f t="shared" ref="CI23" si="531">AI21</f>
        <v>15869.800000000001</v>
      </c>
      <c r="CJ23" s="25">
        <f t="shared" ref="CJ23" si="532">AJ21</f>
        <v>20818.900000000001</v>
      </c>
      <c r="CK23" s="25">
        <f t="shared" ref="CK23" si="533">AK21</f>
        <v>17682.7</v>
      </c>
      <c r="CL23" s="25">
        <f t="shared" ref="CL23" si="534">AL21</f>
        <v>20526.150000000001</v>
      </c>
      <c r="CM23" s="25">
        <f t="shared" ref="CM23" si="535">AM21</f>
        <v>29136.2</v>
      </c>
      <c r="CN23" s="25">
        <f t="shared" ref="CN23" si="536">AN21</f>
        <v>23861.8</v>
      </c>
      <c r="CO23" s="25">
        <f t="shared" ref="CO23" si="537">AO21</f>
        <v>20777.400000000001</v>
      </c>
      <c r="CP23" s="25">
        <f t="shared" ref="CP23" si="538">AP21</f>
        <v>23478.25</v>
      </c>
      <c r="CQ23" s="25">
        <f t="shared" ref="CQ23" si="539">AQ21</f>
        <v>23528</v>
      </c>
      <c r="CR23" s="25">
        <f t="shared" ref="CR23" si="540">AR21</f>
        <v>17963</v>
      </c>
      <c r="CS23" s="25">
        <f t="shared" ref="CS23" si="541">AS21</f>
        <v>20329.75</v>
      </c>
      <c r="CT23" s="25">
        <f t="shared" ref="CT23" si="542">AT21</f>
        <v>19162.87</v>
      </c>
      <c r="CU23" s="25">
        <f t="shared" ref="CU23" si="543">AU21</f>
        <v>25134.050000000003</v>
      </c>
      <c r="CV23" s="25">
        <f t="shared" ref="CV23" si="544">AV21</f>
        <v>22296.799999999999</v>
      </c>
      <c r="CW23" s="25">
        <f t="shared" ref="CW23" si="545">AW21</f>
        <v>22508.05</v>
      </c>
      <c r="CX23" s="25">
        <f t="shared" ref="CX23" si="546">AX21</f>
        <v>19602</v>
      </c>
      <c r="CY23" s="25">
        <f t="shared" ref="CY23" si="547">AY21</f>
        <v>19712.150000000001</v>
      </c>
      <c r="CZ23" s="25">
        <f t="shared" ref="CZ23" si="548">AZ21</f>
        <v>24242.400000000001</v>
      </c>
      <c r="DA23" s="25">
        <f t="shared" ref="DA23" si="549">BA21</f>
        <v>22808.2</v>
      </c>
      <c r="DB23" s="25">
        <f t="shared" ref="DB23" si="550">BB21</f>
        <v>21082.1</v>
      </c>
      <c r="DC23" s="25">
        <f t="shared" ref="DC23" si="551">BC21</f>
        <v>22654.400000000001</v>
      </c>
      <c r="DD23" s="25">
        <f t="shared" ref="DD23" si="552">BD21</f>
        <v>24174</v>
      </c>
      <c r="DE23" s="25">
        <f t="shared" ref="DE23" si="553">BE21</f>
        <v>24302.2</v>
      </c>
      <c r="DF23" s="25">
        <f t="shared" ref="DF23" si="554">BF21</f>
        <v>21552.65</v>
      </c>
      <c r="DG23" s="25">
        <f t="shared" ref="DG23" si="555">BG21</f>
        <v>23045.29</v>
      </c>
      <c r="DH23" s="25">
        <f t="shared" ref="DH23" si="556">BH21</f>
        <v>22213.25</v>
      </c>
      <c r="DI23" s="25">
        <f t="shared" ref="DI23" si="557">BI21</f>
        <v>22522.050000000003</v>
      </c>
      <c r="DJ23" s="25">
        <f t="shared" ref="DJ23" si="558">BJ21</f>
        <v>20465.5</v>
      </c>
      <c r="DK23" s="25">
        <f t="shared" ref="DK23" si="559">BK21</f>
        <v>17697.650000000001</v>
      </c>
      <c r="DL23" s="25">
        <f t="shared" ref="DL23" si="560">BL21</f>
        <v>19974.099999999999</v>
      </c>
      <c r="DM23" s="25">
        <f t="shared" ref="DM23" si="561">BM21</f>
        <v>21179.7</v>
      </c>
      <c r="DN23" s="25">
        <f t="shared" ref="DN23" si="562">BN21</f>
        <v>21753.95</v>
      </c>
      <c r="DO23" s="25">
        <f t="shared" ref="DO23" si="563">BO21</f>
        <v>21512.45</v>
      </c>
      <c r="DP23" s="25">
        <f t="shared" ref="DP23" si="564">BP21</f>
        <v>22852.25</v>
      </c>
      <c r="DQ23" s="25">
        <f t="shared" ref="DQ23" si="565">BQ21</f>
        <v>20624.75</v>
      </c>
      <c r="DR23" s="25">
        <f t="shared" ref="DR23" si="566">BR21</f>
        <v>24665.5</v>
      </c>
      <c r="DS23" s="25">
        <f t="shared" ref="DS23" si="567">BS21</f>
        <v>22728.699999999997</v>
      </c>
      <c r="DT23" s="25">
        <f t="shared" ref="DT23" si="568">BT21</f>
        <v>22620.85</v>
      </c>
      <c r="DU23" s="25">
        <f t="shared" ref="DU23" si="569">BU21</f>
        <v>21001.85</v>
      </c>
      <c r="DV23" s="25">
        <f t="shared" ref="DV23" si="570">BV21</f>
        <v>23018.82</v>
      </c>
      <c r="DW23" s="25">
        <f t="shared" ref="DW23:GL23" si="571">BW21</f>
        <v>31224.45</v>
      </c>
      <c r="DX23" s="25">
        <f t="shared" si="571"/>
        <v>36311.5</v>
      </c>
      <c r="DY23" s="25">
        <f t="shared" si="571"/>
        <v>32328.5</v>
      </c>
      <c r="DZ23" s="25">
        <f t="shared" si="571"/>
        <v>21932</v>
      </c>
      <c r="EA23" s="25">
        <f t="shared" si="571"/>
        <v>18518.54</v>
      </c>
      <c r="EB23" s="25">
        <f t="shared" si="571"/>
        <v>22507.59</v>
      </c>
      <c r="EC23" s="25">
        <f t="shared" si="571"/>
        <v>20612.95</v>
      </c>
      <c r="ED23" s="25">
        <f t="shared" si="571"/>
        <v>19999.75</v>
      </c>
      <c r="EE23" s="25">
        <f t="shared" si="571"/>
        <v>20993.55</v>
      </c>
      <c r="EF23" s="25">
        <f t="shared" si="571"/>
        <v>24857.05</v>
      </c>
      <c r="EG23" s="25">
        <f t="shared" si="571"/>
        <v>21459.449999999997</v>
      </c>
      <c r="EH23" s="25">
        <f t="shared" si="571"/>
        <v>22231.9</v>
      </c>
      <c r="EI23" s="25">
        <f t="shared" si="571"/>
        <v>28005</v>
      </c>
      <c r="EJ23" s="25">
        <f t="shared" si="571"/>
        <v>21429.599999999999</v>
      </c>
      <c r="EK23" s="25">
        <f t="shared" si="571"/>
        <v>22470.2</v>
      </c>
      <c r="EL23" s="25">
        <f t="shared" si="571"/>
        <v>26543.050000000003</v>
      </c>
      <c r="EM23" s="25">
        <f t="shared" si="571"/>
        <v>28413.200000000001</v>
      </c>
      <c r="EN23" s="25">
        <f t="shared" si="571"/>
        <v>25359.35</v>
      </c>
      <c r="EO23" s="25">
        <f t="shared" si="571"/>
        <v>22535.25</v>
      </c>
      <c r="EP23" s="25">
        <f t="shared" si="571"/>
        <v>21892.3</v>
      </c>
      <c r="EQ23" s="25">
        <f t="shared" si="571"/>
        <v>24507.9</v>
      </c>
      <c r="ER23" s="25">
        <f t="shared" si="571"/>
        <v>23985.949999999997</v>
      </c>
      <c r="ES23" s="25">
        <f t="shared" si="571"/>
        <v>19492.099999999999</v>
      </c>
      <c r="ET23" s="25">
        <f t="shared" si="571"/>
        <v>24063.15</v>
      </c>
      <c r="EU23" s="25">
        <f t="shared" si="571"/>
        <v>23597.35</v>
      </c>
      <c r="EV23" s="25">
        <f t="shared" si="571"/>
        <v>21521.1</v>
      </c>
      <c r="EW23" s="25">
        <f t="shared" si="571"/>
        <v>22226.9</v>
      </c>
      <c r="EX23" s="25">
        <f t="shared" si="571"/>
        <v>20258.8</v>
      </c>
      <c r="EY23" s="25">
        <f t="shared" si="571"/>
        <v>19581.849999999999</v>
      </c>
      <c r="EZ23" s="25">
        <f t="shared" si="571"/>
        <v>21444.5</v>
      </c>
      <c r="FA23" s="25">
        <f t="shared" si="571"/>
        <v>18166.900000000001</v>
      </c>
      <c r="FB23" s="25">
        <f t="shared" si="571"/>
        <v>24247.85</v>
      </c>
      <c r="FC23" s="25">
        <f t="shared" si="571"/>
        <v>20779.05</v>
      </c>
      <c r="FD23" s="25">
        <f t="shared" si="571"/>
        <v>21768.05</v>
      </c>
      <c r="FE23" s="25">
        <f t="shared" si="571"/>
        <v>21947.75</v>
      </c>
      <c r="FF23" s="25">
        <f t="shared" si="571"/>
        <v>20583.02</v>
      </c>
      <c r="FG23" s="25">
        <f t="shared" si="571"/>
        <v>23380.799999999999</v>
      </c>
      <c r="FH23" s="25">
        <f t="shared" si="571"/>
        <v>24873.879999999997</v>
      </c>
      <c r="FI23" s="25">
        <f t="shared" si="571"/>
        <v>22932.65</v>
      </c>
      <c r="FJ23" s="25">
        <f t="shared" si="571"/>
        <v>18197.449999999997</v>
      </c>
      <c r="FK23" s="25">
        <f t="shared" si="571"/>
        <v>19782.45</v>
      </c>
      <c r="FL23" s="25">
        <f t="shared" si="571"/>
        <v>22739.3</v>
      </c>
      <c r="FM23" s="25">
        <f t="shared" si="571"/>
        <v>19194.650000000001</v>
      </c>
      <c r="FN23" s="25">
        <f t="shared" si="571"/>
        <v>22626.6</v>
      </c>
      <c r="FO23" s="25">
        <f t="shared" si="571"/>
        <v>23460.799999999999</v>
      </c>
      <c r="FP23" s="25">
        <f t="shared" si="571"/>
        <v>27692.300000000003</v>
      </c>
      <c r="FQ23" s="25">
        <f t="shared" si="571"/>
        <v>26160.400000000001</v>
      </c>
      <c r="FR23" s="25">
        <f t="shared" si="571"/>
        <v>22513.23</v>
      </c>
      <c r="FS23" s="25">
        <f t="shared" si="571"/>
        <v>20559.45</v>
      </c>
      <c r="FT23" s="25">
        <f t="shared" si="571"/>
        <v>18453.75</v>
      </c>
      <c r="FU23" s="25">
        <f t="shared" si="571"/>
        <v>19895.25</v>
      </c>
      <c r="FV23" s="25">
        <f t="shared" si="571"/>
        <v>20832.45</v>
      </c>
      <c r="FW23" s="25">
        <f t="shared" si="571"/>
        <v>29853.9</v>
      </c>
      <c r="FX23" s="25">
        <f t="shared" si="571"/>
        <v>28118.400000000001</v>
      </c>
      <c r="FY23" s="25">
        <f t="shared" si="571"/>
        <v>28574.45</v>
      </c>
      <c r="FZ23" s="25">
        <f t="shared" si="571"/>
        <v>31567.4</v>
      </c>
      <c r="GA23" s="25">
        <f t="shared" si="571"/>
        <v>18701.800000000003</v>
      </c>
      <c r="GB23" s="25">
        <f t="shared" si="571"/>
        <v>19405.650000000001</v>
      </c>
      <c r="GC23" s="25">
        <f t="shared" si="571"/>
        <v>20267.2</v>
      </c>
      <c r="GD23" s="25">
        <f t="shared" si="571"/>
        <v>21057.9</v>
      </c>
      <c r="GE23" s="25">
        <f t="shared" si="571"/>
        <v>19694.900000000001</v>
      </c>
      <c r="GF23" s="25">
        <f t="shared" si="571"/>
        <v>21109.5</v>
      </c>
      <c r="GG23" s="25">
        <f t="shared" si="571"/>
        <v>20282.550000000003</v>
      </c>
      <c r="GH23" s="25">
        <f t="shared" si="571"/>
        <v>19540.349999999999</v>
      </c>
      <c r="GI23" s="25">
        <f t="shared" si="571"/>
        <v>23045.85</v>
      </c>
      <c r="GJ23" s="25">
        <f t="shared" si="571"/>
        <v>19369</v>
      </c>
      <c r="GK23" s="25">
        <f t="shared" si="571"/>
        <v>21975</v>
      </c>
      <c r="GL23" s="25">
        <f t="shared" si="571"/>
        <v>23220.9</v>
      </c>
      <c r="GM23" s="25">
        <f t="shared" ref="GM23:GR23" si="572">EL21</f>
        <v>23220.9</v>
      </c>
      <c r="GN23" s="25">
        <f t="shared" si="572"/>
        <v>18824.75</v>
      </c>
      <c r="GO23" s="25">
        <f t="shared" si="572"/>
        <v>22216.3</v>
      </c>
      <c r="GP23" s="25">
        <f t="shared" si="572"/>
        <v>25388.55</v>
      </c>
      <c r="GQ23" s="25">
        <f t="shared" si="572"/>
        <v>20059.599999999999</v>
      </c>
      <c r="GR23" s="110">
        <f t="shared" si="572"/>
        <v>20412.5</v>
      </c>
      <c r="GS23" s="157"/>
      <c r="GT23" s="3" t="s">
        <v>91</v>
      </c>
      <c r="GU23" s="11"/>
      <c r="GV23" s="11"/>
      <c r="GW23" s="58"/>
      <c r="GX23" s="58"/>
      <c r="GY23" s="58"/>
      <c r="GZ23" s="58"/>
      <c r="HA23" s="58"/>
    </row>
    <row r="24" spans="1:209" s="2" customFormat="1" ht="15" customHeight="1" x14ac:dyDescent="0.3">
      <c r="A24" s="169"/>
      <c r="B24" s="26" t="s">
        <v>366</v>
      </c>
      <c r="C24" s="39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28">
        <f t="shared" ref="BD24:CJ24" si="573">(BD21-BD23)/BD23</f>
        <v>0.50175652211726929</v>
      </c>
      <c r="BE24" s="28">
        <f t="shared" si="573"/>
        <v>0.54893687538241898</v>
      </c>
      <c r="BF24" s="28">
        <f t="shared" si="573"/>
        <v>0.24874127292215889</v>
      </c>
      <c r="BG24" s="28">
        <f t="shared" si="573"/>
        <v>0.31788660427585785</v>
      </c>
      <c r="BH24" s="28">
        <f t="shared" si="573"/>
        <v>0.40886229291929882</v>
      </c>
      <c r="BI24" s="28">
        <f t="shared" si="573"/>
        <v>0.72025816800015297</v>
      </c>
      <c r="BJ24" s="28">
        <f t="shared" si="573"/>
        <v>0.46507599023545165</v>
      </c>
      <c r="BK24" s="28">
        <f t="shared" si="573"/>
        <v>0.31021884300457542</v>
      </c>
      <c r="BL24" s="28">
        <f t="shared" si="573"/>
        <v>0.41546845435927232</v>
      </c>
      <c r="BM24" s="28">
        <f t="shared" si="573"/>
        <v>0.36227512172531579</v>
      </c>
      <c r="BN24" s="28">
        <f t="shared" si="573"/>
        <v>0.42984984373100049</v>
      </c>
      <c r="BO24" s="28">
        <f t="shared" si="573"/>
        <v>0.24497667743092924</v>
      </c>
      <c r="BP24" s="28">
        <f t="shared" si="573"/>
        <v>5.6265440872292252E-2</v>
      </c>
      <c r="BQ24" s="28">
        <f t="shared" si="573"/>
        <v>0.19744599815953942</v>
      </c>
      <c r="BR24" s="28">
        <f t="shared" si="573"/>
        <v>0.42973901198429143</v>
      </c>
      <c r="BS24" s="28">
        <f t="shared" si="573"/>
        <v>0.34696574611828834</v>
      </c>
      <c r="BT24" s="28">
        <f t="shared" si="573"/>
        <v>0.28042305580555493</v>
      </c>
      <c r="BU24" s="28">
        <f t="shared" si="573"/>
        <v>0.16472147584940905</v>
      </c>
      <c r="BV24" s="28">
        <f t="shared" si="573"/>
        <v>0.2906290036360375</v>
      </c>
      <c r="BW24" s="28">
        <f t="shared" si="573"/>
        <v>0.67717842323651456</v>
      </c>
      <c r="BX24" s="28">
        <f t="shared" si="573"/>
        <v>0.95191950532629988</v>
      </c>
      <c r="BY24" s="28">
        <f t="shared" si="573"/>
        <v>0.21532150560998592</v>
      </c>
      <c r="BZ24" s="28">
        <f t="shared" si="573"/>
        <v>5.6874721409037793E-2</v>
      </c>
      <c r="CA24" s="28">
        <f t="shared" si="573"/>
        <v>0.15224525096909475</v>
      </c>
      <c r="CB24" s="28">
        <f t="shared" si="573"/>
        <v>0.38708840476997503</v>
      </c>
      <c r="CC24" s="28">
        <f t="shared" si="573"/>
        <v>0.13571849672446376</v>
      </c>
      <c r="CD24" s="28">
        <f t="shared" si="573"/>
        <v>0.16869779142574157</v>
      </c>
      <c r="CE24" s="28">
        <f t="shared" si="573"/>
        <v>0.11423635437233289</v>
      </c>
      <c r="CF24" s="28">
        <f t="shared" si="573"/>
        <v>0.14550517888776035</v>
      </c>
      <c r="CG24" s="28">
        <f t="shared" si="573"/>
        <v>0.10817649686413106</v>
      </c>
      <c r="CH24" s="28">
        <f t="shared" si="573"/>
        <v>0.29940441748055135</v>
      </c>
      <c r="CI24" s="28">
        <f t="shared" si="573"/>
        <v>0.76467252265308938</v>
      </c>
      <c r="CJ24" s="28">
        <f t="shared" si="573"/>
        <v>2.9333922541536633E-2</v>
      </c>
      <c r="CK24" s="28">
        <f t="shared" ref="CK24:CZ24" si="574">(CK21-CK23)/CK23</f>
        <v>0.27074485231327794</v>
      </c>
      <c r="CL24" s="28">
        <f t="shared" si="574"/>
        <v>0.2931333932568943</v>
      </c>
      <c r="CM24" s="28">
        <f t="shared" si="574"/>
        <v>-2.4814491937864239E-2</v>
      </c>
      <c r="CN24" s="28">
        <f t="shared" si="574"/>
        <v>6.2759305668474263E-2</v>
      </c>
      <c r="CO24" s="28">
        <f t="shared" si="574"/>
        <v>8.4603944670651687E-2</v>
      </c>
      <c r="CP24" s="28">
        <f t="shared" si="574"/>
        <v>-6.7549753495256284E-2</v>
      </c>
      <c r="CQ24" s="28">
        <f t="shared" si="574"/>
        <v>4.1648248894933758E-2</v>
      </c>
      <c r="CR24" s="28">
        <f t="shared" si="574"/>
        <v>0.33529755608751305</v>
      </c>
      <c r="CS24" s="28">
        <f t="shared" si="574"/>
        <v>-4.1203162852469971E-2</v>
      </c>
      <c r="CT24" s="28">
        <f t="shared" si="574"/>
        <v>0.25571743689750037</v>
      </c>
      <c r="CU24" s="28">
        <f t="shared" si="574"/>
        <v>-6.1140166427615293E-2</v>
      </c>
      <c r="CV24" s="28">
        <f t="shared" si="574"/>
        <v>-3.4789745613720391E-2</v>
      </c>
      <c r="CW24" s="28">
        <f t="shared" si="574"/>
        <v>-1.2491086522377452E-2</v>
      </c>
      <c r="CX24" s="28">
        <f t="shared" si="574"/>
        <v>3.3506785021936498E-2</v>
      </c>
      <c r="CY24" s="28">
        <f t="shared" si="574"/>
        <v>-6.6101363879639153E-3</v>
      </c>
      <c r="CZ24" s="28">
        <f t="shared" si="574"/>
        <v>-0.11541349041349047</v>
      </c>
      <c r="DA24" s="28">
        <f t="shared" ref="DA24:DB24" si="575">(DA21-DA23)/DA23</f>
        <v>-0.20349260353732426</v>
      </c>
      <c r="DB24" s="28">
        <f t="shared" si="575"/>
        <v>0.15016293443252807</v>
      </c>
      <c r="DC24" s="28">
        <f t="shared" ref="DC24:DD24" si="576">(DC21-DC23)/DC23</f>
        <v>-8.2780828448336841E-2</v>
      </c>
      <c r="DD24" s="28">
        <f t="shared" si="576"/>
        <v>-9.9526350624638077E-2</v>
      </c>
      <c r="DE24" s="28">
        <f t="shared" ref="DE24:DF24" si="577">(DE21-DE23)/DE23</f>
        <v>-9.688217527631246E-2</v>
      </c>
      <c r="DF24" s="28">
        <f t="shared" si="577"/>
        <v>-4.4988899276887109E-2</v>
      </c>
      <c r="DG24" s="28">
        <f t="shared" ref="DG24:DH24" si="578">(DG21-DG23)/DG23</f>
        <v>1.4558723279247012E-2</v>
      </c>
      <c r="DH24" s="28">
        <f t="shared" si="578"/>
        <v>0.11977670984660045</v>
      </c>
      <c r="DI24" s="28">
        <f t="shared" ref="DI24:DJ24" si="579">(DI21-DI23)/DI23</f>
        <v>1.8231022486851708E-2</v>
      </c>
      <c r="DJ24" s="28">
        <f t="shared" si="579"/>
        <v>-0.11082309252156082</v>
      </c>
      <c r="DK24" s="28">
        <f t="shared" ref="DK24:DL24" si="580">(DK21-DK23)/DK23</f>
        <v>0.1178009509737168</v>
      </c>
      <c r="DL24" s="28">
        <f t="shared" si="580"/>
        <v>0.13843927886613169</v>
      </c>
      <c r="DM24" s="28">
        <f t="shared" ref="DM24:DN24" si="581">(DM21-DM23)/DM23</f>
        <v>-9.3724179284881234E-2</v>
      </c>
      <c r="DN24" s="28">
        <f t="shared" si="581"/>
        <v>4.0114553908600407E-2</v>
      </c>
      <c r="DO24" s="28">
        <f t="shared" ref="DO24:DP24" si="582">(DO21-DO23)/DO23</f>
        <v>9.056848476114987E-2</v>
      </c>
      <c r="DP24" s="28">
        <f t="shared" si="582"/>
        <v>0.21179752540778274</v>
      </c>
      <c r="DQ24" s="28">
        <f t="shared" ref="DQ24:DR24" si="583">(DQ21-DQ23)/DQ23</f>
        <v>0.26839840482914951</v>
      </c>
      <c r="DR24" s="28">
        <f t="shared" si="583"/>
        <v>-8.7258316271715569E-2</v>
      </c>
      <c r="DS24" s="28">
        <f t="shared" ref="DS24:DT24" si="584">(DS21-DS23)/DS23</f>
        <v>-9.5441006304803913E-2</v>
      </c>
      <c r="DT24" s="28">
        <f t="shared" si="584"/>
        <v>-0.18421500518327114</v>
      </c>
      <c r="DU24" s="28">
        <f t="shared" ref="DU24:DV24" si="585">(DU21-DU23)/DU23</f>
        <v>-5.2690596304611197E-2</v>
      </c>
      <c r="DV24" s="28">
        <f t="shared" si="585"/>
        <v>-9.4981845290071296E-2</v>
      </c>
      <c r="DW24" s="28">
        <f t="shared" ref="DW24:DX24" si="586">(DW21-DW23)/DW23</f>
        <v>-4.3893487315228907E-2</v>
      </c>
      <c r="DX24" s="28">
        <f t="shared" si="586"/>
        <v>-0.2256337523924927</v>
      </c>
      <c r="DY24" s="28">
        <f t="shared" ref="DY24:DZ24" si="587">(DY21-DY23)/DY23</f>
        <v>-0.11612199761820063</v>
      </c>
      <c r="DZ24" s="28">
        <f t="shared" si="587"/>
        <v>0.4393306583986869</v>
      </c>
      <c r="EA24" s="28">
        <f t="shared" ref="EA24:EB24" si="588">(EA21-EA23)/EA23</f>
        <v>9.8960285206070257E-3</v>
      </c>
      <c r="EB24" s="28">
        <f t="shared" si="588"/>
        <v>-0.13781750956010833</v>
      </c>
      <c r="EC24" s="28">
        <f t="shared" ref="EC24:ED24" si="589">(EC21-EC23)/EC23</f>
        <v>-1.6773436116616011E-2</v>
      </c>
      <c r="ED24" s="28">
        <f t="shared" si="589"/>
        <v>5.2908161352016973E-2</v>
      </c>
      <c r="EE24" s="28">
        <f t="shared" ref="EE24:EF24" si="590">(EE21-EE23)/EE23</f>
        <v>-6.1859475886641271E-2</v>
      </c>
      <c r="EF24" s="28">
        <f t="shared" si="590"/>
        <v>-0.15076406894623454</v>
      </c>
      <c r="EG24" s="28">
        <f t="shared" ref="EG24:EH24" si="591">(EG21-EG23)/EG23</f>
        <v>-5.4842971278387581E-2</v>
      </c>
      <c r="EH24" s="28">
        <f t="shared" si="591"/>
        <v>-0.12106702531047742</v>
      </c>
      <c r="EI24" s="28">
        <f t="shared" ref="EI24:EJ24" si="592">(EI21-EI23)/EI23</f>
        <v>-0.17708087841456888</v>
      </c>
      <c r="EJ24" s="28">
        <f t="shared" si="592"/>
        <v>-9.6156717810878353E-2</v>
      </c>
      <c r="EK24" s="28">
        <f t="shared" ref="EK24:EL24" si="593">(EK21-EK23)/EK23</f>
        <v>-2.2038077097667166E-2</v>
      </c>
      <c r="EL24" s="28">
        <f t="shared" si="593"/>
        <v>-0.12516082364310058</v>
      </c>
      <c r="EM24" s="28">
        <f t="shared" ref="EM24:EN24" si="594">(EM21-EM23)/EM23</f>
        <v>-0.33746462911604469</v>
      </c>
      <c r="EN24" s="28">
        <f t="shared" si="594"/>
        <v>-0.12394047954699153</v>
      </c>
      <c r="EO24" s="28">
        <f t="shared" ref="EO24:EP24" si="595">(EO21-EO23)/EO23</f>
        <v>0.12661496988052048</v>
      </c>
      <c r="EP24" s="28">
        <f t="shared" si="595"/>
        <v>-8.3714365324794593E-2</v>
      </c>
      <c r="EQ24" s="28">
        <f t="shared" ref="EQ24:ER24" si="596">(EQ21-EQ23)/EQ23</f>
        <v>-0.16710530073976151</v>
      </c>
      <c r="ER24" s="28">
        <f t="shared" si="596"/>
        <v>-0.21535315465929003</v>
      </c>
      <c r="ES24" s="28">
        <f t="shared" ref="ES24:ET24" si="597">(ES21-ES23)/ES23</f>
        <v>-0.12252143175953321</v>
      </c>
      <c r="ET24" s="28">
        <f t="shared" si="597"/>
        <v>-0.27662213799938917</v>
      </c>
      <c r="EU24" s="28">
        <f t="shared" ref="EU24:EV24" si="598">(EU21-EU23)/EU23</f>
        <v>-8.3879333908256568E-2</v>
      </c>
      <c r="EV24" s="28">
        <f t="shared" si="598"/>
        <v>-0.23606135374121193</v>
      </c>
      <c r="EW24" s="28">
        <f t="shared" ref="EW24:EX24" si="599">(EW21-EW23)/EW23</f>
        <v>3.618588287165532E-2</v>
      </c>
      <c r="EX24" s="28">
        <f t="shared" si="599"/>
        <v>-6.5063083696961246E-2</v>
      </c>
      <c r="EY24" s="28">
        <f t="shared" ref="EY24:EZ24" si="600">(EY21-EY23)/EY23</f>
        <v>-6.057139647173268E-2</v>
      </c>
      <c r="EZ24" s="28">
        <f t="shared" si="600"/>
        <v>-0.15716150994427475</v>
      </c>
      <c r="FA24" s="28">
        <f t="shared" ref="FA24:FB24" si="601">(FA21-FA23)/FA23</f>
        <v>-0.1046133352415657</v>
      </c>
      <c r="FB24" s="28">
        <f t="shared" si="601"/>
        <v>-0.11917427730706028</v>
      </c>
      <c r="FC24" s="28">
        <f t="shared" ref="FC24:FD24" si="602">(FC21-FC23)/FC23</f>
        <v>0.20799074067390003</v>
      </c>
      <c r="FD24" s="28">
        <f t="shared" si="602"/>
        <v>0.1457755747529062</v>
      </c>
      <c r="FE24" s="28">
        <f t="shared" ref="FE24:FF24" si="603">(FE21-FE23)/FE23</f>
        <v>4.7715597270790854E-2</v>
      </c>
      <c r="FF24" s="28">
        <f t="shared" si="603"/>
        <v>-3.1825747630814125E-2</v>
      </c>
      <c r="FG24" s="28">
        <f t="shared" ref="FG24:FH24" si="604">(FG21-FG23)/FG23</f>
        <v>-3.8640679531923662E-2</v>
      </c>
      <c r="FH24" s="28">
        <f t="shared" si="604"/>
        <v>-8.3052181645967366E-2</v>
      </c>
      <c r="FI24" s="28">
        <f t="shared" ref="FI24:FJ24" si="605">(FI21-FI23)/FI23</f>
        <v>-9.6007221145397531E-2</v>
      </c>
      <c r="FJ24" s="28">
        <f t="shared" si="605"/>
        <v>0.16584191741150556</v>
      </c>
      <c r="FK24" s="28">
        <f t="shared" ref="FK24:FL24" si="606">(FK21-FK23)/FK23</f>
        <v>0.15289056714411001</v>
      </c>
      <c r="FL24" s="28">
        <f t="shared" si="606"/>
        <v>-0.15525323998539967</v>
      </c>
      <c r="FM24" s="28">
        <f t="shared" ref="FM24:FN24" si="607">(FM21-FM23)/FM23</f>
        <v>5.6544401695263966E-2</v>
      </c>
      <c r="FN24" s="28">
        <f t="shared" si="607"/>
        <v>0.10556380543254414</v>
      </c>
      <c r="FO24" s="28">
        <f t="shared" ref="FO24:FP24" si="608">(FO21-FO23)/FO23</f>
        <v>-6.9597370933642558E-2</v>
      </c>
      <c r="FP24" s="28">
        <f t="shared" si="608"/>
        <v>-9.0924191923386688E-2</v>
      </c>
      <c r="FQ24" s="28">
        <f t="shared" ref="FQ24:FR24" si="609">(FQ21-FQ23)/FQ23</f>
        <v>-7.6843243987094995E-2</v>
      </c>
      <c r="FR24" s="28">
        <f t="shared" si="609"/>
        <v>-3.7748026382709104E-2</v>
      </c>
      <c r="FS24" s="28">
        <f t="shared" ref="FS24:FT24" si="610">(FS21-FS23)/FS23</f>
        <v>1.5773768267147187E-2</v>
      </c>
      <c r="FT24" s="28">
        <f t="shared" si="610"/>
        <v>0.11606584027636652</v>
      </c>
      <c r="FU24" s="28">
        <f t="shared" ref="FU24:FV24" si="611">(FU21-FU23)/FU23</f>
        <v>0.21556401653661036</v>
      </c>
      <c r="FV24" s="28">
        <f t="shared" si="611"/>
        <v>0.25147306245784817</v>
      </c>
      <c r="FW24" s="28">
        <f t="shared" ref="FW24:FX24" si="612">(FW21-FW23)/FW23</f>
        <v>-7.4730604711612331E-2</v>
      </c>
      <c r="FX24" s="28">
        <f t="shared" si="612"/>
        <v>0.16458084386024807</v>
      </c>
      <c r="FY24" s="28">
        <f t="shared" ref="FY24:FZ24" si="613">(FY21-FY23)/FY23</f>
        <v>7.6671641973861338E-2</v>
      </c>
      <c r="FZ24" s="28">
        <f t="shared" si="613"/>
        <v>0.31655125224123631</v>
      </c>
      <c r="GA24" s="28">
        <f t="shared" ref="GA24:GB24" si="614">(GA21-GA23)/GA23</f>
        <v>-9.8931653637617981E-2</v>
      </c>
      <c r="GB24" s="28">
        <f t="shared" si="614"/>
        <v>0.1104858636531111</v>
      </c>
      <c r="GC24" s="28">
        <f t="shared" ref="GC24:GD24" si="615">(GC21-GC23)/GC23</f>
        <v>-4.3644410673403293E-2</v>
      </c>
      <c r="GD24" s="28">
        <f t="shared" si="615"/>
        <v>-6.9760042549352709E-3</v>
      </c>
      <c r="GE24" s="28">
        <f t="shared" ref="GE24:GF24" si="616">(GE21-GE23)/GE23</f>
        <v>1.4841405643085228E-2</v>
      </c>
      <c r="GF24" s="28">
        <f t="shared" si="616"/>
        <v>3.6348563442999561E-2</v>
      </c>
      <c r="GG24" s="28">
        <f t="shared" ref="GG24:GH24" si="617">(GG21-GG23)/GG23</f>
        <v>9.6004693689895865E-2</v>
      </c>
      <c r="GH24" s="28">
        <f t="shared" si="617"/>
        <v>-4.2616943913491828E-2</v>
      </c>
      <c r="GI24" s="28">
        <f t="shared" ref="GI24:GJ24" si="618">(GI21-GI23)/GI23</f>
        <v>-0.12238646003510394</v>
      </c>
      <c r="GJ24" s="28">
        <f t="shared" si="618"/>
        <v>0.18330063503536573</v>
      </c>
      <c r="GK24" s="28">
        <f t="shared" ref="GK24:GL24" si="619">(GK21-GK23)/GK23</f>
        <v>3.4514220705346856E-2</v>
      </c>
      <c r="GL24" s="28">
        <f t="shared" si="619"/>
        <v>-3.5726436098514794E-2</v>
      </c>
      <c r="GM24" s="28">
        <f t="shared" ref="GM24:GN24" si="620">(GM21-GM23)/GM23</f>
        <v>0.3218243048288395</v>
      </c>
      <c r="GN24" s="28">
        <f t="shared" si="620"/>
        <v>0.49179935988525741</v>
      </c>
      <c r="GO24" s="28">
        <f t="shared" ref="GO24:GP24" si="621">(GO21-GO23)/GO23</f>
        <v>6.5635141765280541E-2</v>
      </c>
      <c r="GP24" s="28">
        <f t="shared" si="621"/>
        <v>-0.10899401501858125</v>
      </c>
      <c r="GQ24" s="28">
        <f t="shared" ref="GQ24:GR24" si="622">(GQ21-GQ23)/GQ23</f>
        <v>0.3331970727232848</v>
      </c>
      <c r="GR24" s="109">
        <f t="shared" si="622"/>
        <v>0.24844090630740964</v>
      </c>
      <c r="GS24" s="157"/>
      <c r="GT24" s="2" t="s">
        <v>94</v>
      </c>
      <c r="GU24" s="11"/>
      <c r="GV24" s="11"/>
      <c r="GW24" s="58"/>
      <c r="GX24" s="58"/>
      <c r="GY24" s="58"/>
      <c r="GZ24" s="58"/>
      <c r="HA24" s="58"/>
    </row>
    <row r="25" spans="1:209" s="2" customFormat="1" ht="7.5" customHeight="1" x14ac:dyDescent="0.3">
      <c r="A25" s="8"/>
      <c r="B25" s="29"/>
      <c r="C25" s="3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111"/>
      <c r="GS25" s="156"/>
      <c r="GT25" s="9"/>
      <c r="GU25" s="9"/>
      <c r="GV25" s="9"/>
    </row>
    <row r="26" spans="1:209" ht="15" customHeight="1" x14ac:dyDescent="0.3">
      <c r="A26" s="168" t="s">
        <v>3</v>
      </c>
      <c r="B26" s="33" t="s">
        <v>3</v>
      </c>
      <c r="C26" s="17" t="s">
        <v>23</v>
      </c>
      <c r="D26" s="17">
        <v>6504.4</v>
      </c>
      <c r="E26" s="17">
        <v>4434.7</v>
      </c>
      <c r="F26" s="17">
        <v>4188.8500000000004</v>
      </c>
      <c r="G26" s="17">
        <v>5809.75</v>
      </c>
      <c r="H26" s="17">
        <v>5097.6000000000004</v>
      </c>
      <c r="I26" s="17">
        <v>4095.3</v>
      </c>
      <c r="J26" s="17">
        <v>4810.8900000000003</v>
      </c>
      <c r="K26" s="17">
        <v>4312.8</v>
      </c>
      <c r="L26" s="17">
        <v>3939</v>
      </c>
      <c r="M26" s="17">
        <v>3622.65</v>
      </c>
      <c r="N26" s="17">
        <v>3736.35</v>
      </c>
      <c r="O26" s="17">
        <v>3787.65</v>
      </c>
      <c r="P26" s="17">
        <v>3492.7</v>
      </c>
      <c r="Q26" s="17">
        <v>3176.05</v>
      </c>
      <c r="R26" s="17">
        <v>3084.6</v>
      </c>
      <c r="S26" s="17">
        <v>3166.25</v>
      </c>
      <c r="T26" s="17">
        <v>3064.75</v>
      </c>
      <c r="U26" s="17">
        <v>3749.15</v>
      </c>
      <c r="V26" s="17">
        <v>4084.35</v>
      </c>
      <c r="W26" s="17">
        <v>4529.95</v>
      </c>
      <c r="X26" s="17">
        <v>4050.7</v>
      </c>
      <c r="Y26" s="17">
        <v>5745.7</v>
      </c>
      <c r="Z26" s="17">
        <v>4465.55</v>
      </c>
      <c r="AA26" s="17">
        <v>3308.55</v>
      </c>
      <c r="AB26" s="17">
        <v>4246.8</v>
      </c>
      <c r="AC26" s="17">
        <v>4228.45</v>
      </c>
      <c r="AD26" s="17">
        <v>4722.8500000000004</v>
      </c>
      <c r="AE26" s="17">
        <v>3835.75</v>
      </c>
      <c r="AF26" s="17">
        <v>5626.5</v>
      </c>
      <c r="AG26" s="17">
        <v>3569.75</v>
      </c>
      <c r="AH26" s="17">
        <v>4259.95</v>
      </c>
      <c r="AI26" s="17">
        <v>3693.75</v>
      </c>
      <c r="AJ26" s="17">
        <v>4189.2</v>
      </c>
      <c r="AK26" s="17">
        <v>4355.3500000000004</v>
      </c>
      <c r="AL26" s="17">
        <v>4006.6</v>
      </c>
      <c r="AM26" s="17">
        <v>4286.55</v>
      </c>
      <c r="AN26" s="17">
        <v>3751.5</v>
      </c>
      <c r="AO26" s="17">
        <v>4437.8</v>
      </c>
      <c r="AP26" s="17">
        <v>4572.95</v>
      </c>
      <c r="AQ26" s="17">
        <v>4301.75</v>
      </c>
      <c r="AR26" s="17">
        <v>4829.6000000000004</v>
      </c>
      <c r="AS26" s="17">
        <v>4821.3999999999996</v>
      </c>
      <c r="AT26" s="17">
        <v>4125.7</v>
      </c>
      <c r="AU26" s="17">
        <v>4628.6000000000004</v>
      </c>
      <c r="AV26" s="17">
        <v>5090.8999999999996</v>
      </c>
      <c r="AW26" s="17">
        <v>4438</v>
      </c>
      <c r="AX26" s="17">
        <v>5538.75</v>
      </c>
      <c r="AY26" s="17">
        <v>4766.95</v>
      </c>
      <c r="AZ26" s="17">
        <v>4801.05</v>
      </c>
      <c r="BA26" s="17">
        <v>4217.3999999999996</v>
      </c>
      <c r="BB26" s="17">
        <v>5224.75</v>
      </c>
      <c r="BC26" s="17">
        <v>5683.05</v>
      </c>
      <c r="BD26" s="17">
        <v>4373.95</v>
      </c>
      <c r="BE26" s="17">
        <v>4362.3500000000004</v>
      </c>
      <c r="BF26" s="17">
        <v>4386.8500000000004</v>
      </c>
      <c r="BG26" s="17">
        <v>5608.15</v>
      </c>
      <c r="BH26" s="17">
        <v>4950.95</v>
      </c>
      <c r="BI26" s="17">
        <v>5247.5</v>
      </c>
      <c r="BJ26" s="17">
        <v>4848</v>
      </c>
      <c r="BK26" s="17">
        <v>5293.15</v>
      </c>
      <c r="BL26" s="17">
        <v>4656</v>
      </c>
      <c r="BM26" s="17">
        <v>4855.05</v>
      </c>
      <c r="BN26" s="17">
        <v>4421.3999999999996</v>
      </c>
      <c r="BO26" s="17">
        <v>4409.25</v>
      </c>
      <c r="BP26" s="17">
        <v>5852.05</v>
      </c>
      <c r="BQ26" s="17">
        <v>5285.25</v>
      </c>
      <c r="BR26" s="17">
        <v>4645.55</v>
      </c>
      <c r="BS26" s="17">
        <v>4265.1499999999996</v>
      </c>
      <c r="BT26" s="17">
        <v>4677.8500000000004</v>
      </c>
      <c r="BU26" s="17">
        <v>4458.55</v>
      </c>
      <c r="BV26" s="17">
        <v>5153.8500000000004</v>
      </c>
      <c r="BW26" s="17">
        <v>3420.1</v>
      </c>
      <c r="BX26" s="17">
        <v>6051.8</v>
      </c>
      <c r="BY26" s="17">
        <v>6460.05</v>
      </c>
      <c r="BZ26" s="17">
        <v>4133.55</v>
      </c>
      <c r="CA26" s="17">
        <v>5681.05</v>
      </c>
      <c r="CB26" s="17">
        <v>5066.8999999999996</v>
      </c>
      <c r="CC26" s="17">
        <v>4991.55</v>
      </c>
      <c r="CD26" s="17">
        <v>5522.12</v>
      </c>
      <c r="CE26" s="17">
        <v>5391.1</v>
      </c>
      <c r="CF26" s="17">
        <v>5648.3</v>
      </c>
      <c r="CG26" s="17">
        <v>6563.8</v>
      </c>
      <c r="CH26" s="17">
        <v>4581.74</v>
      </c>
      <c r="CI26" s="17">
        <v>5184.05</v>
      </c>
      <c r="CJ26" s="17">
        <v>4244.05</v>
      </c>
      <c r="CK26" s="17">
        <v>5352.3</v>
      </c>
      <c r="CL26" s="17">
        <v>7304.75</v>
      </c>
      <c r="CM26" s="17">
        <v>5932.3</v>
      </c>
      <c r="CN26" s="17">
        <v>5520.95</v>
      </c>
      <c r="CO26" s="17">
        <v>6286.45</v>
      </c>
      <c r="CP26" s="17">
        <v>5656.5</v>
      </c>
      <c r="CQ26" s="17">
        <v>5512.65</v>
      </c>
      <c r="CR26" s="17">
        <v>6235.75</v>
      </c>
      <c r="CS26" s="17">
        <v>6173.05</v>
      </c>
      <c r="CT26" s="17">
        <v>5387.45</v>
      </c>
      <c r="CU26" s="17">
        <v>6115.95</v>
      </c>
      <c r="CV26" s="17">
        <v>5239.45</v>
      </c>
      <c r="CW26" s="17">
        <v>6073.25</v>
      </c>
      <c r="CX26" s="17">
        <v>5365.7</v>
      </c>
      <c r="CY26" s="17">
        <v>6292.85</v>
      </c>
      <c r="CZ26" s="17">
        <v>4879.25</v>
      </c>
      <c r="DA26" s="17">
        <v>5682.8</v>
      </c>
      <c r="DB26" s="17">
        <v>6614.25</v>
      </c>
      <c r="DC26" s="17">
        <v>5274.75</v>
      </c>
      <c r="DD26" s="17">
        <v>6811.6</v>
      </c>
      <c r="DE26" s="17">
        <v>4847.95</v>
      </c>
      <c r="DF26" s="17">
        <v>5093.7</v>
      </c>
      <c r="DG26" s="17">
        <v>4641.45</v>
      </c>
      <c r="DH26" s="17">
        <v>4840.6000000000004</v>
      </c>
      <c r="DI26" s="17">
        <v>4322.3</v>
      </c>
      <c r="DJ26" s="17">
        <v>4307.2</v>
      </c>
      <c r="DK26" s="17">
        <v>4256.1499999999996</v>
      </c>
      <c r="DL26" s="17">
        <v>5059.1499999999996</v>
      </c>
      <c r="DM26" s="17">
        <v>5295.8</v>
      </c>
      <c r="DN26" s="17">
        <v>4169.8</v>
      </c>
      <c r="DO26" s="17">
        <v>5783.3</v>
      </c>
      <c r="DP26" s="17">
        <v>5457.7</v>
      </c>
      <c r="DQ26" s="17">
        <v>5108.6499999999996</v>
      </c>
      <c r="DR26" s="17">
        <v>4986.75</v>
      </c>
      <c r="DS26" s="17">
        <v>4684.2</v>
      </c>
      <c r="DT26" s="17">
        <v>4425.8999999999996</v>
      </c>
      <c r="DU26" s="17">
        <v>5216.5</v>
      </c>
      <c r="DV26" s="17">
        <v>5025.6499999999996</v>
      </c>
      <c r="DW26" s="17">
        <v>4375.1499999999996</v>
      </c>
      <c r="DX26" s="17">
        <v>5220.3</v>
      </c>
      <c r="DY26" s="17">
        <v>4798.1000000000004</v>
      </c>
      <c r="DZ26" s="17">
        <v>8193.1</v>
      </c>
      <c r="EA26" s="17">
        <v>5683.05</v>
      </c>
      <c r="EB26" s="17">
        <v>4080.6</v>
      </c>
      <c r="EC26" s="17">
        <v>5121.42</v>
      </c>
      <c r="ED26" s="17">
        <v>6064.37</v>
      </c>
      <c r="EE26" s="17">
        <v>5084.3500000000004</v>
      </c>
      <c r="EF26" s="17">
        <v>5160.6499999999996</v>
      </c>
      <c r="EG26" s="17">
        <v>5394.15</v>
      </c>
      <c r="EH26" s="17">
        <v>6483.55</v>
      </c>
      <c r="EI26" s="17">
        <v>5587.25</v>
      </c>
      <c r="EJ26" s="17">
        <v>5653.15</v>
      </c>
      <c r="EK26" s="17">
        <v>5685.15</v>
      </c>
      <c r="EL26" s="17">
        <v>5728.3</v>
      </c>
      <c r="EM26" s="17">
        <v>5556</v>
      </c>
      <c r="EN26" s="17">
        <v>5497.55</v>
      </c>
      <c r="EO26" s="17">
        <v>6358.8</v>
      </c>
      <c r="EP26" s="17">
        <v>6167.65</v>
      </c>
      <c r="EQ26" s="17">
        <v>6409.4</v>
      </c>
      <c r="ER26" s="17">
        <v>5565.3</v>
      </c>
      <c r="ES26" s="17">
        <v>5627.45</v>
      </c>
      <c r="ET26" s="17">
        <v>5463.35</v>
      </c>
      <c r="EU26" s="17">
        <v>7212.25</v>
      </c>
      <c r="EV26" s="17">
        <v>5363.65</v>
      </c>
      <c r="EW26" s="17">
        <v>5533.1</v>
      </c>
      <c r="EX26" s="17">
        <v>7012.85</v>
      </c>
      <c r="EY26" s="17">
        <v>7818.65</v>
      </c>
      <c r="EZ26" s="17">
        <v>6728</v>
      </c>
      <c r="FA26" s="17">
        <v>7755.8</v>
      </c>
      <c r="FB26" s="17"/>
      <c r="FC26" s="17">
        <v>8189.05</v>
      </c>
      <c r="FD26" s="17">
        <v>6070.5</v>
      </c>
      <c r="FE26" s="17">
        <v>6877.35</v>
      </c>
      <c r="FF26" s="17">
        <v>6216.35</v>
      </c>
      <c r="FG26" s="17">
        <v>5664.5</v>
      </c>
      <c r="FH26" s="17">
        <v>5752.2</v>
      </c>
      <c r="FI26" s="17">
        <v>5367.75</v>
      </c>
      <c r="FJ26" s="17">
        <v>5752.95</v>
      </c>
      <c r="FK26" s="17">
        <v>5602.2</v>
      </c>
      <c r="FL26" s="17">
        <v>5875.05</v>
      </c>
      <c r="FM26" s="17">
        <v>5978.05</v>
      </c>
      <c r="FN26" s="17">
        <v>5835.25</v>
      </c>
      <c r="FO26" s="17">
        <v>5737.35</v>
      </c>
      <c r="FP26" s="17">
        <v>5459.15</v>
      </c>
      <c r="FQ26" s="17">
        <v>5628.75</v>
      </c>
      <c r="FR26" s="17">
        <v>5951.3</v>
      </c>
      <c r="FS26" s="17">
        <v>6002.05</v>
      </c>
      <c r="FT26" s="17">
        <v>5061.3500000000004</v>
      </c>
      <c r="FU26" s="17">
        <v>6052.1</v>
      </c>
      <c r="FV26" s="17">
        <v>6274.2</v>
      </c>
      <c r="FW26" s="17">
        <v>5646.8</v>
      </c>
      <c r="FX26" s="17">
        <v>5358.2</v>
      </c>
      <c r="FY26" s="17">
        <v>4708.7</v>
      </c>
      <c r="FZ26" s="17">
        <v>7662.2</v>
      </c>
      <c r="GA26" s="17">
        <v>0</v>
      </c>
      <c r="GB26" s="17">
        <v>0</v>
      </c>
      <c r="GC26" s="17">
        <v>3652.8</v>
      </c>
      <c r="GD26" s="17">
        <v>6829.9</v>
      </c>
      <c r="GE26" s="17">
        <v>5449.9</v>
      </c>
      <c r="GF26" s="17">
        <v>5244.75</v>
      </c>
      <c r="GG26" s="17">
        <v>5824.23</v>
      </c>
      <c r="GH26" s="17">
        <v>7038</v>
      </c>
      <c r="GI26" s="17">
        <v>7262.55</v>
      </c>
      <c r="GJ26" s="17">
        <v>6132.4</v>
      </c>
      <c r="GK26" s="17">
        <v>8099.55</v>
      </c>
      <c r="GL26" s="17">
        <v>6856.64</v>
      </c>
      <c r="GM26" s="17">
        <v>5825.25</v>
      </c>
      <c r="GN26" s="17">
        <v>6709.85</v>
      </c>
      <c r="GO26" s="17">
        <v>6648.15</v>
      </c>
      <c r="GP26" s="17">
        <v>7592.11</v>
      </c>
      <c r="GQ26" s="17">
        <v>6771.3</v>
      </c>
      <c r="GR26" s="107">
        <v>7059.35</v>
      </c>
      <c r="GS26" s="153">
        <f>EQ26</f>
        <v>6409.4</v>
      </c>
      <c r="GT26" s="84" t="s">
        <v>23</v>
      </c>
      <c r="GU26" s="92" t="s">
        <v>369</v>
      </c>
      <c r="GV26" s="93"/>
      <c r="GW26" s="59"/>
      <c r="GX26" s="59"/>
      <c r="GY26" s="59"/>
      <c r="GZ26" s="59"/>
      <c r="HA26" s="59"/>
    </row>
    <row r="27" spans="1:209" ht="15" customHeight="1" x14ac:dyDescent="0.3">
      <c r="A27" s="169"/>
      <c r="B27" s="34"/>
      <c r="C27" s="17" t="s">
        <v>24</v>
      </c>
      <c r="D27" s="17">
        <v>8365.7000000000007</v>
      </c>
      <c r="E27" s="17">
        <v>6180.15</v>
      </c>
      <c r="F27" s="17">
        <v>6056.75</v>
      </c>
      <c r="G27" s="17">
        <v>8865.24</v>
      </c>
      <c r="H27" s="17">
        <v>7523.75</v>
      </c>
      <c r="I27" s="17">
        <v>6999.57</v>
      </c>
      <c r="J27" s="17">
        <v>6760.25</v>
      </c>
      <c r="K27" s="17">
        <v>6759.9</v>
      </c>
      <c r="L27" s="17">
        <v>6932.75</v>
      </c>
      <c r="M27" s="17">
        <v>7379.5</v>
      </c>
      <c r="N27" s="17">
        <v>7444.9</v>
      </c>
      <c r="O27" s="17">
        <v>7186.95</v>
      </c>
      <c r="P27" s="17">
        <v>6028.8</v>
      </c>
      <c r="Q27" s="17">
        <v>7119.05</v>
      </c>
      <c r="R27" s="17">
        <v>7285.35</v>
      </c>
      <c r="S27" s="17">
        <v>6856.55</v>
      </c>
      <c r="T27" s="17">
        <v>6151.8</v>
      </c>
      <c r="U27" s="17">
        <v>6597.45</v>
      </c>
      <c r="V27" s="17">
        <v>6558.35</v>
      </c>
      <c r="W27" s="17">
        <v>5888.85</v>
      </c>
      <c r="X27" s="17">
        <v>4370.25</v>
      </c>
      <c r="Y27" s="17">
        <v>6909</v>
      </c>
      <c r="Z27" s="17">
        <v>6992.75</v>
      </c>
      <c r="AA27" s="17">
        <v>5985.7</v>
      </c>
      <c r="AB27" s="17">
        <v>6530.5</v>
      </c>
      <c r="AC27" s="17">
        <v>7324</v>
      </c>
      <c r="AD27" s="17">
        <v>8689</v>
      </c>
      <c r="AE27" s="17">
        <v>7416.49</v>
      </c>
      <c r="AF27" s="17">
        <v>6979.34</v>
      </c>
      <c r="AG27" s="17">
        <v>7158.45</v>
      </c>
      <c r="AH27" s="17">
        <v>7202</v>
      </c>
      <c r="AI27" s="17">
        <v>7223.25</v>
      </c>
      <c r="AJ27" s="17">
        <v>7908.45</v>
      </c>
      <c r="AK27" s="17">
        <v>7957.5</v>
      </c>
      <c r="AL27" s="17">
        <v>7170.95</v>
      </c>
      <c r="AM27" s="17">
        <v>8314.7000000000007</v>
      </c>
      <c r="AN27" s="17">
        <v>7630.75</v>
      </c>
      <c r="AO27" s="17">
        <v>7930.7</v>
      </c>
      <c r="AP27" s="17">
        <v>8421.59</v>
      </c>
      <c r="AQ27" s="17">
        <v>8203.2000000000007</v>
      </c>
      <c r="AR27" s="17">
        <v>9334.35</v>
      </c>
      <c r="AS27" s="17">
        <v>9382.73</v>
      </c>
      <c r="AT27" s="17">
        <v>8468.35</v>
      </c>
      <c r="AU27" s="17">
        <v>9206</v>
      </c>
      <c r="AV27" s="17">
        <v>9150.65</v>
      </c>
      <c r="AW27" s="17">
        <v>9363.65</v>
      </c>
      <c r="AX27" s="17">
        <v>9880.2999999999993</v>
      </c>
      <c r="AY27" s="17">
        <v>9845</v>
      </c>
      <c r="AZ27" s="17">
        <v>10644.95</v>
      </c>
      <c r="BA27" s="17">
        <v>9901.1</v>
      </c>
      <c r="BB27" s="17">
        <v>12424.85</v>
      </c>
      <c r="BC27" s="17">
        <v>11448</v>
      </c>
      <c r="BD27" s="17">
        <v>10404.799999999999</v>
      </c>
      <c r="BE27" s="17">
        <v>8773.6</v>
      </c>
      <c r="BF27" s="17">
        <v>7939.8</v>
      </c>
      <c r="BG27" s="17">
        <v>8703.7199999999993</v>
      </c>
      <c r="BH27" s="17">
        <v>10449.200000000001</v>
      </c>
      <c r="BI27" s="17">
        <v>8783.9500000000007</v>
      </c>
      <c r="BJ27" s="17">
        <v>8388</v>
      </c>
      <c r="BK27" s="17">
        <v>8976</v>
      </c>
      <c r="BL27" s="17">
        <v>8360.42</v>
      </c>
      <c r="BM27" s="17">
        <v>8756.5499999999993</v>
      </c>
      <c r="BN27" s="17">
        <v>7552.2</v>
      </c>
      <c r="BO27" s="17">
        <v>8968.6</v>
      </c>
      <c r="BP27" s="17">
        <v>9701.2999999999993</v>
      </c>
      <c r="BQ27" s="17">
        <v>6949.4</v>
      </c>
      <c r="BR27" s="17">
        <v>9248.5</v>
      </c>
      <c r="BS27" s="17">
        <v>8603.15</v>
      </c>
      <c r="BT27" s="17">
        <v>7365.4</v>
      </c>
      <c r="BU27" s="17">
        <v>9042.2999999999993</v>
      </c>
      <c r="BV27" s="17">
        <v>8617.35</v>
      </c>
      <c r="BW27" s="17">
        <v>7891.85</v>
      </c>
      <c r="BX27" s="17">
        <v>9049.15</v>
      </c>
      <c r="BY27" s="17">
        <v>8947.7000000000007</v>
      </c>
      <c r="BZ27" s="17">
        <v>8475.2000000000007</v>
      </c>
      <c r="CA27" s="17">
        <v>8782.4500000000007</v>
      </c>
      <c r="CB27" s="17">
        <v>6881.8</v>
      </c>
      <c r="CC27" s="17">
        <v>10423.450000000001</v>
      </c>
      <c r="CD27" s="17">
        <v>9363.2000000000007</v>
      </c>
      <c r="CE27" s="17">
        <v>9981.6</v>
      </c>
      <c r="CF27" s="17">
        <v>10943.4</v>
      </c>
      <c r="CG27" s="17">
        <v>11057.3</v>
      </c>
      <c r="CH27" s="17">
        <v>9396.1</v>
      </c>
      <c r="CI27" s="17">
        <v>10263.6</v>
      </c>
      <c r="CJ27" s="17">
        <v>10276.9</v>
      </c>
      <c r="CK27" s="17">
        <v>10178.1</v>
      </c>
      <c r="CL27" s="17">
        <v>12398.14</v>
      </c>
      <c r="CM27" s="17">
        <v>10418.6</v>
      </c>
      <c r="CN27" s="17">
        <v>9376.1</v>
      </c>
      <c r="CO27" s="17">
        <v>9897.7999999999993</v>
      </c>
      <c r="CP27" s="17">
        <v>10478.4</v>
      </c>
      <c r="CQ27" s="17">
        <v>11247.65</v>
      </c>
      <c r="CR27" s="17">
        <v>10608.2</v>
      </c>
      <c r="CS27" s="17">
        <v>10676</v>
      </c>
      <c r="CT27" s="17">
        <v>9644.98</v>
      </c>
      <c r="CU27" s="17">
        <v>12253.85</v>
      </c>
      <c r="CV27" s="17">
        <v>10624.9</v>
      </c>
      <c r="CW27" s="17">
        <v>11106.7</v>
      </c>
      <c r="CX27" s="17">
        <v>10005.9</v>
      </c>
      <c r="CY27" s="17">
        <v>10785.82</v>
      </c>
      <c r="CZ27" s="17">
        <v>10006.35</v>
      </c>
      <c r="DA27" s="17">
        <v>13192.4</v>
      </c>
      <c r="DB27" s="17">
        <v>12748.8</v>
      </c>
      <c r="DC27" s="17">
        <v>9962.7999999999993</v>
      </c>
      <c r="DD27" s="17">
        <v>11066.95</v>
      </c>
      <c r="DE27" s="17">
        <v>9704</v>
      </c>
      <c r="DF27" s="17">
        <v>9513.1</v>
      </c>
      <c r="DG27" s="17">
        <v>10084.68</v>
      </c>
      <c r="DH27" s="17">
        <v>10859.45</v>
      </c>
      <c r="DI27" s="17">
        <v>8848.75</v>
      </c>
      <c r="DJ27" s="17">
        <v>8270.75</v>
      </c>
      <c r="DK27" s="17">
        <v>7919.25</v>
      </c>
      <c r="DL27" s="17">
        <v>10281.450000000001</v>
      </c>
      <c r="DM27" s="17">
        <v>10860.5</v>
      </c>
      <c r="DN27" s="17">
        <v>8800.2999999999993</v>
      </c>
      <c r="DO27" s="17">
        <v>10628.9</v>
      </c>
      <c r="DP27" s="17">
        <v>10411.85</v>
      </c>
      <c r="DQ27" s="17">
        <v>10206.950000000001</v>
      </c>
      <c r="DR27" s="17">
        <v>8421.0499999999993</v>
      </c>
      <c r="DS27" s="17">
        <v>8370.15</v>
      </c>
      <c r="DT27" s="17">
        <v>8440.2000000000007</v>
      </c>
      <c r="DU27" s="17">
        <v>9845.5</v>
      </c>
      <c r="DV27" s="17">
        <v>9430.5499999999993</v>
      </c>
      <c r="DW27" s="17">
        <v>9568.85</v>
      </c>
      <c r="DX27" s="17">
        <v>9379.7000000000007</v>
      </c>
      <c r="DY27" s="17">
        <v>7697.9</v>
      </c>
      <c r="DZ27" s="17">
        <v>11911.7</v>
      </c>
      <c r="EA27" s="17">
        <v>10086.9</v>
      </c>
      <c r="EB27" s="17">
        <v>8101.55</v>
      </c>
      <c r="EC27" s="17">
        <v>9563.65</v>
      </c>
      <c r="ED27" s="17">
        <v>10712.75</v>
      </c>
      <c r="EE27" s="17">
        <v>10695.5</v>
      </c>
      <c r="EF27" s="17">
        <v>10074</v>
      </c>
      <c r="EG27" s="17">
        <v>9635</v>
      </c>
      <c r="EH27" s="17">
        <v>11261.5</v>
      </c>
      <c r="EI27" s="17">
        <v>9612.6</v>
      </c>
      <c r="EJ27" s="17">
        <v>11663.45</v>
      </c>
      <c r="EK27" s="17">
        <v>9971.5</v>
      </c>
      <c r="EL27" s="17">
        <v>11355.1</v>
      </c>
      <c r="EM27" s="17">
        <v>9800.5</v>
      </c>
      <c r="EN27" s="17">
        <v>9623.35</v>
      </c>
      <c r="EO27" s="17">
        <v>10285.25</v>
      </c>
      <c r="EP27" s="17">
        <v>10838.3</v>
      </c>
      <c r="EQ27" s="17">
        <v>10593.35</v>
      </c>
      <c r="ER27" s="17">
        <v>8881.36</v>
      </c>
      <c r="ES27" s="17">
        <v>9413.25</v>
      </c>
      <c r="ET27" s="17">
        <v>10157.85</v>
      </c>
      <c r="EU27" s="17">
        <v>13109.75</v>
      </c>
      <c r="EV27" s="17">
        <v>11436.2</v>
      </c>
      <c r="EW27" s="17">
        <v>11736</v>
      </c>
      <c r="EX27" s="17">
        <v>10764.25</v>
      </c>
      <c r="EY27" s="17">
        <v>12349.25</v>
      </c>
      <c r="EZ27" s="17">
        <v>10953.85</v>
      </c>
      <c r="FA27" s="17">
        <v>13241.25</v>
      </c>
      <c r="FB27" s="17"/>
      <c r="FC27" s="17">
        <v>10764.05</v>
      </c>
      <c r="FD27" s="17">
        <v>10417.950000000001</v>
      </c>
      <c r="FE27" s="17">
        <v>12197.7</v>
      </c>
      <c r="FF27" s="17">
        <v>10733.85</v>
      </c>
      <c r="FG27" s="17">
        <v>10620.25</v>
      </c>
      <c r="FH27" s="17">
        <v>11389.1</v>
      </c>
      <c r="FI27" s="17">
        <v>9522.1</v>
      </c>
      <c r="FJ27" s="17">
        <v>10269.25</v>
      </c>
      <c r="FK27" s="17">
        <v>10389.700000000001</v>
      </c>
      <c r="FL27" s="17">
        <v>10490.25</v>
      </c>
      <c r="FM27" s="17">
        <v>10166.25</v>
      </c>
      <c r="FN27" s="17">
        <v>12185.25</v>
      </c>
      <c r="FO27" s="17">
        <v>11181</v>
      </c>
      <c r="FP27" s="17">
        <v>13862.5</v>
      </c>
      <c r="FQ27" s="17">
        <v>12291.1</v>
      </c>
      <c r="FR27" s="17">
        <v>11966.55</v>
      </c>
      <c r="FS27" s="17">
        <v>12202.75</v>
      </c>
      <c r="FT27" s="17">
        <v>10274.25</v>
      </c>
      <c r="FU27" s="17">
        <v>11764</v>
      </c>
      <c r="FV27" s="17">
        <v>15045.45</v>
      </c>
      <c r="FW27" s="17">
        <v>13107.25</v>
      </c>
      <c r="FX27" s="17">
        <v>9896</v>
      </c>
      <c r="FY27" s="17">
        <v>9374.5</v>
      </c>
      <c r="FZ27" s="17">
        <v>14643</v>
      </c>
      <c r="GA27" s="17">
        <v>0</v>
      </c>
      <c r="GB27" s="17">
        <v>0</v>
      </c>
      <c r="GC27" s="17">
        <v>7664.5</v>
      </c>
      <c r="GD27" s="17">
        <v>14211.25</v>
      </c>
      <c r="GE27" s="17">
        <v>11922</v>
      </c>
      <c r="GF27" s="17">
        <v>9765</v>
      </c>
      <c r="GG27" s="17">
        <v>12761.92</v>
      </c>
      <c r="GH27" s="17">
        <v>12830.25</v>
      </c>
      <c r="GI27" s="17">
        <v>13959.5</v>
      </c>
      <c r="GJ27" s="17">
        <v>14816</v>
      </c>
      <c r="GK27" s="17">
        <v>16457.5</v>
      </c>
      <c r="GL27" s="17">
        <v>14690.16</v>
      </c>
      <c r="GM27" s="17">
        <v>13274.25</v>
      </c>
      <c r="GN27" s="17">
        <v>15322</v>
      </c>
      <c r="GO27" s="17">
        <v>14464.25</v>
      </c>
      <c r="GP27" s="17">
        <v>14995.54</v>
      </c>
      <c r="GQ27" s="17">
        <v>15237</v>
      </c>
      <c r="GR27" s="107">
        <v>15687.25</v>
      </c>
      <c r="GS27" s="153">
        <f>EQ27</f>
        <v>10593.35</v>
      </c>
      <c r="GT27" s="5" t="s">
        <v>24</v>
      </c>
      <c r="GU27" s="94" t="s">
        <v>367</v>
      </c>
      <c r="GV27" s="104">
        <f>DRY!AG12</f>
        <v>0.79063481489744858</v>
      </c>
      <c r="GW27" s="55"/>
      <c r="GX27" s="55"/>
      <c r="GY27" s="55"/>
      <c r="GZ27" s="55"/>
      <c r="HA27" s="55"/>
    </row>
    <row r="28" spans="1:209" s="2" customFormat="1" ht="15" customHeight="1" x14ac:dyDescent="0.3">
      <c r="A28" s="169"/>
      <c r="B28" s="19" t="s">
        <v>21</v>
      </c>
      <c r="C28" s="20"/>
      <c r="D28" s="20">
        <f>SUM(D26:D27)</f>
        <v>14870.1</v>
      </c>
      <c r="E28" s="20">
        <f t="shared" ref="E28:M28" si="623">SUM(E26:E27)</f>
        <v>10614.849999999999</v>
      </c>
      <c r="F28" s="20">
        <f t="shared" si="623"/>
        <v>10245.6</v>
      </c>
      <c r="G28" s="20">
        <f t="shared" si="623"/>
        <v>14674.99</v>
      </c>
      <c r="H28" s="20">
        <f t="shared" si="623"/>
        <v>12621.35</v>
      </c>
      <c r="I28" s="20">
        <f t="shared" si="623"/>
        <v>11094.869999999999</v>
      </c>
      <c r="J28" s="20">
        <f t="shared" si="623"/>
        <v>11571.14</v>
      </c>
      <c r="K28" s="20">
        <f t="shared" si="623"/>
        <v>11072.7</v>
      </c>
      <c r="L28" s="20">
        <f t="shared" si="623"/>
        <v>10871.75</v>
      </c>
      <c r="M28" s="20">
        <f t="shared" si="623"/>
        <v>11002.15</v>
      </c>
      <c r="N28" s="20">
        <f t="shared" ref="N28:AX28" si="624">SUM(N26:N27)</f>
        <v>11181.25</v>
      </c>
      <c r="O28" s="20">
        <f t="shared" si="624"/>
        <v>10974.6</v>
      </c>
      <c r="P28" s="20">
        <f t="shared" si="624"/>
        <v>9521.5</v>
      </c>
      <c r="Q28" s="20">
        <f t="shared" si="624"/>
        <v>10295.1</v>
      </c>
      <c r="R28" s="20">
        <f t="shared" si="624"/>
        <v>10369.950000000001</v>
      </c>
      <c r="S28" s="20">
        <f t="shared" si="624"/>
        <v>10022.799999999999</v>
      </c>
      <c r="T28" s="20">
        <f t="shared" si="624"/>
        <v>9216.5499999999993</v>
      </c>
      <c r="U28" s="20">
        <f t="shared" si="624"/>
        <v>10346.6</v>
      </c>
      <c r="V28" s="20">
        <f t="shared" si="624"/>
        <v>10642.7</v>
      </c>
      <c r="W28" s="20">
        <f t="shared" si="624"/>
        <v>10418.799999999999</v>
      </c>
      <c r="X28" s="20">
        <f t="shared" si="624"/>
        <v>8420.9500000000007</v>
      </c>
      <c r="Y28" s="20">
        <f t="shared" si="624"/>
        <v>12654.7</v>
      </c>
      <c r="Z28" s="20">
        <f t="shared" si="624"/>
        <v>11458.3</v>
      </c>
      <c r="AA28" s="20">
        <f t="shared" si="624"/>
        <v>9294.25</v>
      </c>
      <c r="AB28" s="20">
        <f t="shared" si="624"/>
        <v>10777.3</v>
      </c>
      <c r="AC28" s="20">
        <f t="shared" si="624"/>
        <v>11552.45</v>
      </c>
      <c r="AD28" s="20">
        <f t="shared" si="624"/>
        <v>13411.85</v>
      </c>
      <c r="AE28" s="20">
        <f t="shared" si="624"/>
        <v>11252.24</v>
      </c>
      <c r="AF28" s="20">
        <f t="shared" si="624"/>
        <v>12605.84</v>
      </c>
      <c r="AG28" s="20">
        <f t="shared" si="624"/>
        <v>10728.2</v>
      </c>
      <c r="AH28" s="20">
        <f t="shared" si="624"/>
        <v>11461.95</v>
      </c>
      <c r="AI28" s="20">
        <f t="shared" si="624"/>
        <v>10917</v>
      </c>
      <c r="AJ28" s="20">
        <f t="shared" si="624"/>
        <v>12097.65</v>
      </c>
      <c r="AK28" s="20">
        <f t="shared" si="624"/>
        <v>12312.85</v>
      </c>
      <c r="AL28" s="20">
        <f t="shared" si="624"/>
        <v>11177.55</v>
      </c>
      <c r="AM28" s="20">
        <f t="shared" si="624"/>
        <v>12601.25</v>
      </c>
      <c r="AN28" s="20">
        <f t="shared" si="624"/>
        <v>11382.25</v>
      </c>
      <c r="AO28" s="20">
        <f t="shared" si="624"/>
        <v>12368.5</v>
      </c>
      <c r="AP28" s="20">
        <f t="shared" si="624"/>
        <v>12994.54</v>
      </c>
      <c r="AQ28" s="20">
        <f t="shared" si="624"/>
        <v>12504.95</v>
      </c>
      <c r="AR28" s="20">
        <f t="shared" si="624"/>
        <v>14163.95</v>
      </c>
      <c r="AS28" s="20">
        <f t="shared" si="624"/>
        <v>14204.13</v>
      </c>
      <c r="AT28" s="20">
        <f t="shared" si="624"/>
        <v>12594.05</v>
      </c>
      <c r="AU28" s="20">
        <f t="shared" si="624"/>
        <v>13834.6</v>
      </c>
      <c r="AV28" s="20">
        <f t="shared" si="624"/>
        <v>14241.55</v>
      </c>
      <c r="AW28" s="20">
        <f t="shared" si="624"/>
        <v>13801.65</v>
      </c>
      <c r="AX28" s="20">
        <f t="shared" si="624"/>
        <v>15419.05</v>
      </c>
      <c r="AY28" s="20">
        <f>SUM(AY26:AY27)</f>
        <v>14611.95</v>
      </c>
      <c r="AZ28" s="20">
        <f>SUM(AZ26:AZ27)</f>
        <v>15446</v>
      </c>
      <c r="BA28" s="20">
        <f>SUM(BA26:BA27)</f>
        <v>14118.5</v>
      </c>
      <c r="BB28" s="20">
        <f>SUM(BB26:BB27)</f>
        <v>17649.599999999999</v>
      </c>
      <c r="BC28" s="20">
        <f t="shared" ref="BC28:BR28" si="625">SUM(BC26:BC27)</f>
        <v>17131.05</v>
      </c>
      <c r="BD28" s="20">
        <f t="shared" si="625"/>
        <v>14778.75</v>
      </c>
      <c r="BE28" s="20">
        <f t="shared" si="625"/>
        <v>13135.95</v>
      </c>
      <c r="BF28" s="20">
        <f t="shared" si="625"/>
        <v>12326.650000000001</v>
      </c>
      <c r="BG28" s="20">
        <f t="shared" si="625"/>
        <v>14311.869999999999</v>
      </c>
      <c r="BH28" s="20">
        <f t="shared" si="625"/>
        <v>15400.150000000001</v>
      </c>
      <c r="BI28" s="20">
        <f t="shared" si="625"/>
        <v>14031.45</v>
      </c>
      <c r="BJ28" s="20">
        <f t="shared" si="625"/>
        <v>13236</v>
      </c>
      <c r="BK28" s="20">
        <f t="shared" si="625"/>
        <v>14269.15</v>
      </c>
      <c r="BL28" s="20">
        <f t="shared" si="625"/>
        <v>13016.42</v>
      </c>
      <c r="BM28" s="20">
        <f t="shared" si="625"/>
        <v>13611.599999999999</v>
      </c>
      <c r="BN28" s="20">
        <f t="shared" si="625"/>
        <v>11973.599999999999</v>
      </c>
      <c r="BO28" s="20">
        <f t="shared" si="625"/>
        <v>13377.85</v>
      </c>
      <c r="BP28" s="20">
        <f t="shared" si="625"/>
        <v>15553.349999999999</v>
      </c>
      <c r="BQ28" s="20">
        <f t="shared" si="625"/>
        <v>12234.65</v>
      </c>
      <c r="BR28" s="20">
        <f t="shared" si="625"/>
        <v>13894.05</v>
      </c>
      <c r="BS28" s="20">
        <f t="shared" ref="BS28:BW28" si="626">SUM(BS26:BS27)</f>
        <v>12868.3</v>
      </c>
      <c r="BT28" s="20">
        <f t="shared" si="626"/>
        <v>12043.25</v>
      </c>
      <c r="BU28" s="20">
        <f t="shared" si="626"/>
        <v>13500.849999999999</v>
      </c>
      <c r="BV28" s="20">
        <f t="shared" si="626"/>
        <v>13771.2</v>
      </c>
      <c r="BW28" s="20">
        <f t="shared" si="626"/>
        <v>11311.95</v>
      </c>
      <c r="BX28" s="20">
        <f t="shared" ref="BX28:CB28" si="627">SUM(BX26:BX27)</f>
        <v>15100.95</v>
      </c>
      <c r="BY28" s="20">
        <f t="shared" si="627"/>
        <v>15407.75</v>
      </c>
      <c r="BZ28" s="20">
        <f t="shared" si="627"/>
        <v>12608.75</v>
      </c>
      <c r="CA28" s="20">
        <f t="shared" si="627"/>
        <v>14463.5</v>
      </c>
      <c r="CB28" s="20">
        <f t="shared" si="627"/>
        <v>11948.7</v>
      </c>
      <c r="CC28" s="20">
        <f t="shared" ref="CC28:CN28" si="628">SUM(CC26:CC27)</f>
        <v>15415</v>
      </c>
      <c r="CD28" s="20">
        <f t="shared" si="628"/>
        <v>14885.32</v>
      </c>
      <c r="CE28" s="20">
        <f t="shared" si="628"/>
        <v>15372.7</v>
      </c>
      <c r="CF28" s="20">
        <f t="shared" si="628"/>
        <v>16591.7</v>
      </c>
      <c r="CG28" s="20">
        <f t="shared" si="628"/>
        <v>17621.099999999999</v>
      </c>
      <c r="CH28" s="20">
        <f t="shared" si="628"/>
        <v>13977.84</v>
      </c>
      <c r="CI28" s="20">
        <f t="shared" si="628"/>
        <v>15447.650000000001</v>
      </c>
      <c r="CJ28" s="20">
        <f t="shared" si="628"/>
        <v>14520.95</v>
      </c>
      <c r="CK28" s="20">
        <f t="shared" si="628"/>
        <v>15530.400000000001</v>
      </c>
      <c r="CL28" s="20">
        <f t="shared" si="628"/>
        <v>19702.89</v>
      </c>
      <c r="CM28" s="20">
        <f t="shared" si="628"/>
        <v>16350.900000000001</v>
      </c>
      <c r="CN28" s="20">
        <f t="shared" si="628"/>
        <v>14897.05</v>
      </c>
      <c r="CO28" s="20">
        <f t="shared" ref="CO28:CZ28" si="629">SUM(CO26:CO27)</f>
        <v>16184.25</v>
      </c>
      <c r="CP28" s="20">
        <f t="shared" si="629"/>
        <v>16134.9</v>
      </c>
      <c r="CQ28" s="20">
        <f t="shared" si="629"/>
        <v>16760.3</v>
      </c>
      <c r="CR28" s="20">
        <f t="shared" si="629"/>
        <v>16843.95</v>
      </c>
      <c r="CS28" s="20">
        <f t="shared" si="629"/>
        <v>16849.05</v>
      </c>
      <c r="CT28" s="20">
        <f t="shared" si="629"/>
        <v>15032.43</v>
      </c>
      <c r="CU28" s="20">
        <f t="shared" si="629"/>
        <v>18369.8</v>
      </c>
      <c r="CV28" s="20">
        <f t="shared" si="629"/>
        <v>15864.349999999999</v>
      </c>
      <c r="CW28" s="20">
        <f t="shared" si="629"/>
        <v>17179.95</v>
      </c>
      <c r="CX28" s="20">
        <f t="shared" si="629"/>
        <v>15371.599999999999</v>
      </c>
      <c r="CY28" s="20">
        <f t="shared" si="629"/>
        <v>17078.669999999998</v>
      </c>
      <c r="CZ28" s="20">
        <f t="shared" si="629"/>
        <v>14885.6</v>
      </c>
      <c r="DA28" s="20">
        <f t="shared" ref="DA28:DB28" si="630">SUM(DA26:DA27)</f>
        <v>18875.2</v>
      </c>
      <c r="DB28" s="20">
        <f t="shared" si="630"/>
        <v>19363.05</v>
      </c>
      <c r="DC28" s="20">
        <f t="shared" ref="DC28:DD28" si="631">SUM(DC26:DC27)</f>
        <v>15237.55</v>
      </c>
      <c r="DD28" s="20">
        <f t="shared" si="631"/>
        <v>17878.550000000003</v>
      </c>
      <c r="DE28" s="20">
        <f t="shared" ref="DE28:DF28" si="632">SUM(DE26:DE27)</f>
        <v>14551.95</v>
      </c>
      <c r="DF28" s="20">
        <f t="shared" si="632"/>
        <v>14606.8</v>
      </c>
      <c r="DG28" s="20">
        <f t="shared" ref="DG28:DH28" si="633">SUM(DG26:DG27)</f>
        <v>14726.130000000001</v>
      </c>
      <c r="DH28" s="20">
        <f t="shared" si="633"/>
        <v>15700.050000000001</v>
      </c>
      <c r="DI28" s="20">
        <f t="shared" ref="DI28:DJ28" si="634">SUM(DI26:DI27)</f>
        <v>13171.05</v>
      </c>
      <c r="DJ28" s="20">
        <f t="shared" si="634"/>
        <v>12577.95</v>
      </c>
      <c r="DK28" s="20">
        <f t="shared" ref="DK28:DL28" si="635">SUM(DK26:DK27)</f>
        <v>12175.4</v>
      </c>
      <c r="DL28" s="20">
        <f t="shared" si="635"/>
        <v>15340.6</v>
      </c>
      <c r="DM28" s="20">
        <f t="shared" ref="DM28:DN28" si="636">SUM(DM26:DM27)</f>
        <v>16156.3</v>
      </c>
      <c r="DN28" s="20">
        <f t="shared" si="636"/>
        <v>12970.099999999999</v>
      </c>
      <c r="DO28" s="20">
        <f t="shared" ref="DO28:DP28" si="637">SUM(DO26:DO27)</f>
        <v>16412.2</v>
      </c>
      <c r="DP28" s="20">
        <f t="shared" si="637"/>
        <v>15869.55</v>
      </c>
      <c r="DQ28" s="20">
        <f t="shared" ref="DQ28:DR28" si="638">SUM(DQ26:DQ27)</f>
        <v>15315.6</v>
      </c>
      <c r="DR28" s="20">
        <f t="shared" si="638"/>
        <v>13407.8</v>
      </c>
      <c r="DS28" s="20">
        <f t="shared" ref="DS28:DT28" si="639">SUM(DS26:DS27)</f>
        <v>13054.349999999999</v>
      </c>
      <c r="DT28" s="20">
        <f t="shared" si="639"/>
        <v>12866.1</v>
      </c>
      <c r="DU28" s="20">
        <f t="shared" ref="DU28:DV28" si="640">SUM(DU26:DU27)</f>
        <v>15062</v>
      </c>
      <c r="DV28" s="20">
        <f t="shared" si="640"/>
        <v>14456.199999999999</v>
      </c>
      <c r="DW28" s="20">
        <f t="shared" ref="DW28:DX28" si="641">SUM(DW26:DW27)</f>
        <v>13944</v>
      </c>
      <c r="DX28" s="20">
        <f t="shared" si="641"/>
        <v>14600</v>
      </c>
      <c r="DY28" s="20">
        <f t="shared" ref="DY28:DZ28" si="642">SUM(DY26:DY27)</f>
        <v>12496</v>
      </c>
      <c r="DZ28" s="20">
        <f t="shared" si="642"/>
        <v>20104.800000000003</v>
      </c>
      <c r="EA28" s="20">
        <f t="shared" ref="EA28:EB28" si="643">SUM(EA26:EA27)</f>
        <v>15769.95</v>
      </c>
      <c r="EB28" s="20">
        <f t="shared" si="643"/>
        <v>12182.15</v>
      </c>
      <c r="EC28" s="20">
        <f t="shared" ref="EC28:ED28" si="644">SUM(EC26:EC27)</f>
        <v>14685.07</v>
      </c>
      <c r="ED28" s="20">
        <f t="shared" si="644"/>
        <v>16777.12</v>
      </c>
      <c r="EE28" s="20">
        <f t="shared" ref="EE28:EF28" si="645">SUM(EE26:EE27)</f>
        <v>15779.85</v>
      </c>
      <c r="EF28" s="20">
        <f t="shared" si="645"/>
        <v>15234.65</v>
      </c>
      <c r="EG28" s="20">
        <f t="shared" ref="EG28:EH28" si="646">SUM(EG26:EG27)</f>
        <v>15029.15</v>
      </c>
      <c r="EH28" s="20">
        <f t="shared" si="646"/>
        <v>17745.05</v>
      </c>
      <c r="EI28" s="20">
        <f t="shared" ref="EI28:EJ28" si="647">SUM(EI26:EI27)</f>
        <v>15199.85</v>
      </c>
      <c r="EJ28" s="20">
        <f t="shared" si="647"/>
        <v>17316.599999999999</v>
      </c>
      <c r="EK28" s="20">
        <f t="shared" ref="EK28:EL28" si="648">SUM(EK26:EK27)</f>
        <v>15656.65</v>
      </c>
      <c r="EL28" s="20">
        <f t="shared" si="648"/>
        <v>17083.400000000001</v>
      </c>
      <c r="EM28" s="20">
        <f t="shared" ref="EM28:EN28" si="649">SUM(EM26:EM27)</f>
        <v>15356.5</v>
      </c>
      <c r="EN28" s="20">
        <f t="shared" si="649"/>
        <v>15120.900000000001</v>
      </c>
      <c r="EO28" s="20">
        <f t="shared" ref="EO28:EP28" si="650">SUM(EO26:EO27)</f>
        <v>16644.05</v>
      </c>
      <c r="EP28" s="20">
        <f t="shared" si="650"/>
        <v>17005.949999999997</v>
      </c>
      <c r="EQ28" s="20">
        <f t="shared" ref="EQ28:ER28" si="651">SUM(EQ26:EQ27)</f>
        <v>17002.75</v>
      </c>
      <c r="ER28" s="20">
        <f t="shared" si="651"/>
        <v>14446.66</v>
      </c>
      <c r="ES28" s="20">
        <f t="shared" ref="ES28:ET28" si="652">SUM(ES26:ES27)</f>
        <v>15040.7</v>
      </c>
      <c r="ET28" s="20">
        <f t="shared" si="652"/>
        <v>15621.2</v>
      </c>
      <c r="EU28" s="20">
        <f t="shared" ref="EU28:EV28" si="653">SUM(EU26:EU27)</f>
        <v>20322</v>
      </c>
      <c r="EV28" s="20">
        <f t="shared" si="653"/>
        <v>16799.849999999999</v>
      </c>
      <c r="EW28" s="20">
        <f t="shared" ref="EW28:EX28" si="654">SUM(EW26:EW27)</f>
        <v>17269.099999999999</v>
      </c>
      <c r="EX28" s="20">
        <f t="shared" si="654"/>
        <v>17777.099999999999</v>
      </c>
      <c r="EY28" s="20">
        <f t="shared" ref="EY28:EZ28" si="655">SUM(EY26:EY27)</f>
        <v>20167.900000000001</v>
      </c>
      <c r="EZ28" s="20">
        <f t="shared" si="655"/>
        <v>17681.849999999999</v>
      </c>
      <c r="FA28" s="20">
        <f t="shared" ref="FA28:FC28" si="656">SUM(FA26:FA27)</f>
        <v>20997.05</v>
      </c>
      <c r="FB28" s="20">
        <v>21185</v>
      </c>
      <c r="FC28" s="20">
        <f t="shared" si="656"/>
        <v>18953.099999999999</v>
      </c>
      <c r="FD28" s="20">
        <f t="shared" ref="FD28:FE28" si="657">SUM(FD26:FD27)</f>
        <v>16488.45</v>
      </c>
      <c r="FE28" s="20">
        <f t="shared" si="657"/>
        <v>19075.050000000003</v>
      </c>
      <c r="FF28" s="20">
        <f t="shared" ref="FF28:FG28" si="658">SUM(FF26:FF27)</f>
        <v>16950.2</v>
      </c>
      <c r="FG28" s="20">
        <f t="shared" si="658"/>
        <v>16284.75</v>
      </c>
      <c r="FH28" s="20">
        <f t="shared" ref="FH28:FI28" si="659">SUM(FH26:FH27)</f>
        <v>17141.3</v>
      </c>
      <c r="FI28" s="20">
        <f t="shared" si="659"/>
        <v>14889.85</v>
      </c>
      <c r="FJ28" s="20">
        <f t="shared" ref="FJ28:FK28" si="660">SUM(FJ26:FJ27)</f>
        <v>16022.2</v>
      </c>
      <c r="FK28" s="20">
        <f t="shared" si="660"/>
        <v>15991.900000000001</v>
      </c>
      <c r="FL28" s="20">
        <f t="shared" ref="FL28:FM28" si="661">SUM(FL26:FL27)</f>
        <v>16365.3</v>
      </c>
      <c r="FM28" s="20">
        <f t="shared" si="661"/>
        <v>16144.3</v>
      </c>
      <c r="FN28" s="20">
        <f t="shared" ref="FN28:FO28" si="662">SUM(FN26:FN27)</f>
        <v>18020.5</v>
      </c>
      <c r="FO28" s="20">
        <f t="shared" si="662"/>
        <v>16918.349999999999</v>
      </c>
      <c r="FP28" s="20">
        <f t="shared" ref="FP28:FQ28" si="663">SUM(FP26:FP27)</f>
        <v>19321.650000000001</v>
      </c>
      <c r="FQ28" s="20">
        <f t="shared" si="663"/>
        <v>17919.849999999999</v>
      </c>
      <c r="FR28" s="20">
        <f t="shared" ref="FR28:FS28" si="664">SUM(FR26:FR27)</f>
        <v>17917.849999999999</v>
      </c>
      <c r="FS28" s="20">
        <f t="shared" si="664"/>
        <v>18204.8</v>
      </c>
      <c r="FT28" s="20">
        <f t="shared" ref="FT28:FU28" si="665">SUM(FT26:FT27)</f>
        <v>15335.6</v>
      </c>
      <c r="FU28" s="20">
        <f t="shared" si="665"/>
        <v>17816.099999999999</v>
      </c>
      <c r="FV28" s="20">
        <f t="shared" ref="FV28:FW28" si="666">SUM(FV26:FV27)</f>
        <v>21319.65</v>
      </c>
      <c r="FW28" s="20">
        <f t="shared" si="666"/>
        <v>18754.05</v>
      </c>
      <c r="FX28" s="20">
        <f t="shared" ref="FX28:FY28" si="667">SUM(FX26:FX27)</f>
        <v>15254.2</v>
      </c>
      <c r="FY28" s="20">
        <f t="shared" si="667"/>
        <v>14083.2</v>
      </c>
      <c r="FZ28" s="20">
        <f t="shared" ref="FZ28:GA28" si="668">SUM(FZ26:FZ27)</f>
        <v>22305.200000000001</v>
      </c>
      <c r="GA28" s="20">
        <f t="shared" si="668"/>
        <v>0</v>
      </c>
      <c r="GB28" s="20">
        <f t="shared" ref="GB28:GC28" si="669">SUM(GB26:GB27)</f>
        <v>0</v>
      </c>
      <c r="GC28" s="20">
        <f t="shared" si="669"/>
        <v>11317.3</v>
      </c>
      <c r="GD28" s="20">
        <f t="shared" ref="GD28:GE28" si="670">SUM(GD26:GD27)</f>
        <v>21041.15</v>
      </c>
      <c r="GE28" s="20">
        <f t="shared" si="670"/>
        <v>17371.900000000001</v>
      </c>
      <c r="GF28" s="20">
        <f t="shared" ref="GF28:GG28" si="671">SUM(GF26:GF27)</f>
        <v>15009.75</v>
      </c>
      <c r="GG28" s="20">
        <f t="shared" si="671"/>
        <v>18586.150000000001</v>
      </c>
      <c r="GH28" s="20">
        <f t="shared" ref="GH28:GI28" si="672">SUM(GH26:GH27)</f>
        <v>19868.25</v>
      </c>
      <c r="GI28" s="20">
        <f t="shared" si="672"/>
        <v>21222.05</v>
      </c>
      <c r="GJ28" s="20">
        <f t="shared" ref="GJ28:GK28" si="673">SUM(GJ26:GJ27)</f>
        <v>20948.400000000001</v>
      </c>
      <c r="GK28" s="20">
        <f t="shared" si="673"/>
        <v>24557.05</v>
      </c>
      <c r="GL28" s="20">
        <f t="shared" ref="GL28:GN28" si="674">SUM(GL26:GL27)</f>
        <v>21546.799999999999</v>
      </c>
      <c r="GM28" s="20">
        <f t="shared" ref="GM28" si="675">SUM(GM26:GM27)</f>
        <v>19099.5</v>
      </c>
      <c r="GN28" s="20">
        <f t="shared" si="674"/>
        <v>22031.85</v>
      </c>
      <c r="GO28" s="20">
        <f t="shared" ref="GO28:GP28" si="676">SUM(GO26:GO27)</f>
        <v>21112.400000000001</v>
      </c>
      <c r="GP28" s="20">
        <f t="shared" si="676"/>
        <v>22587.65</v>
      </c>
      <c r="GQ28" s="20">
        <f t="shared" ref="GQ28:GR28" si="677">SUM(GQ26:GQ27)</f>
        <v>22008.3</v>
      </c>
      <c r="GR28" s="108">
        <f t="shared" si="677"/>
        <v>22746.6</v>
      </c>
      <c r="GS28" s="154">
        <f t="shared" ref="GS28" si="678">SUM(GS26+GS27)</f>
        <v>17002.75</v>
      </c>
      <c r="GT28" s="10" t="str">
        <f>B26</f>
        <v>DOG &amp; GUN</v>
      </c>
      <c r="GU28" s="139" t="s">
        <v>398</v>
      </c>
      <c r="GV28" s="140">
        <f>DRY!AH12</f>
        <v>0.70810513929932151</v>
      </c>
      <c r="GW28" s="56">
        <f>AVERAGE(ES28:GR28)</f>
        <v>17719.120192307695</v>
      </c>
      <c r="GX28" s="56">
        <f>AVERAGE(FS28:GR28)</f>
        <v>17851.073076923076</v>
      </c>
      <c r="GY28" s="56">
        <f>AVERAGE(GF28:GR28)</f>
        <v>20871.134615384617</v>
      </c>
      <c r="GZ28" s="56">
        <f>AVERAGE(GN28:GR28)</f>
        <v>22097.359999999997</v>
      </c>
      <c r="HA28" s="56">
        <f>MAX(D28:GR28)</f>
        <v>24557.05</v>
      </c>
    </row>
    <row r="29" spans="1:209" s="2" customFormat="1" ht="15" customHeight="1" x14ac:dyDescent="0.3">
      <c r="A29" s="169"/>
      <c r="B29" s="35" t="s">
        <v>365</v>
      </c>
      <c r="C29" s="36"/>
      <c r="D29" s="36"/>
      <c r="E29" s="36">
        <f>SUM(E28-D28)</f>
        <v>-4255.2500000000018</v>
      </c>
      <c r="F29" s="37">
        <f t="shared" ref="F29:S29" si="679">SUM(F28-E28)</f>
        <v>-369.24999999999818</v>
      </c>
      <c r="G29" s="37">
        <f t="shared" si="679"/>
        <v>4429.3899999999994</v>
      </c>
      <c r="H29" s="37">
        <f t="shared" si="679"/>
        <v>-2053.6399999999994</v>
      </c>
      <c r="I29" s="37">
        <f t="shared" si="679"/>
        <v>-1526.4800000000014</v>
      </c>
      <c r="J29" s="37">
        <f t="shared" si="679"/>
        <v>476.27000000000044</v>
      </c>
      <c r="K29" s="37">
        <f t="shared" si="679"/>
        <v>-498.43999999999869</v>
      </c>
      <c r="L29" s="37">
        <f t="shared" si="679"/>
        <v>-200.95000000000073</v>
      </c>
      <c r="M29" s="37">
        <f t="shared" si="679"/>
        <v>130.39999999999964</v>
      </c>
      <c r="N29" s="37">
        <f t="shared" si="679"/>
        <v>179.10000000000036</v>
      </c>
      <c r="O29" s="37">
        <f t="shared" si="679"/>
        <v>-206.64999999999964</v>
      </c>
      <c r="P29" s="37">
        <f t="shared" si="679"/>
        <v>-1453.1000000000004</v>
      </c>
      <c r="Q29" s="37">
        <f t="shared" si="679"/>
        <v>773.60000000000036</v>
      </c>
      <c r="R29" s="37">
        <f t="shared" si="679"/>
        <v>74.850000000000364</v>
      </c>
      <c r="S29" s="37">
        <f t="shared" si="679"/>
        <v>-347.15000000000146</v>
      </c>
      <c r="T29" s="37">
        <f t="shared" ref="T29:AN29" si="680">SUM(T28-S28)</f>
        <v>-806.25</v>
      </c>
      <c r="U29" s="37">
        <f t="shared" si="680"/>
        <v>1130.0500000000011</v>
      </c>
      <c r="V29" s="37">
        <f t="shared" si="680"/>
        <v>296.10000000000036</v>
      </c>
      <c r="W29" s="37">
        <f t="shared" si="680"/>
        <v>-223.90000000000146</v>
      </c>
      <c r="X29" s="37">
        <f t="shared" si="680"/>
        <v>-1997.8499999999985</v>
      </c>
      <c r="Y29" s="37">
        <f t="shared" si="680"/>
        <v>4233.75</v>
      </c>
      <c r="Z29" s="37">
        <f t="shared" si="680"/>
        <v>-1196.4000000000015</v>
      </c>
      <c r="AA29" s="37">
        <f t="shared" si="680"/>
        <v>-2164.0499999999993</v>
      </c>
      <c r="AB29" s="37">
        <f t="shared" si="680"/>
        <v>1483.0499999999993</v>
      </c>
      <c r="AC29" s="37">
        <f t="shared" si="680"/>
        <v>775.15000000000146</v>
      </c>
      <c r="AD29" s="37">
        <f t="shared" si="680"/>
        <v>1859.3999999999996</v>
      </c>
      <c r="AE29" s="37">
        <f t="shared" si="680"/>
        <v>-2159.6100000000006</v>
      </c>
      <c r="AF29" s="37">
        <f t="shared" si="680"/>
        <v>1353.6000000000004</v>
      </c>
      <c r="AG29" s="37">
        <f t="shared" si="680"/>
        <v>-1877.6399999999994</v>
      </c>
      <c r="AH29" s="37">
        <f t="shared" si="680"/>
        <v>733.75</v>
      </c>
      <c r="AI29" s="37">
        <f t="shared" si="680"/>
        <v>-544.95000000000073</v>
      </c>
      <c r="AJ29" s="37">
        <f t="shared" si="680"/>
        <v>1180.6499999999996</v>
      </c>
      <c r="AK29" s="37">
        <f t="shared" si="680"/>
        <v>215.20000000000073</v>
      </c>
      <c r="AL29" s="37">
        <f t="shared" si="680"/>
        <v>-1135.3000000000011</v>
      </c>
      <c r="AM29" s="37">
        <f t="shared" si="680"/>
        <v>1423.7000000000007</v>
      </c>
      <c r="AN29" s="37">
        <f t="shared" si="680"/>
        <v>-1219</v>
      </c>
      <c r="AO29" s="37">
        <f t="shared" ref="AO29:AX29" si="681">SUM(AO28-AN28)</f>
        <v>986.25</v>
      </c>
      <c r="AP29" s="37">
        <f t="shared" si="681"/>
        <v>626.04000000000087</v>
      </c>
      <c r="AQ29" s="37">
        <f t="shared" si="681"/>
        <v>-489.59000000000015</v>
      </c>
      <c r="AR29" s="37">
        <f t="shared" si="681"/>
        <v>1659</v>
      </c>
      <c r="AS29" s="37">
        <f t="shared" si="681"/>
        <v>40.179999999998472</v>
      </c>
      <c r="AT29" s="37">
        <f t="shared" si="681"/>
        <v>-1610.08</v>
      </c>
      <c r="AU29" s="37">
        <f t="shared" si="681"/>
        <v>1240.5500000000011</v>
      </c>
      <c r="AV29" s="37">
        <f t="shared" si="681"/>
        <v>406.94999999999891</v>
      </c>
      <c r="AW29" s="37">
        <f t="shared" si="681"/>
        <v>-439.89999999999964</v>
      </c>
      <c r="AX29" s="37">
        <f t="shared" si="681"/>
        <v>1617.3999999999996</v>
      </c>
      <c r="AY29" s="37">
        <f>SUM(AY28-AX28)</f>
        <v>-807.09999999999854</v>
      </c>
      <c r="AZ29" s="37">
        <f>SUM(AZ28-AY28)</f>
        <v>834.04999999999927</v>
      </c>
      <c r="BA29" s="37">
        <f>SUM(BA28-AZ28)</f>
        <v>-1327.5</v>
      </c>
      <c r="BB29" s="37">
        <f>SUM(BB28-BA28)</f>
        <v>3531.0999999999985</v>
      </c>
      <c r="BC29" s="37">
        <f t="shared" ref="BC29:CB29" si="682">SUM(BC28-BB28)</f>
        <v>-518.54999999999927</v>
      </c>
      <c r="BD29" s="37">
        <f t="shared" si="682"/>
        <v>-2352.2999999999993</v>
      </c>
      <c r="BE29" s="37">
        <f t="shared" si="682"/>
        <v>-1642.7999999999993</v>
      </c>
      <c r="BF29" s="37">
        <f t="shared" si="682"/>
        <v>-809.29999999999927</v>
      </c>
      <c r="BG29" s="37">
        <f t="shared" si="682"/>
        <v>1985.2199999999975</v>
      </c>
      <c r="BH29" s="37">
        <f t="shared" si="682"/>
        <v>1088.2800000000025</v>
      </c>
      <c r="BI29" s="37">
        <f t="shared" si="682"/>
        <v>-1368.7000000000007</v>
      </c>
      <c r="BJ29" s="37">
        <f t="shared" si="682"/>
        <v>-795.45000000000073</v>
      </c>
      <c r="BK29" s="37">
        <f t="shared" si="682"/>
        <v>1033.1499999999996</v>
      </c>
      <c r="BL29" s="37">
        <f t="shared" si="682"/>
        <v>-1252.7299999999996</v>
      </c>
      <c r="BM29" s="37">
        <f t="shared" si="682"/>
        <v>595.17999999999847</v>
      </c>
      <c r="BN29" s="37">
        <f t="shared" si="682"/>
        <v>-1638</v>
      </c>
      <c r="BO29" s="37">
        <f t="shared" si="682"/>
        <v>1404.2500000000018</v>
      </c>
      <c r="BP29" s="37">
        <f t="shared" si="682"/>
        <v>2175.4999999999982</v>
      </c>
      <c r="BQ29" s="37">
        <f t="shared" si="682"/>
        <v>-3318.6999999999989</v>
      </c>
      <c r="BR29" s="37">
        <f t="shared" si="682"/>
        <v>1659.3999999999996</v>
      </c>
      <c r="BS29" s="37">
        <f t="shared" si="682"/>
        <v>-1025.75</v>
      </c>
      <c r="BT29" s="37">
        <f t="shared" si="682"/>
        <v>-825.04999999999927</v>
      </c>
      <c r="BU29" s="37">
        <f t="shared" si="682"/>
        <v>1457.5999999999985</v>
      </c>
      <c r="BV29" s="37">
        <f t="shared" si="682"/>
        <v>270.35000000000218</v>
      </c>
      <c r="BW29" s="37">
        <f t="shared" si="682"/>
        <v>-2459.25</v>
      </c>
      <c r="BX29" s="37">
        <f t="shared" si="682"/>
        <v>3789</v>
      </c>
      <c r="BY29" s="37">
        <f t="shared" si="682"/>
        <v>306.79999999999927</v>
      </c>
      <c r="BZ29" s="37">
        <f t="shared" si="682"/>
        <v>-2799</v>
      </c>
      <c r="CA29" s="37">
        <f t="shared" si="682"/>
        <v>1854.75</v>
      </c>
      <c r="CB29" s="37">
        <f t="shared" si="682"/>
        <v>-2514.7999999999993</v>
      </c>
      <c r="CC29" s="37">
        <f t="shared" ref="CC29:CO29" si="683">SUM(CC28-CB28)</f>
        <v>3466.2999999999993</v>
      </c>
      <c r="CD29" s="37">
        <f t="shared" si="683"/>
        <v>-529.68000000000029</v>
      </c>
      <c r="CE29" s="37">
        <f t="shared" si="683"/>
        <v>487.38000000000102</v>
      </c>
      <c r="CF29" s="37">
        <f t="shared" si="683"/>
        <v>1219</v>
      </c>
      <c r="CG29" s="37">
        <f t="shared" si="683"/>
        <v>1029.3999999999978</v>
      </c>
      <c r="CH29" s="37">
        <f t="shared" si="683"/>
        <v>-3643.2599999999984</v>
      </c>
      <c r="CI29" s="37">
        <f t="shared" si="683"/>
        <v>1469.8100000000013</v>
      </c>
      <c r="CJ29" s="37">
        <f t="shared" si="683"/>
        <v>-926.70000000000073</v>
      </c>
      <c r="CK29" s="37">
        <f t="shared" si="683"/>
        <v>1009.4500000000007</v>
      </c>
      <c r="CL29" s="37">
        <f t="shared" si="683"/>
        <v>4172.489999999998</v>
      </c>
      <c r="CM29" s="37">
        <f t="shared" si="683"/>
        <v>-3351.989999999998</v>
      </c>
      <c r="CN29" s="37">
        <f t="shared" si="683"/>
        <v>-1453.8500000000022</v>
      </c>
      <c r="CO29" s="37">
        <f t="shared" si="683"/>
        <v>1287.2000000000007</v>
      </c>
      <c r="CP29" s="37">
        <f t="shared" ref="CP29:DH29" si="684">SUM(CP28-CO28)</f>
        <v>-49.350000000000364</v>
      </c>
      <c r="CQ29" s="37">
        <f t="shared" si="684"/>
        <v>625.39999999999964</v>
      </c>
      <c r="CR29" s="37">
        <f t="shared" si="684"/>
        <v>83.650000000001455</v>
      </c>
      <c r="CS29" s="37">
        <f t="shared" si="684"/>
        <v>5.0999999999985448</v>
      </c>
      <c r="CT29" s="37">
        <f t="shared" si="684"/>
        <v>-1816.619999999999</v>
      </c>
      <c r="CU29" s="37">
        <f t="shared" si="684"/>
        <v>3337.369999999999</v>
      </c>
      <c r="CV29" s="37">
        <f t="shared" si="684"/>
        <v>-2505.4500000000007</v>
      </c>
      <c r="CW29" s="37">
        <f t="shared" si="684"/>
        <v>1315.6000000000022</v>
      </c>
      <c r="CX29" s="37">
        <f t="shared" si="684"/>
        <v>-1808.3500000000022</v>
      </c>
      <c r="CY29" s="37">
        <f t="shared" si="684"/>
        <v>1707.0699999999997</v>
      </c>
      <c r="CZ29" s="37">
        <f t="shared" si="684"/>
        <v>-2193.0699999999979</v>
      </c>
      <c r="DA29" s="37">
        <f t="shared" si="684"/>
        <v>3989.6000000000004</v>
      </c>
      <c r="DB29" s="37">
        <f t="shared" si="684"/>
        <v>487.84999999999854</v>
      </c>
      <c r="DC29" s="37">
        <f t="shared" si="684"/>
        <v>-4125.5</v>
      </c>
      <c r="DD29" s="37">
        <f t="shared" si="684"/>
        <v>2641.0000000000036</v>
      </c>
      <c r="DE29" s="37">
        <f t="shared" si="684"/>
        <v>-3326.6000000000022</v>
      </c>
      <c r="DF29" s="37">
        <f t="shared" si="684"/>
        <v>54.849999999998545</v>
      </c>
      <c r="DG29" s="37">
        <f t="shared" si="684"/>
        <v>119.33000000000175</v>
      </c>
      <c r="DH29" s="37">
        <f t="shared" si="684"/>
        <v>973.92000000000007</v>
      </c>
      <c r="DI29" s="28">
        <f t="shared" ref="DI29" si="685">SUM(DI28-DH28)/DH28</f>
        <v>-0.16108228954684869</v>
      </c>
      <c r="DJ29" s="28">
        <f t="shared" ref="DJ29" si="686">SUM(DJ28-DI28)/DI28</f>
        <v>-4.5030578427687887E-2</v>
      </c>
      <c r="DK29" s="28">
        <f t="shared" ref="DK29" si="687">SUM(DK28-DJ28)/DJ28</f>
        <v>-3.2004420434172585E-2</v>
      </c>
      <c r="DL29" s="28">
        <f t="shared" ref="DL29" si="688">SUM(DL28-DK28)/DK28</f>
        <v>0.25996681833861729</v>
      </c>
      <c r="DM29" s="28">
        <f t="shared" ref="DM29" si="689">SUM(DM28-DL28)/DL28</f>
        <v>5.3172626885519401E-2</v>
      </c>
      <c r="DN29" s="28">
        <f t="shared" ref="DN29" si="690">SUM(DN28-DM28)/DM28</f>
        <v>-0.19721099509169804</v>
      </c>
      <c r="DO29" s="28">
        <f t="shared" ref="DO29" si="691">SUM(DO28-DN28)/DN28</f>
        <v>0.2653873138988907</v>
      </c>
      <c r="DP29" s="28">
        <f t="shared" ref="DP29" si="692">SUM(DP28-DO28)/DO28</f>
        <v>-3.3063818379010824E-2</v>
      </c>
      <c r="DQ29" s="28">
        <f t="shared" ref="DQ29" si="693">SUM(DQ28-DP28)/DP28</f>
        <v>-3.4906471828123606E-2</v>
      </c>
      <c r="DR29" s="28">
        <f t="shared" ref="DR29" si="694">SUM(DR28-DQ28)/DQ28</f>
        <v>-0.12456580218861821</v>
      </c>
      <c r="DS29" s="28">
        <f t="shared" ref="DS29" si="695">SUM(DS28-DR28)/DR28</f>
        <v>-2.6361520905741488E-2</v>
      </c>
      <c r="DT29" s="28">
        <f t="shared" ref="DT29" si="696">SUM(DT28-DS28)/DS28</f>
        <v>-1.4420480529478542E-2</v>
      </c>
      <c r="DU29" s="28">
        <f t="shared" ref="DU29" si="697">SUM(DU28-DT28)/DT28</f>
        <v>0.17067331980942163</v>
      </c>
      <c r="DV29" s="28">
        <f t="shared" ref="DV29" si="698">SUM(DV28-DU28)/DU28</f>
        <v>-4.0220422254680727E-2</v>
      </c>
      <c r="DW29" s="28">
        <f t="shared" ref="DW29" si="699">SUM(DW28-DV28)/DV28</f>
        <v>-3.5431164483059101E-2</v>
      </c>
      <c r="DX29" s="28">
        <f t="shared" ref="DX29" si="700">SUM(DX28-DW28)/DW28</f>
        <v>4.7045324153757888E-2</v>
      </c>
      <c r="DY29" s="28">
        <f t="shared" ref="DY29" si="701">SUM(DY28-DX28)/DX28</f>
        <v>-0.14410958904109589</v>
      </c>
      <c r="DZ29" s="28">
        <f t="shared" ref="DZ29" si="702">SUM(DZ28-DY28)/DY28</f>
        <v>0.60889884763124225</v>
      </c>
      <c r="EA29" s="28">
        <f t="shared" ref="EA29" si="703">SUM(EA28-DZ28)/DZ28</f>
        <v>-0.21561268950698348</v>
      </c>
      <c r="EB29" s="28">
        <f t="shared" ref="EB29" si="704">SUM(EB28-EA28)/EA28</f>
        <v>-0.2275086477763088</v>
      </c>
      <c r="EC29" s="28">
        <f t="shared" ref="EC29" si="705">SUM(EC28-EB28)/EB28</f>
        <v>0.20545798565934587</v>
      </c>
      <c r="ED29" s="28">
        <f t="shared" ref="ED29" si="706">SUM(ED28-EC28)/EC28</f>
        <v>0.14246101652903251</v>
      </c>
      <c r="EE29" s="28">
        <f t="shared" ref="EE29" si="707">SUM(EE28-ED28)/ED28</f>
        <v>-5.9442264226517938E-2</v>
      </c>
      <c r="EF29" s="28">
        <f t="shared" ref="EF29" si="708">SUM(EF28-EE28)/EE28</f>
        <v>-3.4550391797133734E-2</v>
      </c>
      <c r="EG29" s="28">
        <f t="shared" ref="EG29" si="709">SUM(EG28-EF28)/EF28</f>
        <v>-1.3488987275716869E-2</v>
      </c>
      <c r="EH29" s="28">
        <f t="shared" ref="EH29" si="710">SUM(EH28-EG28)/EG28</f>
        <v>0.18070882252156639</v>
      </c>
      <c r="EI29" s="28">
        <f t="shared" ref="EI29" si="711">SUM(EI28-EH28)/EH28</f>
        <v>-0.14343154851634676</v>
      </c>
      <c r="EJ29" s="28">
        <f t="shared" ref="EJ29" si="712">SUM(EJ28-EI28)/EI28</f>
        <v>0.13926124270963189</v>
      </c>
      <c r="EK29" s="28">
        <f t="shared" ref="EK29" si="713">SUM(EK28-EJ28)/EJ28</f>
        <v>-9.5858886848457489E-2</v>
      </c>
      <c r="EL29" s="28">
        <f t="shared" ref="EL29" si="714">SUM(EL28-EK28)/EK28</f>
        <v>9.1127412313617651E-2</v>
      </c>
      <c r="EM29" s="28">
        <f t="shared" ref="EM29" si="715">SUM(EM28-EL28)/EL28</f>
        <v>-0.10108643478464482</v>
      </c>
      <c r="EN29" s="28">
        <f t="shared" ref="EN29" si="716">SUM(EN28-EM28)/EM28</f>
        <v>-1.5342037573665779E-2</v>
      </c>
      <c r="EO29" s="28">
        <f t="shared" ref="EO29" si="717">SUM(EO28-EN28)/EN28</f>
        <v>0.1007314379435085</v>
      </c>
      <c r="EP29" s="28">
        <f t="shared" ref="EP29" si="718">SUM(EP28-EO28)/EO28</f>
        <v>2.1743505937557136E-2</v>
      </c>
      <c r="EQ29" s="28">
        <f t="shared" ref="EQ29" si="719">SUM(EQ28-EP28)/EP28</f>
        <v>-1.8816943481529054E-4</v>
      </c>
      <c r="ER29" s="28">
        <f t="shared" ref="ER29" si="720">SUM(ER28-EQ28)/EQ28</f>
        <v>-0.1503339165723192</v>
      </c>
      <c r="ES29" s="28">
        <f t="shared" ref="ES29" si="721">SUM(ES28-ER28)/ER28</f>
        <v>4.1119539049164364E-2</v>
      </c>
      <c r="ET29" s="28">
        <f t="shared" ref="ET29" si="722">SUM(ET28-ES28)/ES28</f>
        <v>3.8595278145299089E-2</v>
      </c>
      <c r="EU29" s="28">
        <f t="shared" ref="EU29" si="723">SUM(EU28-ET28)/ET28</f>
        <v>0.3009243848103858</v>
      </c>
      <c r="EV29" s="28">
        <f t="shared" ref="EV29" si="724">SUM(EV28-EU28)/EU28</f>
        <v>-0.17331709477413648</v>
      </c>
      <c r="EW29" s="28">
        <f t="shared" ref="EW29" si="725">SUM(EW28-EV28)/EV28</f>
        <v>2.7931797010092355E-2</v>
      </c>
      <c r="EX29" s="28">
        <f t="shared" ref="EX29" si="726">SUM(EX28-EW28)/EW28</f>
        <v>2.9416703823592429E-2</v>
      </c>
      <c r="EY29" s="28">
        <f t="shared" ref="EY29" si="727">SUM(EY28-EX28)/EX28</f>
        <v>0.13448762734079253</v>
      </c>
      <c r="EZ29" s="28">
        <f t="shared" ref="EZ29" si="728">SUM(EZ28-EY28)/EY28</f>
        <v>-0.1232676679277467</v>
      </c>
      <c r="FA29" s="28">
        <f t="shared" ref="FA29" si="729">SUM(FA28-EZ28)/EZ28</f>
        <v>0.18749169345967764</v>
      </c>
      <c r="FB29" s="28">
        <f t="shared" ref="FB29" si="730">SUM(FB28-FA28)/FA28</f>
        <v>8.9512574385449736E-3</v>
      </c>
      <c r="FC29" s="28">
        <f t="shared" ref="FC29" si="731">SUM(FC28-FB28)/FB28</f>
        <v>-0.10535284399339162</v>
      </c>
      <c r="FD29" s="28">
        <f t="shared" ref="FD29" si="732">SUM(FD28-FC28)/FC28</f>
        <v>-0.13003941307754394</v>
      </c>
      <c r="FE29" s="28">
        <f t="shared" ref="FE29" si="733">SUM(FE28-FD28)/FD28</f>
        <v>0.15687344777708045</v>
      </c>
      <c r="FF29" s="28">
        <f t="shared" ref="FF29" si="734">SUM(FF28-FE28)/FE28</f>
        <v>-0.11139420342279584</v>
      </c>
      <c r="FG29" s="28">
        <f t="shared" ref="FG29" si="735">SUM(FG28-FF28)/FF28</f>
        <v>-3.9259123786150055E-2</v>
      </c>
      <c r="FH29" s="28">
        <f t="shared" ref="FH29" si="736">SUM(FH28-FG28)/FG28</f>
        <v>5.2598289811019466E-2</v>
      </c>
      <c r="FI29" s="28">
        <f t="shared" ref="FI29" si="737">SUM(FI28-FH28)/FH28</f>
        <v>-0.13134651397501934</v>
      </c>
      <c r="FJ29" s="28">
        <f t="shared" ref="FJ29" si="738">SUM(FJ28-FI28)/FI28</f>
        <v>7.6048449111307384E-2</v>
      </c>
      <c r="FK29" s="28">
        <f t="shared" ref="FK29" si="739">SUM(FK28-FJ28)/FJ28</f>
        <v>-1.8911260625881134E-3</v>
      </c>
      <c r="FL29" s="28">
        <f t="shared" ref="FL29" si="740">SUM(FL28-FK28)/FK28</f>
        <v>2.3349320593550348E-2</v>
      </c>
      <c r="FM29" s="28">
        <f t="shared" ref="FM29:FZ29" si="741">SUM(FM28-FL28)/FL28</f>
        <v>-1.3504182630321474E-2</v>
      </c>
      <c r="FN29" s="28">
        <f t="shared" si="741"/>
        <v>0.1162143914570468</v>
      </c>
      <c r="FO29" s="28">
        <f t="shared" si="741"/>
        <v>-6.1160900086013235E-2</v>
      </c>
      <c r="FP29" s="28">
        <f t="shared" si="741"/>
        <v>0.14205285976469356</v>
      </c>
      <c r="FQ29" s="28">
        <f t="shared" si="741"/>
        <v>-7.2550739714258503E-2</v>
      </c>
      <c r="FR29" s="28">
        <f t="shared" si="741"/>
        <v>-1.1160807707653804E-4</v>
      </c>
      <c r="FS29" s="28">
        <f t="shared" si="741"/>
        <v>1.6014756234704542E-2</v>
      </c>
      <c r="FT29" s="28">
        <f t="shared" si="741"/>
        <v>-0.15760678502372996</v>
      </c>
      <c r="FU29" s="28">
        <f t="shared" si="741"/>
        <v>0.16174782858186168</v>
      </c>
      <c r="FV29" s="28">
        <f t="shared" si="741"/>
        <v>0.19665078215771145</v>
      </c>
      <c r="FW29" s="28">
        <f t="shared" si="741"/>
        <v>-0.12033968662712577</v>
      </c>
      <c r="FX29" s="28">
        <f t="shared" si="741"/>
        <v>-0.18661835710153266</v>
      </c>
      <c r="FY29" s="28">
        <f t="shared" si="741"/>
        <v>-7.6765743205150047E-2</v>
      </c>
      <c r="FZ29" s="28">
        <f t="shared" si="741"/>
        <v>0.58381617814133147</v>
      </c>
      <c r="GA29" s="28"/>
      <c r="GB29" s="28"/>
      <c r="GC29" s="28"/>
      <c r="GD29" s="28">
        <f t="shared" ref="GD29" si="742">SUM(GD28-GC28)/GC28</f>
        <v>0.85920228323009928</v>
      </c>
      <c r="GE29" s="28">
        <f t="shared" ref="GE29:GK29" si="743">SUM(GE28-GD28)/GD28</f>
        <v>-0.17438447993574493</v>
      </c>
      <c r="GF29" s="28">
        <f t="shared" si="743"/>
        <v>-0.13597533948503049</v>
      </c>
      <c r="GG29" s="28">
        <f t="shared" si="743"/>
        <v>0.2382717900031647</v>
      </c>
      <c r="GH29" s="28">
        <f t="shared" si="743"/>
        <v>6.8981472763320992E-2</v>
      </c>
      <c r="GI29" s="28">
        <f t="shared" si="743"/>
        <v>6.8138864771683433E-2</v>
      </c>
      <c r="GJ29" s="28">
        <f t="shared" si="743"/>
        <v>-1.2894607259901745E-2</v>
      </c>
      <c r="GK29" s="28">
        <f t="shared" si="743"/>
        <v>0.17226375284031228</v>
      </c>
      <c r="GL29" s="28">
        <f t="shared" ref="GL29" si="744">(GL28-GK28)/GK28</f>
        <v>-0.12258190621430506</v>
      </c>
      <c r="GM29" s="28">
        <f t="shared" ref="GM29" si="745">(GM28-GL28)/GL28</f>
        <v>-0.11358067091168987</v>
      </c>
      <c r="GN29" s="28">
        <f t="shared" ref="GN29" si="746">(GN28-GM28)/GM28</f>
        <v>0.15353019712557914</v>
      </c>
      <c r="GO29" s="28">
        <f t="shared" ref="GO29:GR29" si="747">(GO28-GN28)/GN28</f>
        <v>-4.1732764157344802E-2</v>
      </c>
      <c r="GP29" s="28">
        <f t="shared" si="747"/>
        <v>6.9875997044390972E-2</v>
      </c>
      <c r="GQ29" s="28">
        <f t="shared" si="747"/>
        <v>-2.5648971893933285E-2</v>
      </c>
      <c r="GR29" s="165">
        <f t="shared" si="747"/>
        <v>3.35464347541609E-2</v>
      </c>
      <c r="GS29" s="157"/>
      <c r="GT29" s="134"/>
      <c r="GU29" s="95" t="s">
        <v>368</v>
      </c>
      <c r="GV29" s="105">
        <f>LABOUR!AG15</f>
        <v>0.3420780553840661</v>
      </c>
      <c r="GW29" s="58"/>
      <c r="GX29" s="58"/>
      <c r="GY29" s="58"/>
      <c r="GZ29" s="58"/>
      <c r="HA29" s="58"/>
    </row>
    <row r="30" spans="1:209" s="2" customFormat="1" ht="15" customHeight="1" x14ac:dyDescent="0.3">
      <c r="A30" s="169"/>
      <c r="B30" s="22" t="s">
        <v>91</v>
      </c>
      <c r="C30" s="23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>
        <f t="shared" ref="BD30" si="748">D28</f>
        <v>14870.1</v>
      </c>
      <c r="BE30" s="25">
        <f t="shared" ref="BE30" si="749">E28</f>
        <v>10614.849999999999</v>
      </c>
      <c r="BF30" s="25">
        <f t="shared" ref="BF30" si="750">F28</f>
        <v>10245.6</v>
      </c>
      <c r="BG30" s="25">
        <f t="shared" ref="BG30" si="751">G28</f>
        <v>14674.99</v>
      </c>
      <c r="BH30" s="25">
        <f t="shared" ref="BH30" si="752">H28</f>
        <v>12621.35</v>
      </c>
      <c r="BI30" s="25">
        <f t="shared" ref="BI30" si="753">I28</f>
        <v>11094.869999999999</v>
      </c>
      <c r="BJ30" s="25">
        <f t="shared" ref="BJ30" si="754">J28</f>
        <v>11571.14</v>
      </c>
      <c r="BK30" s="25">
        <f t="shared" ref="BK30" si="755">K28</f>
        <v>11072.7</v>
      </c>
      <c r="BL30" s="25">
        <f t="shared" ref="BL30" si="756">L28</f>
        <v>10871.75</v>
      </c>
      <c r="BM30" s="25">
        <f t="shared" ref="BM30" si="757">M28</f>
        <v>11002.15</v>
      </c>
      <c r="BN30" s="25">
        <f t="shared" ref="BN30" si="758">N28</f>
        <v>11181.25</v>
      </c>
      <c r="BO30" s="25">
        <f t="shared" ref="BO30" si="759">O28</f>
        <v>10974.6</v>
      </c>
      <c r="BP30" s="25">
        <f t="shared" ref="BP30" si="760">P28</f>
        <v>9521.5</v>
      </c>
      <c r="BQ30" s="25">
        <f t="shared" ref="BQ30" si="761">Q28</f>
        <v>10295.1</v>
      </c>
      <c r="BR30" s="25">
        <f t="shared" ref="BR30" si="762">R28</f>
        <v>10369.950000000001</v>
      </c>
      <c r="BS30" s="25">
        <f t="shared" ref="BS30" si="763">S28</f>
        <v>10022.799999999999</v>
      </c>
      <c r="BT30" s="25">
        <f t="shared" ref="BT30" si="764">T28</f>
        <v>9216.5499999999993</v>
      </c>
      <c r="BU30" s="25">
        <f t="shared" ref="BU30" si="765">U28</f>
        <v>10346.6</v>
      </c>
      <c r="BV30" s="25">
        <f t="shared" ref="BV30" si="766">V28</f>
        <v>10642.7</v>
      </c>
      <c r="BW30" s="25">
        <f t="shared" ref="BW30" si="767">W28</f>
        <v>10418.799999999999</v>
      </c>
      <c r="BX30" s="25">
        <f t="shared" ref="BX30" si="768">X28</f>
        <v>8420.9500000000007</v>
      </c>
      <c r="BY30" s="25">
        <f t="shared" ref="BY30" si="769">Y28</f>
        <v>12654.7</v>
      </c>
      <c r="BZ30" s="25">
        <f t="shared" ref="BZ30" si="770">Z28</f>
        <v>11458.3</v>
      </c>
      <c r="CA30" s="25">
        <f t="shared" ref="CA30" si="771">AA28</f>
        <v>9294.25</v>
      </c>
      <c r="CB30" s="25">
        <f t="shared" ref="CB30" si="772">AB28</f>
        <v>10777.3</v>
      </c>
      <c r="CC30" s="25">
        <f t="shared" ref="CC30" si="773">AC28</f>
        <v>11552.45</v>
      </c>
      <c r="CD30" s="25">
        <f t="shared" ref="CD30" si="774">AD28</f>
        <v>13411.85</v>
      </c>
      <c r="CE30" s="25">
        <f t="shared" ref="CE30" si="775">AE28</f>
        <v>11252.24</v>
      </c>
      <c r="CF30" s="25">
        <f t="shared" ref="CF30" si="776">AF28</f>
        <v>12605.84</v>
      </c>
      <c r="CG30" s="25">
        <f t="shared" ref="CG30" si="777">AG28</f>
        <v>10728.2</v>
      </c>
      <c r="CH30" s="25">
        <f t="shared" ref="CH30" si="778">AH28</f>
        <v>11461.95</v>
      </c>
      <c r="CI30" s="25">
        <f t="shared" ref="CI30" si="779">AI28</f>
        <v>10917</v>
      </c>
      <c r="CJ30" s="25">
        <f t="shared" ref="CJ30" si="780">AJ28</f>
        <v>12097.65</v>
      </c>
      <c r="CK30" s="25">
        <f t="shared" ref="CK30" si="781">AK28</f>
        <v>12312.85</v>
      </c>
      <c r="CL30" s="25">
        <f t="shared" ref="CL30" si="782">AL28</f>
        <v>11177.55</v>
      </c>
      <c r="CM30" s="25">
        <f t="shared" ref="CM30" si="783">AM28</f>
        <v>12601.25</v>
      </c>
      <c r="CN30" s="25">
        <f t="shared" ref="CN30" si="784">AN28</f>
        <v>11382.25</v>
      </c>
      <c r="CO30" s="25">
        <f t="shared" ref="CO30" si="785">AO28</f>
        <v>12368.5</v>
      </c>
      <c r="CP30" s="25">
        <f t="shared" ref="CP30" si="786">AP28</f>
        <v>12994.54</v>
      </c>
      <c r="CQ30" s="25">
        <f t="shared" ref="CQ30" si="787">AQ28</f>
        <v>12504.95</v>
      </c>
      <c r="CR30" s="25">
        <f t="shared" ref="CR30" si="788">AR28</f>
        <v>14163.95</v>
      </c>
      <c r="CS30" s="25">
        <f t="shared" ref="CS30" si="789">AS28</f>
        <v>14204.13</v>
      </c>
      <c r="CT30" s="25">
        <f t="shared" ref="CT30" si="790">AT28</f>
        <v>12594.05</v>
      </c>
      <c r="CU30" s="25">
        <f t="shared" ref="CU30" si="791">AU28</f>
        <v>13834.6</v>
      </c>
      <c r="CV30" s="25">
        <f t="shared" ref="CV30" si="792">AV28</f>
        <v>14241.55</v>
      </c>
      <c r="CW30" s="25">
        <f t="shared" ref="CW30" si="793">AW28</f>
        <v>13801.65</v>
      </c>
      <c r="CX30" s="25">
        <f t="shared" ref="CX30" si="794">AX28</f>
        <v>15419.05</v>
      </c>
      <c r="CY30" s="25">
        <f t="shared" ref="CY30" si="795">AY28</f>
        <v>14611.95</v>
      </c>
      <c r="CZ30" s="25">
        <f t="shared" ref="CZ30" si="796">AZ28</f>
        <v>15446</v>
      </c>
      <c r="DA30" s="25">
        <f t="shared" ref="DA30" si="797">BA28</f>
        <v>14118.5</v>
      </c>
      <c r="DB30" s="25">
        <f t="shared" ref="DB30" si="798">BB28</f>
        <v>17649.599999999999</v>
      </c>
      <c r="DC30" s="25">
        <f t="shared" ref="DC30" si="799">BC28</f>
        <v>17131.05</v>
      </c>
      <c r="DD30" s="25">
        <f t="shared" ref="DD30" si="800">BD28</f>
        <v>14778.75</v>
      </c>
      <c r="DE30" s="25">
        <f t="shared" ref="DE30" si="801">BE28</f>
        <v>13135.95</v>
      </c>
      <c r="DF30" s="25">
        <f t="shared" ref="DF30" si="802">BF28</f>
        <v>12326.650000000001</v>
      </c>
      <c r="DG30" s="25">
        <f t="shared" ref="DG30" si="803">BG28</f>
        <v>14311.869999999999</v>
      </c>
      <c r="DH30" s="25">
        <f t="shared" ref="DH30" si="804">BH28</f>
        <v>15400.150000000001</v>
      </c>
      <c r="DI30" s="25">
        <f t="shared" ref="DI30" si="805">BI28</f>
        <v>14031.45</v>
      </c>
      <c r="DJ30" s="25">
        <f t="shared" ref="DJ30" si="806">BJ28</f>
        <v>13236</v>
      </c>
      <c r="DK30" s="25">
        <f t="shared" ref="DK30" si="807">BK28</f>
        <v>14269.15</v>
      </c>
      <c r="DL30" s="25">
        <f t="shared" ref="DL30" si="808">BL28</f>
        <v>13016.42</v>
      </c>
      <c r="DM30" s="25">
        <f t="shared" ref="DM30" si="809">BM28</f>
        <v>13611.599999999999</v>
      </c>
      <c r="DN30" s="25">
        <f t="shared" ref="DN30" si="810">BN28</f>
        <v>11973.599999999999</v>
      </c>
      <c r="DO30" s="25">
        <f t="shared" ref="DO30" si="811">BO28</f>
        <v>13377.85</v>
      </c>
      <c r="DP30" s="25">
        <f t="shared" ref="DP30" si="812">BP28</f>
        <v>15553.349999999999</v>
      </c>
      <c r="DQ30" s="25">
        <f t="shared" ref="DQ30" si="813">BQ28</f>
        <v>12234.65</v>
      </c>
      <c r="DR30" s="25">
        <f t="shared" ref="DR30" si="814">BR28</f>
        <v>13894.05</v>
      </c>
      <c r="DS30" s="25">
        <f t="shared" ref="DS30" si="815">BS28</f>
        <v>12868.3</v>
      </c>
      <c r="DT30" s="25">
        <f t="shared" ref="DT30" si="816">BT28</f>
        <v>12043.25</v>
      </c>
      <c r="DU30" s="25">
        <f t="shared" ref="DU30" si="817">BU28</f>
        <v>13500.849999999999</v>
      </c>
      <c r="DV30" s="25">
        <f t="shared" ref="DV30" si="818">BV28</f>
        <v>13771.2</v>
      </c>
      <c r="DW30" s="25">
        <f t="shared" ref="DW30:GL30" si="819">BW28</f>
        <v>11311.95</v>
      </c>
      <c r="DX30" s="25">
        <f t="shared" si="819"/>
        <v>15100.95</v>
      </c>
      <c r="DY30" s="25">
        <f t="shared" si="819"/>
        <v>15407.75</v>
      </c>
      <c r="DZ30" s="25">
        <f t="shared" si="819"/>
        <v>12608.75</v>
      </c>
      <c r="EA30" s="25">
        <f t="shared" si="819"/>
        <v>14463.5</v>
      </c>
      <c r="EB30" s="25">
        <f t="shared" si="819"/>
        <v>11948.7</v>
      </c>
      <c r="EC30" s="25">
        <f t="shared" si="819"/>
        <v>15415</v>
      </c>
      <c r="ED30" s="25">
        <f t="shared" si="819"/>
        <v>14885.32</v>
      </c>
      <c r="EE30" s="25">
        <f t="shared" si="819"/>
        <v>15372.7</v>
      </c>
      <c r="EF30" s="25">
        <f t="shared" si="819"/>
        <v>16591.7</v>
      </c>
      <c r="EG30" s="25">
        <f t="shared" si="819"/>
        <v>17621.099999999999</v>
      </c>
      <c r="EH30" s="25">
        <f t="shared" si="819"/>
        <v>13977.84</v>
      </c>
      <c r="EI30" s="25">
        <f t="shared" si="819"/>
        <v>15447.650000000001</v>
      </c>
      <c r="EJ30" s="25">
        <f t="shared" si="819"/>
        <v>14520.95</v>
      </c>
      <c r="EK30" s="25">
        <f t="shared" si="819"/>
        <v>15530.400000000001</v>
      </c>
      <c r="EL30" s="25">
        <f t="shared" si="819"/>
        <v>19702.89</v>
      </c>
      <c r="EM30" s="25">
        <f t="shared" si="819"/>
        <v>16350.900000000001</v>
      </c>
      <c r="EN30" s="25">
        <f t="shared" si="819"/>
        <v>14897.05</v>
      </c>
      <c r="EO30" s="25">
        <f t="shared" si="819"/>
        <v>16184.25</v>
      </c>
      <c r="EP30" s="25">
        <f t="shared" si="819"/>
        <v>16134.9</v>
      </c>
      <c r="EQ30" s="25">
        <f t="shared" si="819"/>
        <v>16760.3</v>
      </c>
      <c r="ER30" s="25">
        <f t="shared" si="819"/>
        <v>16843.95</v>
      </c>
      <c r="ES30" s="25">
        <f t="shared" si="819"/>
        <v>16849.05</v>
      </c>
      <c r="ET30" s="25">
        <f t="shared" si="819"/>
        <v>15032.43</v>
      </c>
      <c r="EU30" s="25">
        <f t="shared" si="819"/>
        <v>18369.8</v>
      </c>
      <c r="EV30" s="25">
        <f t="shared" si="819"/>
        <v>15864.349999999999</v>
      </c>
      <c r="EW30" s="25">
        <f t="shared" si="819"/>
        <v>17179.95</v>
      </c>
      <c r="EX30" s="25">
        <f t="shared" si="819"/>
        <v>15371.599999999999</v>
      </c>
      <c r="EY30" s="25">
        <f t="shared" si="819"/>
        <v>17078.669999999998</v>
      </c>
      <c r="EZ30" s="25">
        <f t="shared" si="819"/>
        <v>14885.6</v>
      </c>
      <c r="FA30" s="25">
        <f t="shared" si="819"/>
        <v>18875.2</v>
      </c>
      <c r="FB30" s="25">
        <f t="shared" si="819"/>
        <v>19363.05</v>
      </c>
      <c r="FC30" s="25">
        <f t="shared" si="819"/>
        <v>15237.55</v>
      </c>
      <c r="FD30" s="25">
        <f t="shared" si="819"/>
        <v>17878.550000000003</v>
      </c>
      <c r="FE30" s="25">
        <f t="shared" si="819"/>
        <v>14551.95</v>
      </c>
      <c r="FF30" s="25">
        <f t="shared" si="819"/>
        <v>14606.8</v>
      </c>
      <c r="FG30" s="25">
        <f t="shared" si="819"/>
        <v>14726.130000000001</v>
      </c>
      <c r="FH30" s="25">
        <f t="shared" si="819"/>
        <v>15700.050000000001</v>
      </c>
      <c r="FI30" s="25">
        <f t="shared" si="819"/>
        <v>13171.05</v>
      </c>
      <c r="FJ30" s="25">
        <f t="shared" si="819"/>
        <v>12577.95</v>
      </c>
      <c r="FK30" s="25">
        <f t="shared" si="819"/>
        <v>12175.4</v>
      </c>
      <c r="FL30" s="25">
        <f t="shared" si="819"/>
        <v>15340.6</v>
      </c>
      <c r="FM30" s="25">
        <f t="shared" si="819"/>
        <v>16156.3</v>
      </c>
      <c r="FN30" s="25">
        <f t="shared" si="819"/>
        <v>12970.099999999999</v>
      </c>
      <c r="FO30" s="25">
        <f t="shared" si="819"/>
        <v>16412.2</v>
      </c>
      <c r="FP30" s="25">
        <f t="shared" si="819"/>
        <v>15869.55</v>
      </c>
      <c r="FQ30" s="25">
        <f t="shared" si="819"/>
        <v>15315.6</v>
      </c>
      <c r="FR30" s="25">
        <f t="shared" si="819"/>
        <v>13407.8</v>
      </c>
      <c r="FS30" s="25">
        <f t="shared" si="819"/>
        <v>13054.349999999999</v>
      </c>
      <c r="FT30" s="25">
        <f t="shared" si="819"/>
        <v>12866.1</v>
      </c>
      <c r="FU30" s="25">
        <f t="shared" si="819"/>
        <v>15062</v>
      </c>
      <c r="FV30" s="25">
        <f t="shared" si="819"/>
        <v>14456.199999999999</v>
      </c>
      <c r="FW30" s="25">
        <f t="shared" si="819"/>
        <v>13944</v>
      </c>
      <c r="FX30" s="25">
        <f t="shared" si="819"/>
        <v>14600</v>
      </c>
      <c r="FY30" s="25">
        <f t="shared" si="819"/>
        <v>12496</v>
      </c>
      <c r="FZ30" s="25">
        <f t="shared" si="819"/>
        <v>20104.800000000003</v>
      </c>
      <c r="GA30" s="25">
        <f t="shared" si="819"/>
        <v>15769.95</v>
      </c>
      <c r="GB30" s="25">
        <f t="shared" si="819"/>
        <v>12182.15</v>
      </c>
      <c r="GC30" s="25">
        <f t="shared" si="819"/>
        <v>14685.07</v>
      </c>
      <c r="GD30" s="25">
        <f t="shared" si="819"/>
        <v>16777.12</v>
      </c>
      <c r="GE30" s="25">
        <f t="shared" si="819"/>
        <v>15779.85</v>
      </c>
      <c r="GF30" s="25">
        <f t="shared" si="819"/>
        <v>15234.65</v>
      </c>
      <c r="GG30" s="25">
        <f t="shared" si="819"/>
        <v>15029.15</v>
      </c>
      <c r="GH30" s="25">
        <f t="shared" si="819"/>
        <v>17745.05</v>
      </c>
      <c r="GI30" s="25">
        <f t="shared" si="819"/>
        <v>15199.85</v>
      </c>
      <c r="GJ30" s="25">
        <f t="shared" si="819"/>
        <v>17316.599999999999</v>
      </c>
      <c r="GK30" s="25">
        <f t="shared" si="819"/>
        <v>15656.65</v>
      </c>
      <c r="GL30" s="25">
        <f t="shared" si="819"/>
        <v>17083.400000000001</v>
      </c>
      <c r="GM30" s="25">
        <f t="shared" ref="GM30:GR30" si="820">EL28</f>
        <v>17083.400000000001</v>
      </c>
      <c r="GN30" s="25">
        <f t="shared" si="820"/>
        <v>15356.5</v>
      </c>
      <c r="GO30" s="25">
        <f t="shared" si="820"/>
        <v>15120.900000000001</v>
      </c>
      <c r="GP30" s="25">
        <f t="shared" si="820"/>
        <v>16644.05</v>
      </c>
      <c r="GQ30" s="25">
        <f t="shared" si="820"/>
        <v>17005.949999999997</v>
      </c>
      <c r="GR30" s="110">
        <f t="shared" si="820"/>
        <v>17002.75</v>
      </c>
      <c r="GS30" s="157"/>
      <c r="GT30" s="3" t="s">
        <v>91</v>
      </c>
      <c r="GU30" s="11"/>
      <c r="GV30" s="11"/>
      <c r="GW30" s="58"/>
      <c r="GX30" s="58"/>
      <c r="GY30" s="58"/>
      <c r="GZ30" s="58"/>
      <c r="HA30" s="58"/>
    </row>
    <row r="31" spans="1:209" s="2" customFormat="1" ht="15" customHeight="1" x14ac:dyDescent="0.3">
      <c r="A31" s="169"/>
      <c r="B31" s="26" t="s">
        <v>366</v>
      </c>
      <c r="C31" s="27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28">
        <f t="shared" ref="BD31:CB31" si="821">(BD28-BD30)/BD30</f>
        <v>-6.1432001129784171E-3</v>
      </c>
      <c r="BE31" s="28">
        <f t="shared" si="821"/>
        <v>0.23750688893389946</v>
      </c>
      <c r="BF31" s="28">
        <f t="shared" si="821"/>
        <v>0.20311645974857509</v>
      </c>
      <c r="BG31" s="28">
        <f t="shared" si="821"/>
        <v>-2.4744139519004837E-2</v>
      </c>
      <c r="BH31" s="28">
        <f t="shared" si="821"/>
        <v>0.22016662242945492</v>
      </c>
      <c r="BI31" s="28">
        <f t="shared" si="821"/>
        <v>0.26467908141330199</v>
      </c>
      <c r="BJ31" s="28">
        <f t="shared" si="821"/>
        <v>0.14388037825140831</v>
      </c>
      <c r="BK31" s="28">
        <f t="shared" si="821"/>
        <v>0.28867846144120213</v>
      </c>
      <c r="BL31" s="28">
        <f t="shared" si="821"/>
        <v>0.19726998873226481</v>
      </c>
      <c r="BM31" s="28">
        <f t="shared" si="821"/>
        <v>0.23717637007312198</v>
      </c>
      <c r="BN31" s="28">
        <f t="shared" si="821"/>
        <v>7.0864169927333576E-2</v>
      </c>
      <c r="BO31" s="28">
        <f t="shared" si="821"/>
        <v>0.21898292420680479</v>
      </c>
      <c r="BP31" s="28">
        <f t="shared" si="821"/>
        <v>0.6334978732342591</v>
      </c>
      <c r="BQ31" s="28">
        <f t="shared" si="821"/>
        <v>0.18839545026274629</v>
      </c>
      <c r="BR31" s="28">
        <f t="shared" si="821"/>
        <v>0.33983770413550674</v>
      </c>
      <c r="BS31" s="28">
        <f t="shared" si="821"/>
        <v>0.28390270183980526</v>
      </c>
      <c r="BT31" s="28">
        <f t="shared" si="821"/>
        <v>0.30669827647004583</v>
      </c>
      <c r="BU31" s="28">
        <f t="shared" si="821"/>
        <v>0.30485860089304678</v>
      </c>
      <c r="BV31" s="28">
        <f t="shared" si="821"/>
        <v>0.29395736044424814</v>
      </c>
      <c r="BW31" s="28">
        <f t="shared" si="821"/>
        <v>8.5724843552040686E-2</v>
      </c>
      <c r="BX31" s="28">
        <f t="shared" si="821"/>
        <v>0.79325966785220192</v>
      </c>
      <c r="BY31" s="28">
        <f t="shared" si="821"/>
        <v>0.21755158162579905</v>
      </c>
      <c r="BZ31" s="28">
        <f t="shared" si="821"/>
        <v>0.10040320117294893</v>
      </c>
      <c r="CA31" s="28">
        <f t="shared" si="821"/>
        <v>0.55617720633725154</v>
      </c>
      <c r="CB31" s="28">
        <f t="shared" si="821"/>
        <v>0.10869141621742009</v>
      </c>
      <c r="CC31" s="28">
        <f t="shared" ref="CC31:CN31" si="822">(CC28-CC30)/CC30</f>
        <v>0.33434899090669068</v>
      </c>
      <c r="CD31" s="28">
        <f t="shared" si="822"/>
        <v>0.10986329253607811</v>
      </c>
      <c r="CE31" s="28">
        <f t="shared" si="822"/>
        <v>0.3661901985737952</v>
      </c>
      <c r="CF31" s="28">
        <f t="shared" si="822"/>
        <v>0.31619154296738661</v>
      </c>
      <c r="CG31" s="28">
        <f t="shared" si="822"/>
        <v>0.64250293618687171</v>
      </c>
      <c r="CH31" s="28">
        <f t="shared" si="822"/>
        <v>0.21949929985735406</v>
      </c>
      <c r="CI31" s="28">
        <f t="shared" si="822"/>
        <v>0.41500870202436579</v>
      </c>
      <c r="CJ31" s="28">
        <f t="shared" si="822"/>
        <v>0.2003116307712656</v>
      </c>
      <c r="CK31" s="28">
        <f t="shared" si="822"/>
        <v>0.26131642958372764</v>
      </c>
      <c r="CL31" s="28">
        <f t="shared" si="822"/>
        <v>0.76271991626071911</v>
      </c>
      <c r="CM31" s="28">
        <f t="shared" si="822"/>
        <v>0.29756174982640621</v>
      </c>
      <c r="CN31" s="28">
        <f t="shared" si="822"/>
        <v>0.30879659118364111</v>
      </c>
      <c r="CO31" s="28">
        <f t="shared" ref="CO31:CZ31" si="823">(CO28-CO30)/CO30</f>
        <v>0.30850547762461089</v>
      </c>
      <c r="CP31" s="28">
        <f t="shared" si="823"/>
        <v>0.24166765426094333</v>
      </c>
      <c r="CQ31" s="28">
        <f t="shared" si="823"/>
        <v>0.3402932438754252</v>
      </c>
      <c r="CR31" s="28">
        <f t="shared" si="823"/>
        <v>0.18921275491653106</v>
      </c>
      <c r="CS31" s="28">
        <f t="shared" si="823"/>
        <v>0.18620781420614993</v>
      </c>
      <c r="CT31" s="28">
        <f t="shared" si="823"/>
        <v>0.19361365089069849</v>
      </c>
      <c r="CU31" s="28">
        <f t="shared" si="823"/>
        <v>0.32781576626718506</v>
      </c>
      <c r="CV31" s="28">
        <f t="shared" si="823"/>
        <v>0.11394827108004391</v>
      </c>
      <c r="CW31" s="28">
        <f t="shared" si="823"/>
        <v>0.24477508124028657</v>
      </c>
      <c r="CX31" s="28">
        <f t="shared" si="823"/>
        <v>-3.0773620942924971E-3</v>
      </c>
      <c r="CY31" s="28">
        <f t="shared" si="823"/>
        <v>0.16881525053124308</v>
      </c>
      <c r="CZ31" s="28">
        <f t="shared" si="823"/>
        <v>-3.6281237860934845E-2</v>
      </c>
      <c r="DA31" s="28">
        <f t="shared" ref="DA31:DB31" si="824">(DA28-DA30)/DA30</f>
        <v>0.3369125615327408</v>
      </c>
      <c r="DB31" s="28">
        <f t="shared" si="824"/>
        <v>9.7081520261082452E-2</v>
      </c>
      <c r="DC31" s="28">
        <f t="shared" ref="DC31:DD31" si="825">(DC28-DC30)/DC30</f>
        <v>-0.11053029440693946</v>
      </c>
      <c r="DD31" s="28">
        <f t="shared" si="825"/>
        <v>0.20974710310411929</v>
      </c>
      <c r="DE31" s="28">
        <f t="shared" ref="DE31:DF31" si="826">(DE28-DE30)/DE30</f>
        <v>0.1077957818048942</v>
      </c>
      <c r="DF31" s="28">
        <f t="shared" si="826"/>
        <v>0.18497726470695586</v>
      </c>
      <c r="DG31" s="28">
        <f t="shared" ref="DG31:DH31" si="827">(DG28-DG30)/DG30</f>
        <v>2.8945204225583523E-2</v>
      </c>
      <c r="DH31" s="28">
        <f t="shared" si="827"/>
        <v>1.9473836293802307E-2</v>
      </c>
      <c r="DI31" s="28">
        <f t="shared" ref="DI31:DJ31" si="828">(DI28-DI30)/DI30</f>
        <v>-6.1319393220230368E-2</v>
      </c>
      <c r="DJ31" s="28">
        <f t="shared" si="828"/>
        <v>-4.971668177697184E-2</v>
      </c>
      <c r="DK31" s="28">
        <f t="shared" ref="DK31:DL31" si="829">(DK28-DK30)/DK30</f>
        <v>-0.14673263649201249</v>
      </c>
      <c r="DL31" s="28">
        <f t="shared" si="829"/>
        <v>0.17855754500853541</v>
      </c>
      <c r="DM31" s="28">
        <f t="shared" ref="DM31:DN31" si="830">(DM28-DM30)/DM30</f>
        <v>0.18695083605160312</v>
      </c>
      <c r="DN31" s="28">
        <f t="shared" si="830"/>
        <v>8.3224761141177273E-2</v>
      </c>
      <c r="DO31" s="28">
        <f t="shared" ref="DO31:DP31" si="831">(DO28-DO30)/DO30</f>
        <v>0.22681895820329875</v>
      </c>
      <c r="DP31" s="28">
        <f t="shared" si="831"/>
        <v>2.0330025364310632E-2</v>
      </c>
      <c r="DQ31" s="28">
        <f t="shared" ref="DQ31:DR31" si="832">(DQ28-DQ30)/DQ30</f>
        <v>0.2518216704196688</v>
      </c>
      <c r="DR31" s="28">
        <f t="shared" si="832"/>
        <v>-3.4996995116614665E-2</v>
      </c>
      <c r="DS31" s="28">
        <f t="shared" ref="DS31:DT31" si="833">(DS28-DS30)/DS30</f>
        <v>1.4458009216446561E-2</v>
      </c>
      <c r="DT31" s="28">
        <f t="shared" si="833"/>
        <v>6.8324580159010259E-2</v>
      </c>
      <c r="DU31" s="28">
        <f t="shared" ref="DU31:DV31" si="834">(DU28-DU30)/DU30</f>
        <v>0.11563346011547433</v>
      </c>
      <c r="DV31" s="28">
        <f t="shared" si="834"/>
        <v>4.9741489485302527E-2</v>
      </c>
      <c r="DW31" s="28">
        <f t="shared" ref="DW31:DX31" si="835">(DW28-DW30)/DW30</f>
        <v>0.23267871587126879</v>
      </c>
      <c r="DX31" s="28">
        <f t="shared" si="835"/>
        <v>-3.317340961992462E-2</v>
      </c>
      <c r="DY31" s="28">
        <f t="shared" ref="DY31:DZ31" si="836">(DY28-DY30)/DY30</f>
        <v>-0.18897957196865214</v>
      </c>
      <c r="DZ31" s="28">
        <f t="shared" si="836"/>
        <v>0.5945117477941908</v>
      </c>
      <c r="EA31" s="28">
        <f t="shared" ref="EA31:EB31" si="837">(EA28-EA30)/EA30</f>
        <v>9.0327375808068641E-2</v>
      </c>
      <c r="EB31" s="28">
        <f t="shared" si="837"/>
        <v>1.953769029266773E-2</v>
      </c>
      <c r="EC31" s="28">
        <f t="shared" ref="EC31:ED31" si="838">(EC28-EC30)/EC30</f>
        <v>-4.7351929938371735E-2</v>
      </c>
      <c r="ED31" s="28">
        <f t="shared" si="838"/>
        <v>0.12709165808998391</v>
      </c>
      <c r="EE31" s="28">
        <f t="shared" ref="EE31:EF31" si="839">(EE28-EE30)/EE30</f>
        <v>2.648526283606651E-2</v>
      </c>
      <c r="EF31" s="28">
        <f t="shared" si="839"/>
        <v>-8.179089544772393E-2</v>
      </c>
      <c r="EG31" s="28">
        <f t="shared" ref="EG31:EH31" si="840">(EG28-EG30)/EG30</f>
        <v>-0.14709354126586871</v>
      </c>
      <c r="EH31" s="28">
        <f t="shared" si="840"/>
        <v>0.26951302919478254</v>
      </c>
      <c r="EI31" s="28">
        <f t="shared" ref="EI31:EJ31" si="841">(EI28-EI30)/EI30</f>
        <v>-1.6041274886471474E-2</v>
      </c>
      <c r="EJ31" s="28">
        <f t="shared" si="841"/>
        <v>0.19252528243675501</v>
      </c>
      <c r="EK31" s="28">
        <f t="shared" ref="EK31:EL31" si="842">(EK28-EK30)/EK30</f>
        <v>8.1292175346416168E-3</v>
      </c>
      <c r="EL31" s="28">
        <f t="shared" si="842"/>
        <v>-0.13294953176919722</v>
      </c>
      <c r="EM31" s="28">
        <f t="shared" ref="EM31:EN31" si="843">(EM28-EM30)/EM30</f>
        <v>-6.081622418337837E-2</v>
      </c>
      <c r="EN31" s="28">
        <f t="shared" si="843"/>
        <v>1.5026464971252845E-2</v>
      </c>
      <c r="EO31" s="28">
        <f t="shared" ref="EO31:EP31" si="844">(EO28-EO30)/EO30</f>
        <v>2.8410337210559605E-2</v>
      </c>
      <c r="EP31" s="28">
        <f t="shared" si="844"/>
        <v>5.3985460089619242E-2</v>
      </c>
      <c r="EQ31" s="28">
        <f t="shared" ref="EQ31:ER31" si="845">(EQ28-EQ30)/EQ30</f>
        <v>1.4465731520318893E-2</v>
      </c>
      <c r="ER31" s="28">
        <f t="shared" si="845"/>
        <v>-0.14232350487860632</v>
      </c>
      <c r="ES31" s="28">
        <f t="shared" ref="ES31:ET31" si="846">(ES28-ES30)/ES30</f>
        <v>-0.10732652582786559</v>
      </c>
      <c r="ET31" s="28">
        <f t="shared" si="846"/>
        <v>3.9166655025168945E-2</v>
      </c>
      <c r="EU31" s="28">
        <f t="shared" ref="EU31:EV31" si="847">(EU28-EU30)/EU30</f>
        <v>0.10627225119489601</v>
      </c>
      <c r="EV31" s="28">
        <f t="shared" si="847"/>
        <v>5.8968693958466628E-2</v>
      </c>
      <c r="EW31" s="28">
        <f t="shared" ref="EW31:EX31" si="848">(EW28-EW30)/EW30</f>
        <v>5.1891885599200122E-3</v>
      </c>
      <c r="EX31" s="28">
        <f t="shared" si="848"/>
        <v>0.15648989044731845</v>
      </c>
      <c r="EY31" s="28">
        <f t="shared" ref="EY31:EZ31" si="849">(EY28-EY30)/EY30</f>
        <v>0.1808823520801095</v>
      </c>
      <c r="EZ31" s="28">
        <f t="shared" si="849"/>
        <v>0.18784933089697414</v>
      </c>
      <c r="FA31" s="28">
        <f t="shared" ref="FA31:FB31" si="850">(FA28-FA30)/FA30</f>
        <v>0.11241470289056532</v>
      </c>
      <c r="FB31" s="28">
        <f t="shared" si="850"/>
        <v>9.4094163884305457E-2</v>
      </c>
      <c r="FC31" s="28">
        <f t="shared" ref="FC31:FD31" si="851">(FC28-FC30)/FC30</f>
        <v>0.24384169371060305</v>
      </c>
      <c r="FD31" s="28">
        <f t="shared" si="851"/>
        <v>-7.775239043434741E-2</v>
      </c>
      <c r="FE31" s="28">
        <f t="shared" ref="FE31:FF31" si="852">(FE28-FE30)/FE30</f>
        <v>0.31082432251347769</v>
      </c>
      <c r="FF31" s="28">
        <f t="shared" si="852"/>
        <v>0.16043212750225933</v>
      </c>
      <c r="FG31" s="28">
        <f t="shared" ref="FG31:FH31" si="853">(FG28-FG30)/FG30</f>
        <v>0.10584043465594822</v>
      </c>
      <c r="FH31" s="28">
        <f t="shared" si="853"/>
        <v>9.1799070703596358E-2</v>
      </c>
      <c r="FI31" s="28">
        <f t="shared" ref="FI31:FJ31" si="854">(FI28-FI30)/FI30</f>
        <v>0.13049832777189374</v>
      </c>
      <c r="FJ31" s="28">
        <f t="shared" si="854"/>
        <v>0.27383238127039777</v>
      </c>
      <c r="FK31" s="28">
        <f t="shared" ref="FK31:FL31" si="855">(FK28-FK30)/FK30</f>
        <v>0.31345992739458267</v>
      </c>
      <c r="FL31" s="28">
        <f t="shared" si="855"/>
        <v>6.6796605087154279E-2</v>
      </c>
      <c r="FM31" s="28">
        <f t="shared" ref="FM31:FN31" si="856">(FM28-FM30)/FM30</f>
        <v>-7.4274431645859516E-4</v>
      </c>
      <c r="FN31" s="28">
        <f t="shared" si="856"/>
        <v>0.38938789986199041</v>
      </c>
      <c r="FO31" s="28">
        <f t="shared" ref="FO31:FP31" si="857">(FO28-FO30)/FO30</f>
        <v>3.0839863028722402E-2</v>
      </c>
      <c r="FP31" s="28">
        <f t="shared" si="857"/>
        <v>0.21752979763131294</v>
      </c>
      <c r="FQ31" s="28">
        <f t="shared" ref="FQ31:FR31" si="858">(FQ28-FQ30)/FQ30</f>
        <v>0.17003904515657225</v>
      </c>
      <c r="FR31" s="28">
        <f t="shared" si="858"/>
        <v>0.33637509509390051</v>
      </c>
      <c r="FS31" s="28">
        <f t="shared" ref="FS31:FT31" si="859">(FS28-FS30)/FS30</f>
        <v>0.39453898508926155</v>
      </c>
      <c r="FT31" s="28">
        <f t="shared" si="859"/>
        <v>0.1919385050636945</v>
      </c>
      <c r="FU31" s="28">
        <f t="shared" ref="FU31:FV31" si="860">(FU28-FU30)/FU30</f>
        <v>0.18285088301686353</v>
      </c>
      <c r="FV31" s="28">
        <f t="shared" si="860"/>
        <v>0.4747755288388375</v>
      </c>
      <c r="FW31" s="28">
        <f t="shared" ref="FW31:FX31" si="861">(FW28-FW30)/FW30</f>
        <v>0.34495481927710836</v>
      </c>
      <c r="FX31" s="28">
        <f t="shared" si="861"/>
        <v>4.480821917808224E-2</v>
      </c>
      <c r="FY31" s="28">
        <f t="shared" ref="FY31:FZ31" si="862">(FY28-FY30)/FY30</f>
        <v>0.12701664532650453</v>
      </c>
      <c r="FZ31" s="28">
        <f t="shared" si="862"/>
        <v>0.10944650033822756</v>
      </c>
      <c r="GA31" s="28"/>
      <c r="GB31" s="28"/>
      <c r="GC31" s="28">
        <f t="shared" ref="GC31:GE31" si="863">(GC28-GC30)/GC30</f>
        <v>-0.22933292112329057</v>
      </c>
      <c r="GD31" s="28">
        <f t="shared" si="863"/>
        <v>0.25415744776219057</v>
      </c>
      <c r="GE31" s="28">
        <f t="shared" si="863"/>
        <v>0.1008913265968942</v>
      </c>
      <c r="GF31" s="28">
        <f t="shared" ref="GF31:GG31" si="864">(GF28-GF30)/GF30</f>
        <v>-1.4762400186417125E-2</v>
      </c>
      <c r="GG31" s="28">
        <f t="shared" si="864"/>
        <v>0.23667339802982881</v>
      </c>
      <c r="GH31" s="28">
        <f t="shared" ref="GH31:GI31" si="865">(GH28-GH30)/GH30</f>
        <v>0.11965026866647323</v>
      </c>
      <c r="GI31" s="28">
        <f t="shared" si="865"/>
        <v>0.3962012783020884</v>
      </c>
      <c r="GJ31" s="28">
        <f t="shared" ref="GJ31:GK31" si="866">(GJ28-GJ30)/GJ30</f>
        <v>0.20972939260593901</v>
      </c>
      <c r="GK31" s="28">
        <f t="shared" si="866"/>
        <v>0.5684740988653384</v>
      </c>
      <c r="GL31" s="28">
        <f t="shared" ref="GL31:GN31" si="867">(GL28-GL30)/GL30</f>
        <v>0.26127117552711976</v>
      </c>
      <c r="GM31" s="28">
        <f t="shared" ref="GM31" si="868">(GM28-GM30)/GM30</f>
        <v>0.11801514920917372</v>
      </c>
      <c r="GN31" s="28">
        <f t="shared" si="867"/>
        <v>0.43469214990394939</v>
      </c>
      <c r="GO31" s="28">
        <f t="shared" ref="GO31:GP31" si="869">(GO28-GO30)/GO30</f>
        <v>0.396239641820262</v>
      </c>
      <c r="GP31" s="28">
        <f t="shared" si="869"/>
        <v>0.35710058549451623</v>
      </c>
      <c r="GQ31" s="28">
        <f t="shared" ref="GQ31:GR31" si="870">(GQ28-GQ30)/GQ30</f>
        <v>0.2941529288278516</v>
      </c>
      <c r="GR31" s="109">
        <f t="shared" si="870"/>
        <v>0.33781888223963763</v>
      </c>
      <c r="GS31" s="157"/>
      <c r="GT31" s="2" t="s">
        <v>94</v>
      </c>
      <c r="GU31" s="11"/>
      <c r="GV31" s="11"/>
      <c r="GW31" s="58"/>
      <c r="GX31" s="58"/>
      <c r="GY31" s="58"/>
      <c r="GZ31" s="58"/>
      <c r="HA31" s="58"/>
    </row>
    <row r="32" spans="1:209" s="2" customFormat="1" ht="7.5" customHeight="1" x14ac:dyDescent="0.3">
      <c r="A32" s="8"/>
      <c r="B32" s="29"/>
      <c r="C32" s="30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111"/>
      <c r="GS32" s="156"/>
      <c r="GT32" s="9"/>
      <c r="GU32" s="9"/>
      <c r="GV32" s="9"/>
    </row>
    <row r="33" spans="1:209" s="2" customFormat="1" ht="15" customHeight="1" x14ac:dyDescent="0.3">
      <c r="A33" s="168" t="s">
        <v>49</v>
      </c>
      <c r="B33" s="33" t="s">
        <v>49</v>
      </c>
      <c r="C33" s="17" t="s">
        <v>23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>
        <v>7490.8</v>
      </c>
      <c r="AM33" s="17">
        <v>12298.9</v>
      </c>
      <c r="AN33" s="17">
        <v>7288.45</v>
      </c>
      <c r="AO33" s="17">
        <v>7771.8</v>
      </c>
      <c r="AP33" s="17">
        <v>7738.4</v>
      </c>
      <c r="AQ33" s="17">
        <v>9302.9</v>
      </c>
      <c r="AR33" s="17">
        <v>7771.8</v>
      </c>
      <c r="AS33" s="17">
        <v>7557.3</v>
      </c>
      <c r="AT33" s="17">
        <v>10514.5</v>
      </c>
      <c r="AU33" s="17">
        <v>8800.75</v>
      </c>
      <c r="AV33" s="17">
        <v>6869</v>
      </c>
      <c r="AW33" s="17">
        <v>7664.15</v>
      </c>
      <c r="AX33" s="17">
        <v>7635.55</v>
      </c>
      <c r="AY33" s="17">
        <v>9050.2000000000007</v>
      </c>
      <c r="AZ33" s="17">
        <v>6366.6</v>
      </c>
      <c r="BA33" s="17">
        <v>7200.75</v>
      </c>
      <c r="BB33" s="17">
        <v>5984.85</v>
      </c>
      <c r="BC33" s="17">
        <v>5949</v>
      </c>
      <c r="BD33" s="17">
        <v>7243.25</v>
      </c>
      <c r="BE33" s="17">
        <v>8161.45</v>
      </c>
      <c r="BF33" s="17">
        <v>7401.9</v>
      </c>
      <c r="BG33" s="17">
        <v>7836.25</v>
      </c>
      <c r="BH33" s="17">
        <v>8668.6</v>
      </c>
      <c r="BI33" s="17">
        <v>7142.17</v>
      </c>
      <c r="BJ33" s="17">
        <v>5282.9</v>
      </c>
      <c r="BK33" s="17">
        <v>5477.05</v>
      </c>
      <c r="BL33" s="17">
        <v>5098.75</v>
      </c>
      <c r="BM33" s="17">
        <v>5881.45</v>
      </c>
      <c r="BN33" s="17">
        <v>5811.2</v>
      </c>
      <c r="BO33" s="17">
        <v>6545.65</v>
      </c>
      <c r="BP33" s="17">
        <v>7004.85</v>
      </c>
      <c r="BQ33" s="17">
        <v>7228.7</v>
      </c>
      <c r="BR33" s="17">
        <v>8880.4500000000007</v>
      </c>
      <c r="BS33" s="17">
        <v>6195.45</v>
      </c>
      <c r="BT33" s="17">
        <v>6853.8</v>
      </c>
      <c r="BU33" s="17">
        <v>6444.25</v>
      </c>
      <c r="BV33" s="17">
        <v>7303.5</v>
      </c>
      <c r="BW33" s="17">
        <v>7888.7</v>
      </c>
      <c r="BX33" s="17">
        <v>10267.950000000001</v>
      </c>
      <c r="BY33" s="17">
        <v>11430.2</v>
      </c>
      <c r="BZ33" s="17">
        <v>6757.8</v>
      </c>
      <c r="CA33" s="17">
        <v>5429.85</v>
      </c>
      <c r="CB33" s="17">
        <v>6117.9</v>
      </c>
      <c r="CC33" s="17">
        <v>6304.7</v>
      </c>
      <c r="CD33" s="17">
        <v>6505.45</v>
      </c>
      <c r="CE33" s="17">
        <v>6972.6</v>
      </c>
      <c r="CF33" s="17">
        <v>7808.35</v>
      </c>
      <c r="CG33" s="17">
        <v>6151.05</v>
      </c>
      <c r="CH33" s="17">
        <v>7340.9</v>
      </c>
      <c r="CI33" s="17">
        <v>8600.15</v>
      </c>
      <c r="CJ33" s="17">
        <v>8330.4500000000007</v>
      </c>
      <c r="CK33" s="17">
        <v>7699.35</v>
      </c>
      <c r="CL33" s="17">
        <v>11327.95</v>
      </c>
      <c r="CM33" s="17">
        <v>9321.2000000000007</v>
      </c>
      <c r="CN33" s="17">
        <v>8787.9</v>
      </c>
      <c r="CO33" s="17">
        <v>7804.8</v>
      </c>
      <c r="CP33" s="17">
        <v>8550.7000000000007</v>
      </c>
      <c r="CQ33" s="17">
        <v>8622.2999999999993</v>
      </c>
      <c r="CR33" s="17">
        <v>9842.0499999999993</v>
      </c>
      <c r="CS33" s="17">
        <v>7406.55</v>
      </c>
      <c r="CT33" s="17">
        <v>9921.7999999999993</v>
      </c>
      <c r="CU33" s="17">
        <v>9771.5300000000007</v>
      </c>
      <c r="CV33" s="17">
        <v>8042.35</v>
      </c>
      <c r="CW33" s="17">
        <v>8819.25</v>
      </c>
      <c r="CX33" s="17">
        <v>8830.2000000000007</v>
      </c>
      <c r="CY33" s="17">
        <v>9135.6</v>
      </c>
      <c r="CZ33" s="17">
        <v>7209.25</v>
      </c>
      <c r="DA33" s="17">
        <v>7440.65</v>
      </c>
      <c r="DB33" s="17">
        <v>6984.1</v>
      </c>
      <c r="DC33" s="17">
        <v>8174.95</v>
      </c>
      <c r="DD33" s="17">
        <v>7752.2</v>
      </c>
      <c r="DE33" s="17">
        <v>9486.15</v>
      </c>
      <c r="DF33" s="17">
        <v>8034.65</v>
      </c>
      <c r="DG33" s="17">
        <v>9357.4</v>
      </c>
      <c r="DH33" s="17">
        <v>9846.2000000000007</v>
      </c>
      <c r="DI33" s="17">
        <v>7065.25</v>
      </c>
      <c r="DJ33" s="17">
        <v>5861.35</v>
      </c>
      <c r="DK33" s="17">
        <v>7192.1</v>
      </c>
      <c r="DL33" s="17">
        <v>8052.25</v>
      </c>
      <c r="DM33" s="17">
        <v>7377.5</v>
      </c>
      <c r="DN33" s="17">
        <v>6723.55</v>
      </c>
      <c r="DO33" s="17">
        <v>6442.6</v>
      </c>
      <c r="DP33" s="17">
        <v>5067.3999999999996</v>
      </c>
      <c r="DQ33" s="17">
        <v>7924.6</v>
      </c>
      <c r="DR33" s="17">
        <v>6500.5</v>
      </c>
      <c r="DS33" s="17">
        <v>8741.7000000000007</v>
      </c>
      <c r="DT33" s="17">
        <v>6230.85</v>
      </c>
      <c r="DU33" s="17">
        <v>7186.75</v>
      </c>
      <c r="DV33" s="17">
        <v>5471.85</v>
      </c>
      <c r="DW33" s="17">
        <v>8598.2000000000007</v>
      </c>
      <c r="DX33" s="17">
        <v>8279.9699999999993</v>
      </c>
      <c r="DY33" s="17">
        <v>11636.9</v>
      </c>
      <c r="DZ33" s="17">
        <v>12359</v>
      </c>
      <c r="EA33" s="17">
        <v>6407.55</v>
      </c>
      <c r="EB33" s="17">
        <v>6634.05</v>
      </c>
      <c r="EC33" s="17">
        <v>6841.8</v>
      </c>
      <c r="ED33" s="17">
        <v>7245.2</v>
      </c>
      <c r="EE33" s="17">
        <v>6077.8</v>
      </c>
      <c r="EF33" s="17">
        <v>6905.55</v>
      </c>
      <c r="EG33" s="17">
        <v>6426.35</v>
      </c>
      <c r="EH33" s="17">
        <v>8860.7000000000007</v>
      </c>
      <c r="EI33" s="17">
        <v>7674</v>
      </c>
      <c r="EJ33" s="17">
        <v>6626.3</v>
      </c>
      <c r="EK33" s="17">
        <v>7215.1</v>
      </c>
      <c r="EL33" s="17">
        <v>9108.9500000000007</v>
      </c>
      <c r="EM33" s="17">
        <v>8252.4</v>
      </c>
      <c r="EN33" s="17">
        <v>8925.35</v>
      </c>
      <c r="EO33" s="17">
        <v>11001.1</v>
      </c>
      <c r="EP33" s="17">
        <v>8503.92</v>
      </c>
      <c r="EQ33" s="17">
        <v>8503.4500000000007</v>
      </c>
      <c r="ER33" s="17">
        <v>8115.4</v>
      </c>
      <c r="ES33" s="17">
        <v>7085.1</v>
      </c>
      <c r="ET33" s="17">
        <v>8176.35</v>
      </c>
      <c r="EU33" s="17">
        <v>9653.35</v>
      </c>
      <c r="EV33" s="17">
        <v>5933.35</v>
      </c>
      <c r="EW33" s="17">
        <v>7778.75</v>
      </c>
      <c r="EX33" s="17">
        <v>9781.15</v>
      </c>
      <c r="EY33" s="17">
        <v>9517.7000000000007</v>
      </c>
      <c r="EZ33" s="17">
        <v>8265.0499999999993</v>
      </c>
      <c r="FA33" s="17">
        <v>7321.45</v>
      </c>
      <c r="FB33" s="17">
        <v>7881.5</v>
      </c>
      <c r="FC33" s="17">
        <v>7949.4</v>
      </c>
      <c r="FD33" s="17">
        <v>8548.4500000000007</v>
      </c>
      <c r="FE33" s="17">
        <v>8745.25</v>
      </c>
      <c r="FF33" s="17">
        <v>10726.05</v>
      </c>
      <c r="FG33" s="17">
        <v>8998.7999999999993</v>
      </c>
      <c r="FH33" s="17">
        <v>8937.0499999999993</v>
      </c>
      <c r="FI33" s="17">
        <v>6124.95</v>
      </c>
      <c r="FJ33" s="17">
        <v>7415.1</v>
      </c>
      <c r="FK33" s="17">
        <v>7205.3</v>
      </c>
      <c r="FL33" s="17">
        <v>7878.8</v>
      </c>
      <c r="FM33" s="17">
        <v>7286.7</v>
      </c>
      <c r="FN33" s="17">
        <v>9338.25</v>
      </c>
      <c r="FO33" s="17">
        <v>4584.45</v>
      </c>
      <c r="FP33" s="17">
        <v>7911.1</v>
      </c>
      <c r="FQ33" s="17">
        <v>6289.2</v>
      </c>
      <c r="FR33" s="17">
        <v>6825.55</v>
      </c>
      <c r="FS33" s="17">
        <v>7486.4</v>
      </c>
      <c r="FT33" s="17">
        <v>7315.6</v>
      </c>
      <c r="FU33" s="17">
        <v>7427.6</v>
      </c>
      <c r="FV33" s="17">
        <v>7409.6</v>
      </c>
      <c r="FW33" s="17">
        <v>8082.25</v>
      </c>
      <c r="FX33" s="17">
        <v>7446.5</v>
      </c>
      <c r="FY33" s="17">
        <v>9694.7999999999993</v>
      </c>
      <c r="FZ33" s="17">
        <v>10939.85</v>
      </c>
      <c r="GA33" s="17">
        <v>0</v>
      </c>
      <c r="GB33" s="17">
        <v>0</v>
      </c>
      <c r="GC33" s="17">
        <v>0</v>
      </c>
      <c r="GD33" s="17">
        <v>0</v>
      </c>
      <c r="GE33" s="17">
        <v>0</v>
      </c>
      <c r="GF33" s="17">
        <v>0</v>
      </c>
      <c r="GG33" s="17">
        <v>0</v>
      </c>
      <c r="GH33" s="17">
        <v>0</v>
      </c>
      <c r="GI33" s="17">
        <v>0</v>
      </c>
      <c r="GJ33" s="17">
        <v>0</v>
      </c>
      <c r="GK33" s="17">
        <v>0</v>
      </c>
      <c r="GL33" s="17">
        <v>6297.85</v>
      </c>
      <c r="GM33" s="17">
        <v>12081.35</v>
      </c>
      <c r="GN33" s="17">
        <v>10128.700000000001</v>
      </c>
      <c r="GO33" s="17">
        <v>8361.1</v>
      </c>
      <c r="GP33" s="17">
        <v>10221.9</v>
      </c>
      <c r="GQ33" s="17">
        <v>11054.7</v>
      </c>
      <c r="GR33" s="107">
        <v>9980.1</v>
      </c>
      <c r="GS33" s="153">
        <f>EQ33</f>
        <v>8503.4500000000007</v>
      </c>
      <c r="GT33" s="84" t="s">
        <v>23</v>
      </c>
      <c r="GU33" s="92" t="s">
        <v>369</v>
      </c>
      <c r="GV33" s="93"/>
      <c r="GW33" s="58"/>
      <c r="GX33" s="58"/>
      <c r="GY33" s="58"/>
      <c r="GZ33" s="58"/>
      <c r="HA33" s="58"/>
    </row>
    <row r="34" spans="1:209" s="2" customFormat="1" ht="15" customHeight="1" x14ac:dyDescent="0.3">
      <c r="A34" s="169"/>
      <c r="B34" s="34"/>
      <c r="C34" s="17" t="s">
        <v>24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>
        <v>8715</v>
      </c>
      <c r="AM34" s="17">
        <v>10969.65</v>
      </c>
      <c r="AN34" s="17">
        <v>9770.7000000000007</v>
      </c>
      <c r="AO34" s="17">
        <v>8603.7000000000007</v>
      </c>
      <c r="AP34" s="17">
        <v>8630.2000000000007</v>
      </c>
      <c r="AQ34" s="17">
        <v>10821</v>
      </c>
      <c r="AR34" s="17">
        <v>7011.1</v>
      </c>
      <c r="AS34" s="17">
        <v>8252.2000000000007</v>
      </c>
      <c r="AT34" s="17">
        <v>11019.6</v>
      </c>
      <c r="AU34" s="17">
        <v>9622.7999999999993</v>
      </c>
      <c r="AV34" s="17">
        <v>7467.2</v>
      </c>
      <c r="AW34" s="17">
        <v>8851.6</v>
      </c>
      <c r="AX34" s="17">
        <v>7945.1</v>
      </c>
      <c r="AY34" s="17">
        <v>11581.9</v>
      </c>
      <c r="AZ34" s="17">
        <v>7435.6</v>
      </c>
      <c r="BA34" s="17">
        <v>8058</v>
      </c>
      <c r="BB34" s="17">
        <v>7355.3</v>
      </c>
      <c r="BC34" s="17">
        <v>8108</v>
      </c>
      <c r="BD34" s="17">
        <v>9641.5</v>
      </c>
      <c r="BE34" s="17">
        <v>8441.7999999999993</v>
      </c>
      <c r="BF34" s="17">
        <v>8401.6</v>
      </c>
      <c r="BG34" s="17">
        <v>8568.7000000000007</v>
      </c>
      <c r="BH34" s="17">
        <v>9899.6</v>
      </c>
      <c r="BI34" s="17">
        <v>7967.55</v>
      </c>
      <c r="BJ34" s="17">
        <v>6515.4</v>
      </c>
      <c r="BK34" s="17">
        <v>6551.2</v>
      </c>
      <c r="BL34" s="17">
        <v>6839.6</v>
      </c>
      <c r="BM34" s="17">
        <v>8011.1</v>
      </c>
      <c r="BN34" s="17">
        <v>6442.3</v>
      </c>
      <c r="BO34" s="17">
        <v>7999.8</v>
      </c>
      <c r="BP34" s="17">
        <v>9645.1</v>
      </c>
      <c r="BQ34" s="17">
        <v>8985.9</v>
      </c>
      <c r="BR34" s="17">
        <v>10336.799999999999</v>
      </c>
      <c r="BS34" s="17">
        <v>8094.7</v>
      </c>
      <c r="BT34" s="17">
        <v>8244.9500000000007</v>
      </c>
      <c r="BU34" s="17">
        <v>6423.6</v>
      </c>
      <c r="BV34" s="17">
        <v>8944.2999999999993</v>
      </c>
      <c r="BW34" s="17">
        <v>8853.4500000000007</v>
      </c>
      <c r="BX34" s="17">
        <v>8298.2999999999993</v>
      </c>
      <c r="BY34" s="17">
        <v>9986.9</v>
      </c>
      <c r="BZ34" s="17">
        <v>7067.35</v>
      </c>
      <c r="CA34" s="17">
        <v>5145.3999999999996</v>
      </c>
      <c r="CB34" s="17">
        <v>6978.6</v>
      </c>
      <c r="CC34" s="17">
        <v>6943.2</v>
      </c>
      <c r="CD34" s="17">
        <v>7649.8</v>
      </c>
      <c r="CE34" s="17">
        <v>8126.9</v>
      </c>
      <c r="CF34" s="17">
        <v>10596.5</v>
      </c>
      <c r="CG34" s="17">
        <v>6602.4</v>
      </c>
      <c r="CH34" s="17">
        <v>8113.5</v>
      </c>
      <c r="CI34" s="17">
        <v>11395.05</v>
      </c>
      <c r="CJ34" s="17">
        <v>9270.35</v>
      </c>
      <c r="CK34" s="17">
        <v>9709.4500000000007</v>
      </c>
      <c r="CL34" s="17">
        <v>12501.3</v>
      </c>
      <c r="CM34" s="17">
        <v>12001.9</v>
      </c>
      <c r="CN34" s="17">
        <v>10740.05</v>
      </c>
      <c r="CO34" s="17">
        <v>8971.5499999999993</v>
      </c>
      <c r="CP34" s="17">
        <v>10275.200000000001</v>
      </c>
      <c r="CQ34" s="17">
        <v>9137.6</v>
      </c>
      <c r="CR34" s="17">
        <v>11162.9</v>
      </c>
      <c r="CS34" s="17">
        <v>7450.05</v>
      </c>
      <c r="CT34" s="17">
        <v>11719.05</v>
      </c>
      <c r="CU34" s="17">
        <v>11339.95</v>
      </c>
      <c r="CV34" s="17">
        <v>8185.1</v>
      </c>
      <c r="CW34" s="17">
        <v>12264.75</v>
      </c>
      <c r="CX34" s="17">
        <v>9129.9500000000007</v>
      </c>
      <c r="CY34" s="17">
        <v>12369</v>
      </c>
      <c r="CZ34" s="17">
        <v>7706.7</v>
      </c>
      <c r="DA34" s="17">
        <v>7858.9</v>
      </c>
      <c r="DB34" s="17">
        <v>7861.2</v>
      </c>
      <c r="DC34" s="17">
        <v>9429.4</v>
      </c>
      <c r="DD34" s="17">
        <v>9637.7999999999993</v>
      </c>
      <c r="DE34" s="17">
        <v>10004.299999999999</v>
      </c>
      <c r="DF34" s="17">
        <v>10339.299999999999</v>
      </c>
      <c r="DG34" s="17">
        <v>12506.05</v>
      </c>
      <c r="DH34" s="17">
        <v>11395.15</v>
      </c>
      <c r="DI34" s="17">
        <v>8142.25</v>
      </c>
      <c r="DJ34" s="17">
        <v>7426.95</v>
      </c>
      <c r="DK34" s="17">
        <v>8329.4</v>
      </c>
      <c r="DL34" s="17">
        <v>9223.5499999999993</v>
      </c>
      <c r="DM34" s="17">
        <v>9614.0499999999993</v>
      </c>
      <c r="DN34" s="17">
        <v>8012.55</v>
      </c>
      <c r="DO34" s="17">
        <v>8038</v>
      </c>
      <c r="DP34" s="17">
        <v>5934.65</v>
      </c>
      <c r="DQ34" s="17">
        <v>9541.6</v>
      </c>
      <c r="DR34" s="17">
        <v>7417.68</v>
      </c>
      <c r="DS34" s="17">
        <v>10845.05</v>
      </c>
      <c r="DT34" s="17">
        <v>6615.9</v>
      </c>
      <c r="DU34" s="17">
        <v>8628.84</v>
      </c>
      <c r="DV34" s="17">
        <v>3704.2</v>
      </c>
      <c r="DW34" s="17">
        <v>8505.7099999999991</v>
      </c>
      <c r="DX34" s="17">
        <v>8932.76</v>
      </c>
      <c r="DY34" s="17">
        <v>10318</v>
      </c>
      <c r="DZ34" s="17">
        <v>14146.45</v>
      </c>
      <c r="EA34" s="17">
        <v>6749.9</v>
      </c>
      <c r="EB34" s="17">
        <v>9666.15</v>
      </c>
      <c r="EC34" s="17">
        <v>6958.7</v>
      </c>
      <c r="ED34" s="17">
        <v>8460.35</v>
      </c>
      <c r="EE34" s="17">
        <v>8291.2999999999993</v>
      </c>
      <c r="EF34" s="17">
        <v>9308.9</v>
      </c>
      <c r="EG34" s="17">
        <v>9403.2000000000007</v>
      </c>
      <c r="EH34" s="17">
        <v>10017</v>
      </c>
      <c r="EI34" s="17">
        <v>9220.15</v>
      </c>
      <c r="EJ34" s="17">
        <v>8954.9</v>
      </c>
      <c r="EK34" s="17">
        <v>9097.7999999999993</v>
      </c>
      <c r="EL34" s="17">
        <v>12641.15</v>
      </c>
      <c r="EM34" s="17">
        <v>9295.35</v>
      </c>
      <c r="EN34" s="17">
        <v>9782.4500000000007</v>
      </c>
      <c r="EO34" s="17">
        <v>12363.85</v>
      </c>
      <c r="EP34" s="17">
        <v>9275.2000000000007</v>
      </c>
      <c r="EQ34" s="17">
        <v>8337.75</v>
      </c>
      <c r="ER34" s="17">
        <v>7514.9</v>
      </c>
      <c r="ES34" s="17">
        <v>7997.95</v>
      </c>
      <c r="ET34" s="17">
        <v>8005.95</v>
      </c>
      <c r="EU34" s="17">
        <v>10311.1</v>
      </c>
      <c r="EV34" s="17">
        <v>6316.4</v>
      </c>
      <c r="EW34" s="17">
        <v>9329.2999999999993</v>
      </c>
      <c r="EX34" s="17">
        <v>10297.200000000001</v>
      </c>
      <c r="EY34" s="17">
        <v>13776.75</v>
      </c>
      <c r="EZ34" s="17">
        <v>12116.8</v>
      </c>
      <c r="FA34" s="17">
        <v>8597.85</v>
      </c>
      <c r="FB34" s="17">
        <v>10407.530000000001</v>
      </c>
      <c r="FC34" s="17">
        <v>11667.75</v>
      </c>
      <c r="FD34" s="17">
        <v>11755.9</v>
      </c>
      <c r="FE34" s="17">
        <v>11285.45</v>
      </c>
      <c r="FF34" s="17">
        <v>12745.35</v>
      </c>
      <c r="FG34" s="17">
        <v>12213.4</v>
      </c>
      <c r="FH34" s="17">
        <v>11544.2</v>
      </c>
      <c r="FI34" s="17">
        <v>8652.35</v>
      </c>
      <c r="FJ34" s="17">
        <v>8621.0499999999993</v>
      </c>
      <c r="FK34" s="17">
        <v>8112.8</v>
      </c>
      <c r="FL34" s="17">
        <v>9228.0499999999993</v>
      </c>
      <c r="FM34" s="17">
        <v>8211.5499999999993</v>
      </c>
      <c r="FN34" s="17">
        <v>8035.6</v>
      </c>
      <c r="FO34" s="17">
        <v>5115.6499999999996</v>
      </c>
      <c r="FP34" s="17">
        <v>10955.85</v>
      </c>
      <c r="FQ34" s="17">
        <v>8420.25</v>
      </c>
      <c r="FR34" s="17">
        <v>7390.8</v>
      </c>
      <c r="FS34" s="17">
        <v>9720.6</v>
      </c>
      <c r="FT34" s="17">
        <v>8740.2000000000007</v>
      </c>
      <c r="FU34" s="17">
        <v>8790.6</v>
      </c>
      <c r="FV34" s="17">
        <v>9990.4</v>
      </c>
      <c r="FW34" s="17">
        <v>8918.7999999999993</v>
      </c>
      <c r="FX34" s="17">
        <v>7335.95</v>
      </c>
      <c r="FY34" s="17">
        <v>9506.6</v>
      </c>
      <c r="FZ34" s="17">
        <v>16422.82</v>
      </c>
      <c r="GA34" s="17">
        <v>0</v>
      </c>
      <c r="GB34" s="17">
        <v>0</v>
      </c>
      <c r="GC34" s="17">
        <v>0</v>
      </c>
      <c r="GD34" s="17">
        <v>0</v>
      </c>
      <c r="GE34" s="17">
        <v>0</v>
      </c>
      <c r="GF34" s="17">
        <v>0</v>
      </c>
      <c r="GG34" s="17">
        <v>0</v>
      </c>
      <c r="GH34" s="17">
        <v>0</v>
      </c>
      <c r="GI34" s="17">
        <v>0</v>
      </c>
      <c r="GJ34" s="17">
        <v>0</v>
      </c>
      <c r="GK34" s="17">
        <v>0</v>
      </c>
      <c r="GL34" s="17">
        <v>6141.06</v>
      </c>
      <c r="GM34" s="17">
        <v>13099.5</v>
      </c>
      <c r="GN34" s="17">
        <v>11275.25</v>
      </c>
      <c r="GO34" s="17">
        <v>10492.35</v>
      </c>
      <c r="GP34" s="17">
        <v>11630.75</v>
      </c>
      <c r="GQ34" s="17">
        <v>13829.67</v>
      </c>
      <c r="GR34" s="107">
        <v>12808.25</v>
      </c>
      <c r="GS34" s="153">
        <f>EQ34</f>
        <v>8337.75</v>
      </c>
      <c r="GT34" s="5" t="s">
        <v>24</v>
      </c>
      <c r="GU34" s="94" t="s">
        <v>367</v>
      </c>
      <c r="GV34" s="141">
        <f>DRY!AG42</f>
        <v>0.73331626100364999</v>
      </c>
      <c r="GW34" s="55"/>
      <c r="GX34" s="55"/>
      <c r="GY34" s="55"/>
      <c r="GZ34" s="55"/>
      <c r="HA34" s="55"/>
    </row>
    <row r="35" spans="1:209" s="2" customFormat="1" ht="15" customHeight="1" x14ac:dyDescent="0.3">
      <c r="A35" s="169"/>
      <c r="B35" s="19" t="s">
        <v>21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>
        <f t="shared" ref="AL35:AZ35" si="871">SUM(AL33:AL34)</f>
        <v>16205.8</v>
      </c>
      <c r="AM35" s="20">
        <f t="shared" si="871"/>
        <v>23268.55</v>
      </c>
      <c r="AN35" s="20">
        <f t="shared" si="871"/>
        <v>17059.150000000001</v>
      </c>
      <c r="AO35" s="20">
        <f t="shared" si="871"/>
        <v>16375.5</v>
      </c>
      <c r="AP35" s="20">
        <f t="shared" si="871"/>
        <v>16368.6</v>
      </c>
      <c r="AQ35" s="20">
        <f t="shared" si="871"/>
        <v>20123.900000000001</v>
      </c>
      <c r="AR35" s="20">
        <f t="shared" si="871"/>
        <v>14782.900000000001</v>
      </c>
      <c r="AS35" s="20">
        <f t="shared" si="871"/>
        <v>15809.5</v>
      </c>
      <c r="AT35" s="20">
        <f t="shared" si="871"/>
        <v>21534.1</v>
      </c>
      <c r="AU35" s="20">
        <f t="shared" si="871"/>
        <v>18423.55</v>
      </c>
      <c r="AV35" s="20">
        <f t="shared" si="871"/>
        <v>14336.2</v>
      </c>
      <c r="AW35" s="20">
        <f t="shared" si="871"/>
        <v>16515.75</v>
      </c>
      <c r="AX35" s="20">
        <f t="shared" si="871"/>
        <v>15580.650000000001</v>
      </c>
      <c r="AY35" s="20">
        <f t="shared" si="871"/>
        <v>20632.099999999999</v>
      </c>
      <c r="AZ35" s="20">
        <f t="shared" si="871"/>
        <v>13802.2</v>
      </c>
      <c r="BA35" s="20">
        <f t="shared" ref="BA35:BR35" si="872">SUM(BA33:BA34)</f>
        <v>15258.75</v>
      </c>
      <c r="BB35" s="20">
        <f t="shared" si="872"/>
        <v>13340.150000000001</v>
      </c>
      <c r="BC35" s="20">
        <f t="shared" si="872"/>
        <v>14057</v>
      </c>
      <c r="BD35" s="20">
        <f t="shared" si="872"/>
        <v>16884.75</v>
      </c>
      <c r="BE35" s="20">
        <f t="shared" si="872"/>
        <v>16603.25</v>
      </c>
      <c r="BF35" s="20">
        <f t="shared" si="872"/>
        <v>15803.5</v>
      </c>
      <c r="BG35" s="20">
        <f t="shared" si="872"/>
        <v>16404.95</v>
      </c>
      <c r="BH35" s="20">
        <f t="shared" si="872"/>
        <v>18568.2</v>
      </c>
      <c r="BI35" s="20">
        <f t="shared" si="872"/>
        <v>15109.720000000001</v>
      </c>
      <c r="BJ35" s="20">
        <f t="shared" si="872"/>
        <v>11798.3</v>
      </c>
      <c r="BK35" s="20">
        <f t="shared" si="872"/>
        <v>12028.25</v>
      </c>
      <c r="BL35" s="20">
        <f t="shared" si="872"/>
        <v>11938.35</v>
      </c>
      <c r="BM35" s="20">
        <f t="shared" si="872"/>
        <v>13892.55</v>
      </c>
      <c r="BN35" s="20">
        <f t="shared" si="872"/>
        <v>12253.5</v>
      </c>
      <c r="BO35" s="20">
        <f t="shared" si="872"/>
        <v>14545.45</v>
      </c>
      <c r="BP35" s="20">
        <f t="shared" si="872"/>
        <v>16649.95</v>
      </c>
      <c r="BQ35" s="20">
        <f t="shared" si="872"/>
        <v>16214.599999999999</v>
      </c>
      <c r="BR35" s="20">
        <f t="shared" si="872"/>
        <v>19217.25</v>
      </c>
      <c r="BS35" s="20">
        <f t="shared" ref="BS35:BW35" si="873">SUM(BS33:BS34)</f>
        <v>14290.15</v>
      </c>
      <c r="BT35" s="20">
        <f t="shared" si="873"/>
        <v>15098.75</v>
      </c>
      <c r="BU35" s="20">
        <f t="shared" si="873"/>
        <v>12867.85</v>
      </c>
      <c r="BV35" s="20">
        <f t="shared" si="873"/>
        <v>16247.8</v>
      </c>
      <c r="BW35" s="20">
        <f t="shared" si="873"/>
        <v>16742.150000000001</v>
      </c>
      <c r="BX35" s="20">
        <f t="shared" ref="BX35:CB35" si="874">SUM(BX33:BX34)</f>
        <v>18566.25</v>
      </c>
      <c r="BY35" s="20">
        <f t="shared" si="874"/>
        <v>21417.1</v>
      </c>
      <c r="BZ35" s="20">
        <f t="shared" si="874"/>
        <v>13825.150000000001</v>
      </c>
      <c r="CA35" s="20">
        <f t="shared" si="874"/>
        <v>10575.25</v>
      </c>
      <c r="CB35" s="20">
        <f t="shared" si="874"/>
        <v>13096.5</v>
      </c>
      <c r="CC35" s="20">
        <f t="shared" ref="CC35:CJ35" si="875">SUM(CC33:CC34)</f>
        <v>13247.9</v>
      </c>
      <c r="CD35" s="20">
        <f t="shared" si="875"/>
        <v>14155.25</v>
      </c>
      <c r="CE35" s="20">
        <f t="shared" si="875"/>
        <v>15099.5</v>
      </c>
      <c r="CF35" s="20">
        <f t="shared" si="875"/>
        <v>18404.849999999999</v>
      </c>
      <c r="CG35" s="20">
        <f t="shared" si="875"/>
        <v>12753.45</v>
      </c>
      <c r="CH35" s="20">
        <f t="shared" si="875"/>
        <v>15454.4</v>
      </c>
      <c r="CI35" s="20">
        <f t="shared" si="875"/>
        <v>19995.199999999997</v>
      </c>
      <c r="CJ35" s="20">
        <f t="shared" si="875"/>
        <v>17600.800000000003</v>
      </c>
      <c r="CK35" s="20">
        <f t="shared" ref="CK35:CZ35" si="876">SUM(CK33:CK34)</f>
        <v>17408.800000000003</v>
      </c>
      <c r="CL35" s="20">
        <f t="shared" si="876"/>
        <v>23829.25</v>
      </c>
      <c r="CM35" s="20">
        <f t="shared" si="876"/>
        <v>21323.1</v>
      </c>
      <c r="CN35" s="20">
        <f t="shared" si="876"/>
        <v>19527.949999999997</v>
      </c>
      <c r="CO35" s="20">
        <f t="shared" si="876"/>
        <v>16776.349999999999</v>
      </c>
      <c r="CP35" s="20">
        <f t="shared" si="876"/>
        <v>18825.900000000001</v>
      </c>
      <c r="CQ35" s="20">
        <f t="shared" si="876"/>
        <v>17759.900000000001</v>
      </c>
      <c r="CR35" s="20">
        <f t="shared" si="876"/>
        <v>21004.949999999997</v>
      </c>
      <c r="CS35" s="20">
        <f t="shared" si="876"/>
        <v>14856.6</v>
      </c>
      <c r="CT35" s="20">
        <f t="shared" si="876"/>
        <v>21640.85</v>
      </c>
      <c r="CU35" s="20">
        <f t="shared" si="876"/>
        <v>21111.480000000003</v>
      </c>
      <c r="CV35" s="20">
        <f t="shared" si="876"/>
        <v>16227.45</v>
      </c>
      <c r="CW35" s="20">
        <f t="shared" si="876"/>
        <v>21084</v>
      </c>
      <c r="CX35" s="20">
        <f t="shared" si="876"/>
        <v>17960.150000000001</v>
      </c>
      <c r="CY35" s="20">
        <f t="shared" si="876"/>
        <v>21504.6</v>
      </c>
      <c r="CZ35" s="20">
        <f t="shared" si="876"/>
        <v>14915.95</v>
      </c>
      <c r="DA35" s="20">
        <f t="shared" ref="DA35:DB35" si="877">SUM(DA33:DA34)</f>
        <v>15299.55</v>
      </c>
      <c r="DB35" s="20">
        <f t="shared" si="877"/>
        <v>14845.3</v>
      </c>
      <c r="DC35" s="20">
        <f t="shared" ref="DC35:DD35" si="878">SUM(DC33:DC34)</f>
        <v>17604.349999999999</v>
      </c>
      <c r="DD35" s="20">
        <f t="shared" si="878"/>
        <v>17390</v>
      </c>
      <c r="DE35" s="20">
        <f t="shared" ref="DE35:DF35" si="879">SUM(DE33:DE34)</f>
        <v>19490.449999999997</v>
      </c>
      <c r="DF35" s="20">
        <f t="shared" si="879"/>
        <v>18373.949999999997</v>
      </c>
      <c r="DG35" s="20">
        <f t="shared" ref="DG35:DH35" si="880">SUM(DG33:DG34)</f>
        <v>21863.449999999997</v>
      </c>
      <c r="DH35" s="20">
        <f t="shared" si="880"/>
        <v>21241.35</v>
      </c>
      <c r="DI35" s="20">
        <f t="shared" ref="DI35:DJ35" si="881">SUM(DI33:DI34)</f>
        <v>15207.5</v>
      </c>
      <c r="DJ35" s="20">
        <f t="shared" si="881"/>
        <v>13288.3</v>
      </c>
      <c r="DK35" s="20">
        <f t="shared" ref="DK35:DL35" si="882">SUM(DK33:DK34)</f>
        <v>15521.5</v>
      </c>
      <c r="DL35" s="20">
        <f t="shared" si="882"/>
        <v>17275.8</v>
      </c>
      <c r="DM35" s="20">
        <f t="shared" ref="DM35:DN35" si="883">SUM(DM33:DM34)</f>
        <v>16991.55</v>
      </c>
      <c r="DN35" s="20">
        <f t="shared" si="883"/>
        <v>14736.1</v>
      </c>
      <c r="DO35" s="20">
        <f t="shared" ref="DO35:DP35" si="884">SUM(DO33:DO34)</f>
        <v>14480.6</v>
      </c>
      <c r="DP35" s="20">
        <f t="shared" si="884"/>
        <v>11002.05</v>
      </c>
      <c r="DQ35" s="20">
        <f t="shared" ref="DQ35:DR35" si="885">SUM(DQ33:DQ34)</f>
        <v>17466.2</v>
      </c>
      <c r="DR35" s="20">
        <f t="shared" si="885"/>
        <v>13918.18</v>
      </c>
      <c r="DS35" s="20">
        <f t="shared" ref="DS35:DT35" si="886">SUM(DS33:DS34)</f>
        <v>19586.75</v>
      </c>
      <c r="DT35" s="20">
        <f t="shared" si="886"/>
        <v>12846.75</v>
      </c>
      <c r="DU35" s="20">
        <f t="shared" ref="DU35:DV35" si="887">SUM(DU33:DU34)</f>
        <v>15815.59</v>
      </c>
      <c r="DV35" s="20">
        <f t="shared" si="887"/>
        <v>9176.0499999999993</v>
      </c>
      <c r="DW35" s="20">
        <f t="shared" ref="DW35:DX35" si="888">SUM(DW33:DW34)</f>
        <v>17103.91</v>
      </c>
      <c r="DX35" s="20">
        <f t="shared" si="888"/>
        <v>17212.73</v>
      </c>
      <c r="DY35" s="20">
        <f t="shared" ref="DY35:DZ35" si="889">SUM(DY33:DY34)</f>
        <v>21954.9</v>
      </c>
      <c r="DZ35" s="20">
        <f t="shared" si="889"/>
        <v>26505.45</v>
      </c>
      <c r="EA35" s="20">
        <f t="shared" ref="EA35:EB35" si="890">SUM(EA33:EA34)</f>
        <v>13157.45</v>
      </c>
      <c r="EB35" s="20">
        <f t="shared" si="890"/>
        <v>16300.2</v>
      </c>
      <c r="EC35" s="20">
        <f t="shared" ref="EC35:ED35" si="891">SUM(EC33:EC34)</f>
        <v>13800.5</v>
      </c>
      <c r="ED35" s="20">
        <f t="shared" si="891"/>
        <v>15705.55</v>
      </c>
      <c r="EE35" s="20">
        <f t="shared" ref="EE35:EF35" si="892">SUM(EE33:EE34)</f>
        <v>14369.099999999999</v>
      </c>
      <c r="EF35" s="20">
        <f t="shared" si="892"/>
        <v>16214.45</v>
      </c>
      <c r="EG35" s="20">
        <f t="shared" ref="EG35:EH35" si="893">SUM(EG33:EG34)</f>
        <v>15829.550000000001</v>
      </c>
      <c r="EH35" s="20">
        <f t="shared" si="893"/>
        <v>18877.7</v>
      </c>
      <c r="EI35" s="20">
        <f t="shared" ref="EI35:EJ35" si="894">SUM(EI33:EI34)</f>
        <v>16894.150000000001</v>
      </c>
      <c r="EJ35" s="20">
        <f t="shared" si="894"/>
        <v>15581.2</v>
      </c>
      <c r="EK35" s="20">
        <f t="shared" ref="EK35:EL35" si="895">SUM(EK33:EK34)</f>
        <v>16312.9</v>
      </c>
      <c r="EL35" s="20">
        <f t="shared" si="895"/>
        <v>21750.1</v>
      </c>
      <c r="EM35" s="20">
        <f t="shared" ref="EM35:EN35" si="896">SUM(EM33:EM34)</f>
        <v>17547.75</v>
      </c>
      <c r="EN35" s="20">
        <f t="shared" si="896"/>
        <v>18707.800000000003</v>
      </c>
      <c r="EO35" s="20">
        <f t="shared" ref="EO35:EP35" si="897">SUM(EO33:EO34)</f>
        <v>23364.95</v>
      </c>
      <c r="EP35" s="20">
        <f t="shared" si="897"/>
        <v>17779.120000000003</v>
      </c>
      <c r="EQ35" s="20">
        <f t="shared" ref="EQ35:ER35" si="898">SUM(EQ33:EQ34)</f>
        <v>16841.2</v>
      </c>
      <c r="ER35" s="20">
        <f t="shared" si="898"/>
        <v>15630.3</v>
      </c>
      <c r="ES35" s="20">
        <f t="shared" ref="ES35:ET35" si="899">SUM(ES33:ES34)</f>
        <v>15083.05</v>
      </c>
      <c r="ET35" s="20">
        <f t="shared" si="899"/>
        <v>16182.3</v>
      </c>
      <c r="EU35" s="20">
        <f t="shared" ref="EU35:EV35" si="900">SUM(EU33:EU34)</f>
        <v>19964.45</v>
      </c>
      <c r="EV35" s="20">
        <f t="shared" si="900"/>
        <v>12249.75</v>
      </c>
      <c r="EW35" s="20">
        <f t="shared" ref="EW35:EX35" si="901">SUM(EW33:EW34)</f>
        <v>17108.05</v>
      </c>
      <c r="EX35" s="20">
        <f t="shared" si="901"/>
        <v>20078.349999999999</v>
      </c>
      <c r="EY35" s="20">
        <f t="shared" ref="EY35:EZ35" si="902">SUM(EY33:EY34)</f>
        <v>23294.45</v>
      </c>
      <c r="EZ35" s="20">
        <f t="shared" si="902"/>
        <v>20381.849999999999</v>
      </c>
      <c r="FA35" s="20">
        <f t="shared" ref="FA35:FB35" si="903">SUM(FA33:FA34)</f>
        <v>15919.3</v>
      </c>
      <c r="FB35" s="20">
        <f t="shared" si="903"/>
        <v>18289.03</v>
      </c>
      <c r="FC35" s="20">
        <f t="shared" ref="FC35:FD35" si="904">SUM(FC33:FC34)</f>
        <v>19617.150000000001</v>
      </c>
      <c r="FD35" s="20">
        <f t="shared" si="904"/>
        <v>20304.349999999999</v>
      </c>
      <c r="FE35" s="20">
        <f t="shared" ref="FE35:FF35" si="905">SUM(FE33:FE34)</f>
        <v>20030.7</v>
      </c>
      <c r="FF35" s="20">
        <f t="shared" si="905"/>
        <v>23471.4</v>
      </c>
      <c r="FG35" s="20">
        <f t="shared" ref="FG35:FH35" si="906">SUM(FG33:FG34)</f>
        <v>21212.199999999997</v>
      </c>
      <c r="FH35" s="20">
        <f t="shared" si="906"/>
        <v>20481.25</v>
      </c>
      <c r="FI35" s="20">
        <f t="shared" ref="FI35:FJ35" si="907">SUM(FI33:FI34)</f>
        <v>14777.3</v>
      </c>
      <c r="FJ35" s="20">
        <f t="shared" si="907"/>
        <v>16036.15</v>
      </c>
      <c r="FK35" s="20">
        <f t="shared" ref="FK35:FL35" si="908">SUM(FK33:FK34)</f>
        <v>15318.1</v>
      </c>
      <c r="FL35" s="20">
        <f t="shared" si="908"/>
        <v>17106.849999999999</v>
      </c>
      <c r="FM35" s="20">
        <f t="shared" ref="FM35:FN35" si="909">SUM(FM33:FM34)</f>
        <v>15498.25</v>
      </c>
      <c r="FN35" s="20">
        <f t="shared" si="909"/>
        <v>17373.849999999999</v>
      </c>
      <c r="FO35" s="20">
        <f t="shared" ref="FO35:FP35" si="910">SUM(FO33:FO34)</f>
        <v>9700.0999999999985</v>
      </c>
      <c r="FP35" s="20">
        <f t="shared" si="910"/>
        <v>18866.95</v>
      </c>
      <c r="FQ35" s="20">
        <f t="shared" ref="FQ35:FR35" si="911">SUM(FQ33:FQ34)</f>
        <v>14709.45</v>
      </c>
      <c r="FR35" s="20">
        <f t="shared" si="911"/>
        <v>14216.35</v>
      </c>
      <c r="FS35" s="20">
        <f t="shared" ref="FS35:FT35" si="912">SUM(FS33:FS34)</f>
        <v>17207</v>
      </c>
      <c r="FT35" s="20">
        <f t="shared" si="912"/>
        <v>16055.800000000001</v>
      </c>
      <c r="FU35" s="20">
        <f t="shared" ref="FU35:FV35" si="913">SUM(FU33:FU34)</f>
        <v>16218.2</v>
      </c>
      <c r="FV35" s="20">
        <f t="shared" si="913"/>
        <v>17400</v>
      </c>
      <c r="FW35" s="20">
        <f t="shared" ref="FW35:FX35" si="914">SUM(FW33:FW34)</f>
        <v>17001.05</v>
      </c>
      <c r="FX35" s="20">
        <f t="shared" si="914"/>
        <v>14782.45</v>
      </c>
      <c r="FY35" s="20">
        <f t="shared" ref="FY35:FZ35" si="915">SUM(FY33:FY34)</f>
        <v>19201.400000000001</v>
      </c>
      <c r="FZ35" s="20">
        <f t="shared" si="915"/>
        <v>27362.67</v>
      </c>
      <c r="GA35" s="20">
        <f t="shared" ref="GA35:GB35" si="916">SUM(GA33:GA34)</f>
        <v>0</v>
      </c>
      <c r="GB35" s="20">
        <f t="shared" si="916"/>
        <v>0</v>
      </c>
      <c r="GC35" s="20">
        <f t="shared" ref="GC35:GD35" si="917">SUM(GC33:GC34)</f>
        <v>0</v>
      </c>
      <c r="GD35" s="20">
        <f t="shared" si="917"/>
        <v>0</v>
      </c>
      <c r="GE35" s="20">
        <f t="shared" ref="GE35:GF35" si="918">SUM(GE33:GE34)</f>
        <v>0</v>
      </c>
      <c r="GF35" s="20">
        <f t="shared" si="918"/>
        <v>0</v>
      </c>
      <c r="GG35" s="20">
        <f t="shared" ref="GG35:GH35" si="919">SUM(GG33:GG34)</f>
        <v>0</v>
      </c>
      <c r="GH35" s="20">
        <f t="shared" si="919"/>
        <v>0</v>
      </c>
      <c r="GI35" s="20">
        <f t="shared" ref="GI35:GJ35" si="920">SUM(GI33:GI34)</f>
        <v>0</v>
      </c>
      <c r="GJ35" s="20">
        <f t="shared" si="920"/>
        <v>0</v>
      </c>
      <c r="GK35" s="20">
        <f t="shared" ref="GK35:GL35" si="921">SUM(GK33:GK34)</f>
        <v>0</v>
      </c>
      <c r="GL35" s="20">
        <f t="shared" si="921"/>
        <v>12438.91</v>
      </c>
      <c r="GM35" s="20">
        <f t="shared" ref="GM35:GN35" si="922">SUM(GM33:GM34)</f>
        <v>25180.85</v>
      </c>
      <c r="GN35" s="20">
        <f t="shared" si="922"/>
        <v>21403.95</v>
      </c>
      <c r="GO35" s="20">
        <f t="shared" ref="GO35:GP35" si="923">SUM(GO33:GO34)</f>
        <v>18853.45</v>
      </c>
      <c r="GP35" s="20">
        <f t="shared" si="923"/>
        <v>21852.65</v>
      </c>
      <c r="GQ35" s="20">
        <f t="shared" ref="GQ35:GR35" si="924">SUM(GQ33:GQ34)</f>
        <v>24884.370000000003</v>
      </c>
      <c r="GR35" s="108">
        <f t="shared" si="924"/>
        <v>22788.35</v>
      </c>
      <c r="GS35" s="154">
        <f t="shared" ref="GS35" si="925">SUM(GS33+GS34)</f>
        <v>16841.2</v>
      </c>
      <c r="GT35" s="10" t="str">
        <f>B33</f>
        <v>QUEENS HEAD</v>
      </c>
      <c r="GU35" s="139" t="s">
        <v>398</v>
      </c>
      <c r="GV35" s="142">
        <f>DRY!AH42</f>
        <v>0.70650321880423295</v>
      </c>
      <c r="GW35" s="56">
        <f>AVERAGE(ES35:GR35)</f>
        <v>14421.193846153843</v>
      </c>
      <c r="GX35" s="56">
        <f>AVERAGE(FS35:GR35)</f>
        <v>11255.042307692309</v>
      </c>
      <c r="GY35" s="56">
        <f>AVERAGE(GF35:GR35)</f>
        <v>11338.656153846154</v>
      </c>
      <c r="GZ35" s="56">
        <f>AVERAGE(GN35:GR35)</f>
        <v>21956.554000000004</v>
      </c>
      <c r="HA35" s="56">
        <f>MAX(D35:GR35)</f>
        <v>27362.67</v>
      </c>
    </row>
    <row r="36" spans="1:209" s="2" customFormat="1" ht="15" customHeight="1" x14ac:dyDescent="0.3">
      <c r="A36" s="169"/>
      <c r="B36" s="35" t="s">
        <v>365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>
        <f t="shared" ref="AL36:BA36" si="926">SUM(AL35-AK35)</f>
        <v>16205.8</v>
      </c>
      <c r="AM36" s="37">
        <f t="shared" si="926"/>
        <v>7062.75</v>
      </c>
      <c r="AN36" s="37">
        <f t="shared" si="926"/>
        <v>-6209.3999999999978</v>
      </c>
      <c r="AO36" s="37">
        <f t="shared" si="926"/>
        <v>-683.65000000000146</v>
      </c>
      <c r="AP36" s="37">
        <f t="shared" si="926"/>
        <v>-6.8999999999996362</v>
      </c>
      <c r="AQ36" s="37">
        <f t="shared" si="926"/>
        <v>3755.3000000000011</v>
      </c>
      <c r="AR36" s="37">
        <f t="shared" si="926"/>
        <v>-5341</v>
      </c>
      <c r="AS36" s="37">
        <f t="shared" si="926"/>
        <v>1026.5999999999985</v>
      </c>
      <c r="AT36" s="37">
        <f t="shared" si="926"/>
        <v>5724.5999999999985</v>
      </c>
      <c r="AU36" s="37">
        <f t="shared" si="926"/>
        <v>-3110.5499999999993</v>
      </c>
      <c r="AV36" s="37">
        <f t="shared" si="926"/>
        <v>-4087.3499999999985</v>
      </c>
      <c r="AW36" s="37">
        <f t="shared" si="926"/>
        <v>2179.5499999999993</v>
      </c>
      <c r="AX36" s="37">
        <f t="shared" si="926"/>
        <v>-935.09999999999854</v>
      </c>
      <c r="AY36" s="37">
        <f t="shared" si="926"/>
        <v>5051.4499999999971</v>
      </c>
      <c r="AZ36" s="37">
        <f t="shared" si="926"/>
        <v>-6829.8999999999978</v>
      </c>
      <c r="BA36" s="37">
        <f t="shared" si="926"/>
        <v>1456.5499999999993</v>
      </c>
      <c r="BB36" s="37">
        <f>SUM(BB35-BA35)</f>
        <v>-1918.5999999999985</v>
      </c>
      <c r="BC36" s="37">
        <f t="shared" ref="BC36:CB36" si="927">SUM(BC35-BB35)</f>
        <v>716.84999999999854</v>
      </c>
      <c r="BD36" s="37">
        <f t="shared" si="927"/>
        <v>2827.75</v>
      </c>
      <c r="BE36" s="37">
        <f t="shared" si="927"/>
        <v>-281.5</v>
      </c>
      <c r="BF36" s="37">
        <f t="shared" si="927"/>
        <v>-799.75</v>
      </c>
      <c r="BG36" s="37">
        <f t="shared" si="927"/>
        <v>601.45000000000073</v>
      </c>
      <c r="BH36" s="37">
        <f t="shared" si="927"/>
        <v>2163.25</v>
      </c>
      <c r="BI36" s="37">
        <f t="shared" si="927"/>
        <v>-3458.4799999999996</v>
      </c>
      <c r="BJ36" s="37">
        <f t="shared" si="927"/>
        <v>-3311.4200000000019</v>
      </c>
      <c r="BK36" s="37">
        <f t="shared" si="927"/>
        <v>229.95000000000073</v>
      </c>
      <c r="BL36" s="37">
        <f t="shared" si="927"/>
        <v>-89.899999999999636</v>
      </c>
      <c r="BM36" s="37">
        <f t="shared" si="927"/>
        <v>1954.1999999999989</v>
      </c>
      <c r="BN36" s="37">
        <f t="shared" si="927"/>
        <v>-1639.0499999999993</v>
      </c>
      <c r="BO36" s="37">
        <f t="shared" si="927"/>
        <v>2291.9500000000007</v>
      </c>
      <c r="BP36" s="37">
        <f t="shared" si="927"/>
        <v>2104.5</v>
      </c>
      <c r="BQ36" s="37">
        <f t="shared" si="927"/>
        <v>-435.35000000000218</v>
      </c>
      <c r="BR36" s="37">
        <f t="shared" si="927"/>
        <v>3002.6500000000015</v>
      </c>
      <c r="BS36" s="37">
        <f t="shared" si="927"/>
        <v>-4927.1000000000004</v>
      </c>
      <c r="BT36" s="37">
        <f t="shared" si="927"/>
        <v>808.60000000000036</v>
      </c>
      <c r="BU36" s="37">
        <f t="shared" si="927"/>
        <v>-2230.8999999999996</v>
      </c>
      <c r="BV36" s="37">
        <f t="shared" si="927"/>
        <v>3379.9499999999989</v>
      </c>
      <c r="BW36" s="37">
        <f t="shared" si="927"/>
        <v>494.35000000000218</v>
      </c>
      <c r="BX36" s="37">
        <f t="shared" si="927"/>
        <v>1824.0999999999985</v>
      </c>
      <c r="BY36" s="37">
        <f t="shared" si="927"/>
        <v>2850.8499999999985</v>
      </c>
      <c r="BZ36" s="37">
        <f t="shared" si="927"/>
        <v>-7591.9499999999971</v>
      </c>
      <c r="CA36" s="37">
        <f t="shared" si="927"/>
        <v>-3249.9000000000015</v>
      </c>
      <c r="CB36" s="37">
        <f t="shared" si="927"/>
        <v>2521.25</v>
      </c>
      <c r="CC36" s="37">
        <f t="shared" ref="CC36:CJ36" si="928">SUM(CC35-CB35)</f>
        <v>151.39999999999964</v>
      </c>
      <c r="CD36" s="37">
        <f t="shared" si="928"/>
        <v>907.35000000000036</v>
      </c>
      <c r="CE36" s="37">
        <f t="shared" si="928"/>
        <v>944.25</v>
      </c>
      <c r="CF36" s="37">
        <f t="shared" si="928"/>
        <v>3305.3499999999985</v>
      </c>
      <c r="CG36" s="37">
        <f t="shared" si="928"/>
        <v>-5651.3999999999978</v>
      </c>
      <c r="CH36" s="37">
        <f t="shared" si="928"/>
        <v>2700.9499999999989</v>
      </c>
      <c r="CI36" s="37">
        <f t="shared" si="928"/>
        <v>4540.7999999999975</v>
      </c>
      <c r="CJ36" s="37">
        <f t="shared" si="928"/>
        <v>-2394.3999999999942</v>
      </c>
      <c r="CK36" s="37">
        <f t="shared" ref="CK36:CO36" si="929">SUM(CK35-CJ35)</f>
        <v>-192</v>
      </c>
      <c r="CL36" s="37">
        <f t="shared" si="929"/>
        <v>6420.4499999999971</v>
      </c>
      <c r="CM36" s="37">
        <f t="shared" si="929"/>
        <v>-2506.1500000000015</v>
      </c>
      <c r="CN36" s="37">
        <f t="shared" si="929"/>
        <v>-1795.1500000000015</v>
      </c>
      <c r="CO36" s="37">
        <f t="shared" si="929"/>
        <v>-2751.5999999999985</v>
      </c>
      <c r="CP36" s="37">
        <f t="shared" ref="CP36:DH36" si="930">SUM(CP35-CO35)</f>
        <v>2049.5500000000029</v>
      </c>
      <c r="CQ36" s="37">
        <f t="shared" si="930"/>
        <v>-1066</v>
      </c>
      <c r="CR36" s="37">
        <f t="shared" si="930"/>
        <v>3245.0499999999956</v>
      </c>
      <c r="CS36" s="37">
        <f t="shared" si="930"/>
        <v>-6148.3499999999967</v>
      </c>
      <c r="CT36" s="37">
        <f t="shared" si="930"/>
        <v>6784.2499999999982</v>
      </c>
      <c r="CU36" s="37">
        <f t="shared" si="930"/>
        <v>-529.36999999999534</v>
      </c>
      <c r="CV36" s="37">
        <f t="shared" si="930"/>
        <v>-4884.0300000000025</v>
      </c>
      <c r="CW36" s="37">
        <f t="shared" si="930"/>
        <v>4856.5499999999993</v>
      </c>
      <c r="CX36" s="37">
        <f t="shared" si="930"/>
        <v>-3123.8499999999985</v>
      </c>
      <c r="CY36" s="37">
        <f t="shared" si="930"/>
        <v>3544.4499999999971</v>
      </c>
      <c r="CZ36" s="37">
        <f t="shared" si="930"/>
        <v>-6588.6499999999978</v>
      </c>
      <c r="DA36" s="37">
        <f t="shared" si="930"/>
        <v>383.59999999999854</v>
      </c>
      <c r="DB36" s="37">
        <f t="shared" si="930"/>
        <v>-454.25</v>
      </c>
      <c r="DC36" s="37">
        <f t="shared" si="930"/>
        <v>2759.0499999999993</v>
      </c>
      <c r="DD36" s="37">
        <f t="shared" si="930"/>
        <v>-214.34999999999854</v>
      </c>
      <c r="DE36" s="37">
        <f t="shared" si="930"/>
        <v>2100.4499999999971</v>
      </c>
      <c r="DF36" s="37">
        <f t="shared" si="930"/>
        <v>-1116.5</v>
      </c>
      <c r="DG36" s="37">
        <f t="shared" si="930"/>
        <v>3489.5</v>
      </c>
      <c r="DH36" s="37">
        <f t="shared" si="930"/>
        <v>-622.09999999999854</v>
      </c>
      <c r="DI36" s="28">
        <f t="shared" ref="DI36" si="931">SUM(DI35-DH35)/DH35</f>
        <v>-0.28406151209786568</v>
      </c>
      <c r="DJ36" s="28">
        <f t="shared" ref="DJ36" si="932">SUM(DJ35-DI35)/DI35</f>
        <v>-0.12620088771987512</v>
      </c>
      <c r="DK36" s="28">
        <f t="shared" ref="DK36" si="933">SUM(DK35-DJ35)/DJ35</f>
        <v>0.16805761459328888</v>
      </c>
      <c r="DL36" s="28">
        <f t="shared" ref="DL36" si="934">SUM(DL35-DK35)/DK35</f>
        <v>0.11302387011564599</v>
      </c>
      <c r="DM36" s="28">
        <f t="shared" ref="DM36" si="935">SUM(DM35-DL35)/DL35</f>
        <v>-1.6453651929288368E-2</v>
      </c>
      <c r="DN36" s="28">
        <f t="shared" ref="DN36" si="936">SUM(DN35-DM35)/DM35</f>
        <v>-0.13273950875582269</v>
      </c>
      <c r="DO36" s="28">
        <f t="shared" ref="DO36" si="937">SUM(DO35-DN35)/DN35</f>
        <v>-1.7338373110931657E-2</v>
      </c>
      <c r="DP36" s="28">
        <f t="shared" ref="DP36" si="938">SUM(DP35-DO35)/DO35</f>
        <v>-0.24022139966575978</v>
      </c>
      <c r="DQ36" s="28">
        <f t="shared" ref="DQ36" si="939">SUM(DQ35-DP35)/DP35</f>
        <v>0.58754050381519829</v>
      </c>
      <c r="DR36" s="28">
        <f t="shared" ref="DR36" si="940">SUM(DR35-DQ35)/DQ35</f>
        <v>-0.20313634333741742</v>
      </c>
      <c r="DS36" s="28">
        <f t="shared" ref="DS36" si="941">SUM(DS35-DR35)/DR35</f>
        <v>0.40727810676395904</v>
      </c>
      <c r="DT36" s="28">
        <f t="shared" ref="DT36" si="942">SUM(DT35-DS35)/DS35</f>
        <v>-0.34411017652239395</v>
      </c>
      <c r="DU36" s="28">
        <f t="shared" ref="DU36" si="943">SUM(DU35-DT35)/DT35</f>
        <v>0.23109658084729601</v>
      </c>
      <c r="DV36" s="28">
        <f t="shared" ref="DV36" si="944">SUM(DV35-DU35)/DU35</f>
        <v>-0.41980982056312793</v>
      </c>
      <c r="DW36" s="28">
        <f t="shared" ref="DW36" si="945">SUM(DW35-DV35)/DV35</f>
        <v>0.86397306030372556</v>
      </c>
      <c r="DX36" s="28">
        <f t="shared" ref="DX36" si="946">SUM(DX35-DW35)/DW35</f>
        <v>6.3622879212998492E-3</v>
      </c>
      <c r="DY36" s="28">
        <f t="shared" ref="DY36" si="947">SUM(DY35-DX35)/DX35</f>
        <v>0.27550365340070992</v>
      </c>
      <c r="DZ36" s="28">
        <f t="shared" ref="DZ36" si="948">SUM(DZ35-DY35)/DY35</f>
        <v>0.20726808138502106</v>
      </c>
      <c r="EA36" s="28">
        <f t="shared" ref="EA36" si="949">SUM(EA35-DZ35)/DZ35</f>
        <v>-0.5035945437636411</v>
      </c>
      <c r="EB36" s="28">
        <f t="shared" ref="EB36" si="950">SUM(EB35-EA35)/EA35</f>
        <v>0.23885707336907985</v>
      </c>
      <c r="EC36" s="28">
        <f t="shared" ref="EC36" si="951">SUM(EC35-EB35)/EB35</f>
        <v>-0.15335394657734264</v>
      </c>
      <c r="ED36" s="28">
        <f t="shared" ref="ED36" si="952">SUM(ED35-EC35)/EC35</f>
        <v>0.13804209992391575</v>
      </c>
      <c r="EE36" s="28">
        <f t="shared" ref="EE36" si="953">SUM(EE35-ED35)/ED35</f>
        <v>-8.5094122778253595E-2</v>
      </c>
      <c r="EF36" s="28">
        <f t="shared" ref="EF36" si="954">SUM(EF35-EE35)/EE35</f>
        <v>0.12842488395237017</v>
      </c>
      <c r="EG36" s="28">
        <f t="shared" ref="EG36" si="955">SUM(EG35-EF35)/EF35</f>
        <v>-2.373808547314276E-2</v>
      </c>
      <c r="EH36" s="28">
        <f t="shared" ref="EH36" si="956">SUM(EH35-EG35)/EG35</f>
        <v>0.19256074872627454</v>
      </c>
      <c r="EI36" s="28">
        <f t="shared" ref="EI36" si="957">SUM(EI35-EH35)/EH35</f>
        <v>-0.10507371131017015</v>
      </c>
      <c r="EJ36" s="28">
        <f t="shared" ref="EJ36" si="958">SUM(EJ35-EI35)/EI35</f>
        <v>-7.7716250891580851E-2</v>
      </c>
      <c r="EK36" s="28">
        <f t="shared" ref="EK36" si="959">SUM(EK35-EJ35)/EJ35</f>
        <v>4.6960439504017591E-2</v>
      </c>
      <c r="EL36" s="28">
        <f t="shared" ref="EL36" si="960">SUM(EL35-EK35)/EK35</f>
        <v>0.3333067694891772</v>
      </c>
      <c r="EM36" s="28">
        <f t="shared" ref="EM36" si="961">SUM(EM35-EL35)/EL35</f>
        <v>-0.19321060592824854</v>
      </c>
      <c r="EN36" s="28">
        <f t="shared" ref="EN36" si="962">SUM(EN35-EM35)/EM35</f>
        <v>6.6108190508754855E-2</v>
      </c>
      <c r="EO36" s="28">
        <f t="shared" ref="EO36" si="963">SUM(EO35-EN35)/EN35</f>
        <v>0.24894161793476502</v>
      </c>
      <c r="EP36" s="28">
        <f t="shared" ref="EP36" si="964">SUM(EP35-EO35)/EO35</f>
        <v>-0.23906877609410668</v>
      </c>
      <c r="EQ36" s="28">
        <f t="shared" ref="EQ36" si="965">SUM(EQ35-EP35)/EP35</f>
        <v>-5.2754017071711186E-2</v>
      </c>
      <c r="ER36" s="28">
        <f t="shared" ref="ER36" si="966">SUM(ER35-EQ35)/EQ35</f>
        <v>-7.1901052181554848E-2</v>
      </c>
      <c r="ES36" s="28">
        <f t="shared" ref="ES36" si="967">SUM(ES35-ER35)/ER35</f>
        <v>-3.5012123887577337E-2</v>
      </c>
      <c r="ET36" s="28">
        <f t="shared" ref="ET36" si="968">SUM(ET35-ES35)/ES35</f>
        <v>7.2879822051905949E-2</v>
      </c>
      <c r="EU36" s="28">
        <f t="shared" ref="EU36" si="969">SUM(EU35-ET35)/ET35</f>
        <v>0.23372141166583252</v>
      </c>
      <c r="EV36" s="28">
        <f t="shared" ref="EV36" si="970">SUM(EV35-EU35)/EU35</f>
        <v>-0.38642186486479718</v>
      </c>
      <c r="EW36" s="28">
        <f t="shared" ref="EW36" si="971">SUM(EW35-EV35)/EV35</f>
        <v>0.39660401232678211</v>
      </c>
      <c r="EX36" s="28">
        <f t="shared" ref="EX36" si="972">SUM(EX35-EW35)/EW35</f>
        <v>0.17362002098427345</v>
      </c>
      <c r="EY36" s="28">
        <f t="shared" ref="EY36" si="973">SUM(EY35-EX35)/EX35</f>
        <v>0.16017750462562921</v>
      </c>
      <c r="EZ36" s="28">
        <f t="shared" ref="EZ36" si="974">SUM(EZ35-EY35)/EY35</f>
        <v>-0.12503407464009678</v>
      </c>
      <c r="FA36" s="28">
        <f t="shared" ref="FA36" si="975">SUM(FA35-EZ35)/EZ35</f>
        <v>-0.21894724963631856</v>
      </c>
      <c r="FB36" s="28">
        <f t="shared" ref="FB36" si="976">SUM(FB35-FA35)/FA35</f>
        <v>0.14885893223948288</v>
      </c>
      <c r="FC36" s="28">
        <f t="shared" ref="FC36" si="977">SUM(FC35-FB35)/FB35</f>
        <v>7.2618394742640952E-2</v>
      </c>
      <c r="FD36" s="28">
        <f t="shared" ref="FD36" si="978">SUM(FD35-FC35)/FC35</f>
        <v>3.503057273864945E-2</v>
      </c>
      <c r="FE36" s="28">
        <f t="shared" ref="FE36" si="979">SUM(FE35-FD35)/FD35</f>
        <v>-1.3477407550598657E-2</v>
      </c>
      <c r="FF36" s="28">
        <f t="shared" ref="FF36" si="980">SUM(FF35-FE35)/FE35</f>
        <v>0.17177133100690442</v>
      </c>
      <c r="FG36" s="28">
        <f t="shared" ref="FG36" si="981">SUM(FG35-FF35)/FF35</f>
        <v>-9.6253312542072658E-2</v>
      </c>
      <c r="FH36" s="28">
        <f t="shared" ref="FH36" si="982">SUM(FH35-FG35)/FG35</f>
        <v>-3.4458943438209953E-2</v>
      </c>
      <c r="FI36" s="28">
        <f t="shared" ref="FI36" si="983">SUM(FI35-FH35)/FH35</f>
        <v>-0.27849618553555083</v>
      </c>
      <c r="FJ36" s="28">
        <f t="shared" ref="FJ36" si="984">SUM(FJ35-FI35)/FI35</f>
        <v>8.5188092547353059E-2</v>
      </c>
      <c r="FK36" s="28">
        <f t="shared" ref="FK36" si="985">SUM(FK35-FJ35)/FJ35</f>
        <v>-4.4776957062636562E-2</v>
      </c>
      <c r="FL36" s="28">
        <f t="shared" ref="FL36" si="986">SUM(FL35-FK35)/FK35</f>
        <v>0.11677362074930951</v>
      </c>
      <c r="FM36" s="28">
        <f t="shared" ref="FM36:FZ36" si="987">SUM(FM35-FL35)/FL35</f>
        <v>-9.4032507445847638E-2</v>
      </c>
      <c r="FN36" s="28">
        <f t="shared" si="987"/>
        <v>0.12102011517429377</v>
      </c>
      <c r="FO36" s="28">
        <f t="shared" si="987"/>
        <v>-0.44168391001418805</v>
      </c>
      <c r="FP36" s="28">
        <f t="shared" si="987"/>
        <v>0.94502633993464025</v>
      </c>
      <c r="FQ36" s="28">
        <f t="shared" si="987"/>
        <v>-0.22035888153623134</v>
      </c>
      <c r="FR36" s="28">
        <f t="shared" si="987"/>
        <v>-3.3522667400888564E-2</v>
      </c>
      <c r="FS36" s="28">
        <f t="shared" si="987"/>
        <v>0.21036693666095724</v>
      </c>
      <c r="FT36" s="28">
        <f t="shared" si="987"/>
        <v>-6.6903004591154697E-2</v>
      </c>
      <c r="FU36" s="28">
        <f t="shared" si="987"/>
        <v>1.0114724896921961E-2</v>
      </c>
      <c r="FV36" s="28">
        <f t="shared" si="987"/>
        <v>7.2868752389290997E-2</v>
      </c>
      <c r="FW36" s="28">
        <f t="shared" si="987"/>
        <v>-2.2928160919540273E-2</v>
      </c>
      <c r="FX36" s="28">
        <f t="shared" si="987"/>
        <v>-0.13049782219333503</v>
      </c>
      <c r="FY36" s="28">
        <f t="shared" si="987"/>
        <v>0.29893217971310576</v>
      </c>
      <c r="FZ36" s="28">
        <f t="shared" si="987"/>
        <v>0.42503515368671013</v>
      </c>
      <c r="GA36" s="28"/>
      <c r="GB36" s="28"/>
      <c r="GC36" s="28"/>
      <c r="GD36" s="28"/>
      <c r="GE36" s="28"/>
      <c r="GF36" s="28"/>
      <c r="GG36" s="28"/>
      <c r="GH36" s="28"/>
      <c r="GI36" s="28"/>
      <c r="GJ36" s="28"/>
      <c r="GK36" s="28"/>
      <c r="GL36" s="28"/>
      <c r="GM36" s="28">
        <f t="shared" ref="GM36" si="988">(GM35-GL35)/GL35</f>
        <v>1.0243614593240082</v>
      </c>
      <c r="GN36" s="28">
        <f t="shared" ref="GN36" si="989">(GN35-GM35)/GM35</f>
        <v>-0.14999096535661019</v>
      </c>
      <c r="GO36" s="28">
        <f t="shared" ref="GO36:GR36" si="990">(GO35-GN35)/GN35</f>
        <v>-0.1191602484588125</v>
      </c>
      <c r="GP36" s="28">
        <f t="shared" si="990"/>
        <v>0.15907963794424895</v>
      </c>
      <c r="GQ36" s="28">
        <f t="shared" si="990"/>
        <v>0.13873466147126326</v>
      </c>
      <c r="GR36" s="165">
        <f t="shared" si="990"/>
        <v>-8.4230382364512496E-2</v>
      </c>
      <c r="GS36" s="157"/>
      <c r="GT36" s="11"/>
      <c r="GU36" s="95" t="s">
        <v>368</v>
      </c>
      <c r="GV36" s="143">
        <f>LABOUR!AG50</f>
        <v>0.34123508442069872</v>
      </c>
      <c r="GW36" s="58"/>
      <c r="GX36" s="58"/>
      <c r="GY36" s="58"/>
      <c r="GZ36" s="58"/>
      <c r="HA36" s="58"/>
    </row>
    <row r="37" spans="1:209" s="2" customFormat="1" ht="15" customHeight="1" x14ac:dyDescent="0.3">
      <c r="A37" s="169"/>
      <c r="B37" s="22" t="s">
        <v>91</v>
      </c>
      <c r="C37" s="23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>
        <f t="shared" ref="BD37" si="991">D35</f>
        <v>0</v>
      </c>
      <c r="BE37" s="25">
        <f t="shared" ref="BE37" si="992">E35</f>
        <v>0</v>
      </c>
      <c r="BF37" s="25">
        <f t="shared" ref="BF37" si="993">F35</f>
        <v>0</v>
      </c>
      <c r="BG37" s="25">
        <f t="shared" ref="BG37" si="994">G35</f>
        <v>0</v>
      </c>
      <c r="BH37" s="25">
        <f t="shared" ref="BH37" si="995">H35</f>
        <v>0</v>
      </c>
      <c r="BI37" s="25">
        <f t="shared" ref="BI37" si="996">I35</f>
        <v>0</v>
      </c>
      <c r="BJ37" s="25">
        <f t="shared" ref="BJ37" si="997">J35</f>
        <v>0</v>
      </c>
      <c r="BK37" s="25">
        <f t="shared" ref="BK37" si="998">K35</f>
        <v>0</v>
      </c>
      <c r="BL37" s="25">
        <f t="shared" ref="BL37" si="999">L35</f>
        <v>0</v>
      </c>
      <c r="BM37" s="25">
        <f t="shared" ref="BM37" si="1000">M35</f>
        <v>0</v>
      </c>
      <c r="BN37" s="25">
        <f t="shared" ref="BN37" si="1001">N35</f>
        <v>0</v>
      </c>
      <c r="BO37" s="25">
        <f t="shared" ref="BO37" si="1002">O35</f>
        <v>0</v>
      </c>
      <c r="BP37" s="25">
        <f t="shared" ref="BP37" si="1003">P35</f>
        <v>0</v>
      </c>
      <c r="BQ37" s="25">
        <f t="shared" ref="BQ37" si="1004">Q35</f>
        <v>0</v>
      </c>
      <c r="BR37" s="25">
        <f t="shared" ref="BR37" si="1005">R35</f>
        <v>0</v>
      </c>
      <c r="BS37" s="25">
        <f t="shared" ref="BS37" si="1006">S35</f>
        <v>0</v>
      </c>
      <c r="BT37" s="25">
        <f t="shared" ref="BT37" si="1007">T35</f>
        <v>0</v>
      </c>
      <c r="BU37" s="25">
        <f t="shared" ref="BU37" si="1008">U35</f>
        <v>0</v>
      </c>
      <c r="BV37" s="25">
        <f t="shared" ref="BV37" si="1009">V35</f>
        <v>0</v>
      </c>
      <c r="BW37" s="25">
        <f t="shared" ref="BW37" si="1010">W35</f>
        <v>0</v>
      </c>
      <c r="BX37" s="25">
        <f t="shared" ref="BX37" si="1011">X35</f>
        <v>0</v>
      </c>
      <c r="BY37" s="25">
        <f t="shared" ref="BY37" si="1012">Y35</f>
        <v>0</v>
      </c>
      <c r="BZ37" s="25">
        <f t="shared" ref="BZ37" si="1013">Z35</f>
        <v>0</v>
      </c>
      <c r="CA37" s="25">
        <f t="shared" ref="CA37" si="1014">AA35</f>
        <v>0</v>
      </c>
      <c r="CB37" s="25">
        <f t="shared" ref="CB37" si="1015">AB35</f>
        <v>0</v>
      </c>
      <c r="CC37" s="25">
        <f t="shared" ref="CC37" si="1016">AC35</f>
        <v>0</v>
      </c>
      <c r="CD37" s="25">
        <f t="shared" ref="CD37" si="1017">AD35</f>
        <v>0</v>
      </c>
      <c r="CE37" s="25">
        <f t="shared" ref="CE37" si="1018">AE35</f>
        <v>0</v>
      </c>
      <c r="CF37" s="25">
        <f t="shared" ref="CF37" si="1019">AF35</f>
        <v>0</v>
      </c>
      <c r="CG37" s="25">
        <f t="shared" ref="CG37" si="1020">AG35</f>
        <v>0</v>
      </c>
      <c r="CH37" s="25">
        <f t="shared" ref="CH37" si="1021">AH35</f>
        <v>0</v>
      </c>
      <c r="CI37" s="25">
        <f t="shared" ref="CI37" si="1022">AI35</f>
        <v>0</v>
      </c>
      <c r="CJ37" s="25">
        <f t="shared" ref="CJ37" si="1023">AJ35</f>
        <v>0</v>
      </c>
      <c r="CK37" s="25">
        <f t="shared" ref="CK37" si="1024">AK35</f>
        <v>0</v>
      </c>
      <c r="CL37" s="25">
        <f t="shared" ref="CL37" si="1025">AL35</f>
        <v>16205.8</v>
      </c>
      <c r="CM37" s="25">
        <f t="shared" ref="CM37" si="1026">AM35</f>
        <v>23268.55</v>
      </c>
      <c r="CN37" s="25">
        <f t="shared" ref="CN37" si="1027">AN35</f>
        <v>17059.150000000001</v>
      </c>
      <c r="CO37" s="25">
        <f t="shared" ref="CO37" si="1028">AO35</f>
        <v>16375.5</v>
      </c>
      <c r="CP37" s="25">
        <f t="shared" ref="CP37" si="1029">AP35</f>
        <v>16368.6</v>
      </c>
      <c r="CQ37" s="25">
        <f t="shared" ref="CQ37" si="1030">AQ35</f>
        <v>20123.900000000001</v>
      </c>
      <c r="CR37" s="25">
        <f t="shared" ref="CR37" si="1031">AR35</f>
        <v>14782.900000000001</v>
      </c>
      <c r="CS37" s="25">
        <f t="shared" ref="CS37" si="1032">AS35</f>
        <v>15809.5</v>
      </c>
      <c r="CT37" s="25">
        <f t="shared" ref="CT37" si="1033">AT35</f>
        <v>21534.1</v>
      </c>
      <c r="CU37" s="25">
        <f t="shared" ref="CU37" si="1034">AU35</f>
        <v>18423.55</v>
      </c>
      <c r="CV37" s="25">
        <f t="shared" ref="CV37" si="1035">AV35</f>
        <v>14336.2</v>
      </c>
      <c r="CW37" s="25">
        <f t="shared" ref="CW37" si="1036">AW35</f>
        <v>16515.75</v>
      </c>
      <c r="CX37" s="25">
        <f t="shared" ref="CX37" si="1037">AX35</f>
        <v>15580.650000000001</v>
      </c>
      <c r="CY37" s="25">
        <f t="shared" ref="CY37" si="1038">AY35</f>
        <v>20632.099999999999</v>
      </c>
      <c r="CZ37" s="25">
        <f t="shared" ref="CZ37" si="1039">AZ35</f>
        <v>13802.2</v>
      </c>
      <c r="DA37" s="25">
        <f t="shared" ref="DA37" si="1040">BA35</f>
        <v>15258.75</v>
      </c>
      <c r="DB37" s="25">
        <f t="shared" ref="DB37" si="1041">BB35</f>
        <v>13340.150000000001</v>
      </c>
      <c r="DC37" s="25">
        <f t="shared" ref="DC37" si="1042">BC35</f>
        <v>14057</v>
      </c>
      <c r="DD37" s="25">
        <f t="shared" ref="DD37" si="1043">BD35</f>
        <v>16884.75</v>
      </c>
      <c r="DE37" s="25">
        <f t="shared" ref="DE37" si="1044">BE35</f>
        <v>16603.25</v>
      </c>
      <c r="DF37" s="25">
        <f t="shared" ref="DF37" si="1045">BF35</f>
        <v>15803.5</v>
      </c>
      <c r="DG37" s="25">
        <f t="shared" ref="DG37" si="1046">BG35</f>
        <v>16404.95</v>
      </c>
      <c r="DH37" s="25">
        <f t="shared" ref="DH37" si="1047">BH35</f>
        <v>18568.2</v>
      </c>
      <c r="DI37" s="25">
        <f t="shared" ref="DI37" si="1048">BI35</f>
        <v>15109.720000000001</v>
      </c>
      <c r="DJ37" s="25">
        <f t="shared" ref="DJ37" si="1049">BJ35</f>
        <v>11798.3</v>
      </c>
      <c r="DK37" s="25">
        <f t="shared" ref="DK37" si="1050">BK35</f>
        <v>12028.25</v>
      </c>
      <c r="DL37" s="25">
        <f t="shared" ref="DL37" si="1051">BL35</f>
        <v>11938.35</v>
      </c>
      <c r="DM37" s="25">
        <f t="shared" ref="DM37" si="1052">BM35</f>
        <v>13892.55</v>
      </c>
      <c r="DN37" s="25">
        <f t="shared" ref="DN37" si="1053">BN35</f>
        <v>12253.5</v>
      </c>
      <c r="DO37" s="25">
        <f t="shared" ref="DO37" si="1054">BO35</f>
        <v>14545.45</v>
      </c>
      <c r="DP37" s="25">
        <f t="shared" ref="DP37" si="1055">BP35</f>
        <v>16649.95</v>
      </c>
      <c r="DQ37" s="25">
        <f t="shared" ref="DQ37" si="1056">BQ35</f>
        <v>16214.599999999999</v>
      </c>
      <c r="DR37" s="25">
        <f t="shared" ref="DR37" si="1057">BR35</f>
        <v>19217.25</v>
      </c>
      <c r="DS37" s="25">
        <f t="shared" ref="DS37" si="1058">BS35</f>
        <v>14290.15</v>
      </c>
      <c r="DT37" s="25">
        <f t="shared" ref="DT37" si="1059">BT35</f>
        <v>15098.75</v>
      </c>
      <c r="DU37" s="25">
        <f t="shared" ref="DU37" si="1060">BU35</f>
        <v>12867.85</v>
      </c>
      <c r="DV37" s="25">
        <f t="shared" ref="DV37" si="1061">BV35</f>
        <v>16247.8</v>
      </c>
      <c r="DW37" s="25">
        <f t="shared" ref="DW37:GI37" si="1062">BW35</f>
        <v>16742.150000000001</v>
      </c>
      <c r="DX37" s="25">
        <f t="shared" si="1062"/>
        <v>18566.25</v>
      </c>
      <c r="DY37" s="25">
        <f t="shared" si="1062"/>
        <v>21417.1</v>
      </c>
      <c r="DZ37" s="25">
        <f t="shared" si="1062"/>
        <v>13825.150000000001</v>
      </c>
      <c r="EA37" s="25">
        <f t="shared" si="1062"/>
        <v>10575.25</v>
      </c>
      <c r="EB37" s="25">
        <f t="shared" si="1062"/>
        <v>13096.5</v>
      </c>
      <c r="EC37" s="25">
        <f t="shared" si="1062"/>
        <v>13247.9</v>
      </c>
      <c r="ED37" s="25">
        <f t="shared" si="1062"/>
        <v>14155.25</v>
      </c>
      <c r="EE37" s="25">
        <f t="shared" si="1062"/>
        <v>15099.5</v>
      </c>
      <c r="EF37" s="25">
        <f t="shared" si="1062"/>
        <v>18404.849999999999</v>
      </c>
      <c r="EG37" s="25">
        <f t="shared" si="1062"/>
        <v>12753.45</v>
      </c>
      <c r="EH37" s="25">
        <f t="shared" si="1062"/>
        <v>15454.4</v>
      </c>
      <c r="EI37" s="25">
        <f t="shared" si="1062"/>
        <v>19995.199999999997</v>
      </c>
      <c r="EJ37" s="25">
        <f t="shared" si="1062"/>
        <v>17600.800000000003</v>
      </c>
      <c r="EK37" s="25">
        <f t="shared" si="1062"/>
        <v>17408.800000000003</v>
      </c>
      <c r="EL37" s="25">
        <f t="shared" si="1062"/>
        <v>23829.25</v>
      </c>
      <c r="EM37" s="25">
        <f t="shared" si="1062"/>
        <v>21323.1</v>
      </c>
      <c r="EN37" s="25">
        <f t="shared" si="1062"/>
        <v>19527.949999999997</v>
      </c>
      <c r="EO37" s="25">
        <f t="shared" si="1062"/>
        <v>16776.349999999999</v>
      </c>
      <c r="EP37" s="25">
        <f t="shared" si="1062"/>
        <v>18825.900000000001</v>
      </c>
      <c r="EQ37" s="25">
        <f t="shared" si="1062"/>
        <v>17759.900000000001</v>
      </c>
      <c r="ER37" s="25">
        <f t="shared" si="1062"/>
        <v>21004.949999999997</v>
      </c>
      <c r="ES37" s="25">
        <f t="shared" si="1062"/>
        <v>14856.6</v>
      </c>
      <c r="ET37" s="25">
        <f t="shared" si="1062"/>
        <v>21640.85</v>
      </c>
      <c r="EU37" s="25">
        <f t="shared" si="1062"/>
        <v>21111.480000000003</v>
      </c>
      <c r="EV37" s="25">
        <f t="shared" si="1062"/>
        <v>16227.45</v>
      </c>
      <c r="EW37" s="25">
        <f t="shared" si="1062"/>
        <v>21084</v>
      </c>
      <c r="EX37" s="25">
        <f t="shared" si="1062"/>
        <v>17960.150000000001</v>
      </c>
      <c r="EY37" s="25">
        <f t="shared" si="1062"/>
        <v>21504.6</v>
      </c>
      <c r="EZ37" s="25">
        <f t="shared" si="1062"/>
        <v>14915.95</v>
      </c>
      <c r="FA37" s="25">
        <f t="shared" si="1062"/>
        <v>15299.55</v>
      </c>
      <c r="FB37" s="25">
        <f t="shared" si="1062"/>
        <v>14845.3</v>
      </c>
      <c r="FC37" s="25">
        <f t="shared" si="1062"/>
        <v>17604.349999999999</v>
      </c>
      <c r="FD37" s="25">
        <f t="shared" si="1062"/>
        <v>17390</v>
      </c>
      <c r="FE37" s="25">
        <f t="shared" si="1062"/>
        <v>19490.449999999997</v>
      </c>
      <c r="FF37" s="25">
        <f t="shared" si="1062"/>
        <v>18373.949999999997</v>
      </c>
      <c r="FG37" s="25">
        <f t="shared" si="1062"/>
        <v>21863.449999999997</v>
      </c>
      <c r="FH37" s="25">
        <f t="shared" si="1062"/>
        <v>21241.35</v>
      </c>
      <c r="FI37" s="25">
        <f t="shared" si="1062"/>
        <v>15207.5</v>
      </c>
      <c r="FJ37" s="25">
        <f t="shared" si="1062"/>
        <v>13288.3</v>
      </c>
      <c r="FK37" s="25">
        <f t="shared" si="1062"/>
        <v>15521.5</v>
      </c>
      <c r="FL37" s="25">
        <f t="shared" si="1062"/>
        <v>17275.8</v>
      </c>
      <c r="FM37" s="25">
        <f t="shared" si="1062"/>
        <v>16991.55</v>
      </c>
      <c r="FN37" s="25">
        <f t="shared" si="1062"/>
        <v>14736.1</v>
      </c>
      <c r="FO37" s="25">
        <f t="shared" si="1062"/>
        <v>14480.6</v>
      </c>
      <c r="FP37" s="25">
        <f t="shared" si="1062"/>
        <v>11002.05</v>
      </c>
      <c r="FQ37" s="25">
        <f t="shared" si="1062"/>
        <v>17466.2</v>
      </c>
      <c r="FR37" s="25">
        <f t="shared" si="1062"/>
        <v>13918.18</v>
      </c>
      <c r="FS37" s="25">
        <f t="shared" si="1062"/>
        <v>19586.75</v>
      </c>
      <c r="FT37" s="25">
        <f t="shared" si="1062"/>
        <v>12846.75</v>
      </c>
      <c r="FU37" s="25">
        <f t="shared" si="1062"/>
        <v>15815.59</v>
      </c>
      <c r="FV37" s="25">
        <f t="shared" si="1062"/>
        <v>9176.0499999999993</v>
      </c>
      <c r="FW37" s="25">
        <f t="shared" si="1062"/>
        <v>17103.91</v>
      </c>
      <c r="FX37" s="25">
        <f t="shared" si="1062"/>
        <v>17212.73</v>
      </c>
      <c r="FY37" s="25">
        <f t="shared" si="1062"/>
        <v>21954.9</v>
      </c>
      <c r="FZ37" s="25">
        <f t="shared" si="1062"/>
        <v>26505.45</v>
      </c>
      <c r="GA37" s="25">
        <f t="shared" si="1062"/>
        <v>13157.45</v>
      </c>
      <c r="GB37" s="25">
        <f t="shared" si="1062"/>
        <v>16300.2</v>
      </c>
      <c r="GC37" s="25">
        <f t="shared" si="1062"/>
        <v>13800.5</v>
      </c>
      <c r="GD37" s="25">
        <f t="shared" si="1062"/>
        <v>15705.55</v>
      </c>
      <c r="GE37" s="25">
        <f t="shared" si="1062"/>
        <v>14369.099999999999</v>
      </c>
      <c r="GF37" s="25">
        <f t="shared" si="1062"/>
        <v>16214.45</v>
      </c>
      <c r="GG37" s="25">
        <f t="shared" si="1062"/>
        <v>15829.550000000001</v>
      </c>
      <c r="GH37" s="25">
        <f t="shared" si="1062"/>
        <v>18877.7</v>
      </c>
      <c r="GI37" s="25">
        <f t="shared" si="1062"/>
        <v>16894.150000000001</v>
      </c>
      <c r="GJ37" s="25">
        <f>EJ35</f>
        <v>15581.2</v>
      </c>
      <c r="GK37" s="25">
        <f>EK35</f>
        <v>16312.9</v>
      </c>
      <c r="GL37" s="25">
        <f>EL35</f>
        <v>21750.1</v>
      </c>
      <c r="GM37" s="25">
        <f t="shared" ref="GM37:GR37" si="1063">EL35</f>
        <v>21750.1</v>
      </c>
      <c r="GN37" s="25">
        <f t="shared" si="1063"/>
        <v>17547.75</v>
      </c>
      <c r="GO37" s="25">
        <f t="shared" si="1063"/>
        <v>18707.800000000003</v>
      </c>
      <c r="GP37" s="25">
        <f t="shared" si="1063"/>
        <v>23364.95</v>
      </c>
      <c r="GQ37" s="25">
        <f t="shared" si="1063"/>
        <v>17779.120000000003</v>
      </c>
      <c r="GR37" s="164">
        <f t="shared" si="1063"/>
        <v>16841.2</v>
      </c>
      <c r="GS37" s="157"/>
      <c r="GT37" s="3" t="s">
        <v>91</v>
      </c>
      <c r="GU37" s="11"/>
      <c r="GV37" s="11"/>
      <c r="GW37" s="58"/>
      <c r="GX37" s="58"/>
      <c r="GY37" s="58"/>
      <c r="GZ37" s="58"/>
      <c r="HA37" s="58"/>
    </row>
    <row r="38" spans="1:209" s="2" customFormat="1" ht="15" customHeight="1" x14ac:dyDescent="0.3">
      <c r="A38" s="169"/>
      <c r="B38" s="26" t="s">
        <v>366</v>
      </c>
      <c r="C38" s="27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>
        <f>IFERROR(((BY35-BY37)/BY37),0)</f>
        <v>0</v>
      </c>
      <c r="BZ38" s="28">
        <f t="shared" ref="BZ38:CJ38" si="1064">IFERROR(((BZ35-BZ37)/BZ37),0)</f>
        <v>0</v>
      </c>
      <c r="CA38" s="28">
        <f t="shared" si="1064"/>
        <v>0</v>
      </c>
      <c r="CB38" s="28">
        <f t="shared" si="1064"/>
        <v>0</v>
      </c>
      <c r="CC38" s="28">
        <f t="shared" si="1064"/>
        <v>0</v>
      </c>
      <c r="CD38" s="28">
        <f t="shared" si="1064"/>
        <v>0</v>
      </c>
      <c r="CE38" s="28">
        <f t="shared" si="1064"/>
        <v>0</v>
      </c>
      <c r="CF38" s="28">
        <f t="shared" si="1064"/>
        <v>0</v>
      </c>
      <c r="CG38" s="28">
        <f t="shared" si="1064"/>
        <v>0</v>
      </c>
      <c r="CH38" s="28">
        <f t="shared" si="1064"/>
        <v>0</v>
      </c>
      <c r="CI38" s="28">
        <f t="shared" si="1064"/>
        <v>0</v>
      </c>
      <c r="CJ38" s="28">
        <f t="shared" si="1064"/>
        <v>0</v>
      </c>
      <c r="CK38" s="28">
        <f t="shared" ref="CK38:CZ38" si="1065">IFERROR(((CK35-CK37)/CK37),0)</f>
        <v>0</v>
      </c>
      <c r="CL38" s="28">
        <f t="shared" si="1065"/>
        <v>0.47041491317923217</v>
      </c>
      <c r="CM38" s="28">
        <f t="shared" si="1065"/>
        <v>-8.3608561771146062E-2</v>
      </c>
      <c r="CN38" s="28">
        <f t="shared" si="1065"/>
        <v>0.14471998897952099</v>
      </c>
      <c r="CO38" s="28">
        <f t="shared" si="1065"/>
        <v>2.447864187353049E-2</v>
      </c>
      <c r="CP38" s="28">
        <f t="shared" si="1065"/>
        <v>0.15012279608518755</v>
      </c>
      <c r="CQ38" s="28">
        <f t="shared" si="1065"/>
        <v>-0.11747225935330625</v>
      </c>
      <c r="CR38" s="28">
        <f t="shared" si="1065"/>
        <v>0.42089508824384897</v>
      </c>
      <c r="CS38" s="28">
        <f t="shared" si="1065"/>
        <v>-6.0273885954647499E-2</v>
      </c>
      <c r="CT38" s="28">
        <f t="shared" si="1065"/>
        <v>4.9572538439033908E-3</v>
      </c>
      <c r="CU38" s="28">
        <f t="shared" si="1065"/>
        <v>0.14589642061383415</v>
      </c>
      <c r="CV38" s="28">
        <f t="shared" si="1065"/>
        <v>0.13192129016057252</v>
      </c>
      <c r="CW38" s="28">
        <f t="shared" si="1065"/>
        <v>0.27659960946369377</v>
      </c>
      <c r="CX38" s="28">
        <f t="shared" si="1065"/>
        <v>0.15272148466206478</v>
      </c>
      <c r="CY38" s="28">
        <f t="shared" si="1065"/>
        <v>4.2288472816630403E-2</v>
      </c>
      <c r="CZ38" s="28">
        <f t="shared" si="1065"/>
        <v>8.069365753285708E-2</v>
      </c>
      <c r="DA38" s="28">
        <f t="shared" ref="DA38:DB38" si="1066">IFERROR(((DA35-DA37)/DA37),0)</f>
        <v>2.6738756451216037E-3</v>
      </c>
      <c r="DB38" s="28">
        <f t="shared" si="1066"/>
        <v>0.11282856639543017</v>
      </c>
      <c r="DC38" s="28">
        <f t="shared" ref="DC38:DD38" si="1067">IFERROR(((DC35-DC37)/DC37),0)</f>
        <v>0.25235469872661298</v>
      </c>
      <c r="DD38" s="28">
        <f t="shared" si="1067"/>
        <v>2.9923451635351428E-2</v>
      </c>
      <c r="DE38" s="28">
        <f t="shared" ref="DE38:DF38" si="1068">IFERROR(((DE35-DE37)/DE37),0)</f>
        <v>0.17389366539683479</v>
      </c>
      <c r="DF38" s="28">
        <f t="shared" si="1068"/>
        <v>0.16265067864713495</v>
      </c>
      <c r="DG38" s="28">
        <f t="shared" ref="DG38:DH38" si="1069">IFERROR(((DG35-DG37)/DG37),0)</f>
        <v>0.33273493671117538</v>
      </c>
      <c r="DH38" s="28">
        <f t="shared" si="1069"/>
        <v>0.14396387371958497</v>
      </c>
      <c r="DI38" s="28">
        <f t="shared" ref="DI38:DJ38" si="1070">IFERROR(((DI35-DI37)/DI37),0)</f>
        <v>6.4713310372395269E-3</v>
      </c>
      <c r="DJ38" s="28">
        <f t="shared" si="1070"/>
        <v>0.12628938067348686</v>
      </c>
      <c r="DK38" s="28">
        <f t="shared" ref="DK38:DL38" si="1071">IFERROR(((DK35-DK37)/DK37),0)</f>
        <v>0.29042046848045228</v>
      </c>
      <c r="DL38" s="28">
        <f t="shared" si="1071"/>
        <v>0.44708439608488598</v>
      </c>
      <c r="DM38" s="28">
        <f t="shared" ref="DM38:DN38" si="1072">IFERROR(((DM35-DM37)/DM37),0)</f>
        <v>0.22306919895915439</v>
      </c>
      <c r="DN38" s="28">
        <f t="shared" si="1072"/>
        <v>0.20260333782184686</v>
      </c>
      <c r="DO38" s="28">
        <f t="shared" ref="DO38:DP38" si="1073">IFERROR(((DO35-DO37)/DO37),0)</f>
        <v>-4.458438893262179E-3</v>
      </c>
      <c r="DP38" s="28">
        <f t="shared" si="1073"/>
        <v>-0.33921423187457028</v>
      </c>
      <c r="DQ38" s="28">
        <f t="shared" ref="DQ38:DR38" si="1074">IFERROR(((DQ35-DQ37)/DQ37),0)</f>
        <v>7.7189693239426344E-2</v>
      </c>
      <c r="DR38" s="28">
        <f t="shared" si="1074"/>
        <v>-0.2757454890788224</v>
      </c>
      <c r="DS38" s="28">
        <f t="shared" ref="DS38:DT38" si="1075">IFERROR(((DS35-DS37)/DS37),0)</f>
        <v>0.3706469141331617</v>
      </c>
      <c r="DT38" s="28">
        <f t="shared" si="1075"/>
        <v>-0.14915141981952149</v>
      </c>
      <c r="DU38" s="28">
        <f t="shared" ref="DU38:DV38" si="1076">IFERROR(((DU35-DU37)/DU37),0)</f>
        <v>0.22907789568575945</v>
      </c>
      <c r="DV38" s="28">
        <f t="shared" si="1076"/>
        <v>-0.43524354066396681</v>
      </c>
      <c r="DW38" s="28">
        <f t="shared" ref="DW38:DX38" si="1077">IFERROR(((DW35-DW37)/DW37),0)</f>
        <v>2.1607738552097452E-2</v>
      </c>
      <c r="DX38" s="28">
        <f t="shared" si="1077"/>
        <v>-7.2902174644852921E-2</v>
      </c>
      <c r="DY38" s="28">
        <f t="shared" ref="DY38:DZ38" si="1078">IFERROR(((DY35-DY37)/DY37),0)</f>
        <v>2.5110775968735399E-2</v>
      </c>
      <c r="DZ38" s="28">
        <f t="shared" si="1078"/>
        <v>0.91719077189035914</v>
      </c>
      <c r="EA38" s="28">
        <f t="shared" ref="EA38:EB38" si="1079">IFERROR(((EA35-EA37)/EA37),0)</f>
        <v>0.24417389659818925</v>
      </c>
      <c r="EB38" s="28">
        <f t="shared" si="1079"/>
        <v>0.2446226090940328</v>
      </c>
      <c r="EC38" s="28">
        <f t="shared" ref="EC38:ED38" si="1080">IFERROR(((EC35-EC37)/EC37),0)</f>
        <v>4.1712271378860077E-2</v>
      </c>
      <c r="ED38" s="28">
        <f t="shared" si="1080"/>
        <v>0.10952120238074207</v>
      </c>
      <c r="EE38" s="28">
        <f t="shared" ref="EE38:EF38" si="1081">IFERROR(((EE35-EE37)/EE37),0)</f>
        <v>-4.8372462664326731E-2</v>
      </c>
      <c r="EF38" s="28">
        <f t="shared" si="1081"/>
        <v>-0.11901210822147412</v>
      </c>
      <c r="EG38" s="28">
        <f t="shared" ref="EG38:EH38" si="1082">IFERROR(((EG35-EG37)/EG37),0)</f>
        <v>0.24119747989759635</v>
      </c>
      <c r="EH38" s="28">
        <f t="shared" si="1082"/>
        <v>0.22150973185629991</v>
      </c>
      <c r="EI38" s="28">
        <f t="shared" ref="EI38:EJ38" si="1083">IFERROR(((EI35-EI37)/EI37),0)</f>
        <v>-0.15508972153316777</v>
      </c>
      <c r="EJ38" s="28">
        <f t="shared" si="1083"/>
        <v>-0.1147447843279852</v>
      </c>
      <c r="EK38" s="28">
        <f t="shared" ref="EK38:EL38" si="1084">IFERROR(((EK35-EK37)/EK37),0)</f>
        <v>-6.2950921373098837E-2</v>
      </c>
      <c r="EL38" s="28">
        <f t="shared" si="1084"/>
        <v>-8.7252011708299729E-2</v>
      </c>
      <c r="EM38" s="28">
        <f t="shared" ref="EM38:EN38" si="1085">IFERROR(((EM35-EM37)/EM37),0)</f>
        <v>-0.17705446206227043</v>
      </c>
      <c r="EN38" s="28">
        <f t="shared" si="1085"/>
        <v>-4.1998776113211796E-2</v>
      </c>
      <c r="EO38" s="28">
        <f t="shared" ref="EO38:EP38" si="1086">IFERROR(((EO35-EO37)/EO37),0)</f>
        <v>0.39273143443001624</v>
      </c>
      <c r="EP38" s="28">
        <f t="shared" si="1086"/>
        <v>-5.5603184973892286E-2</v>
      </c>
      <c r="EQ38" s="28">
        <f t="shared" ref="EQ38:ER38" si="1087">IFERROR(((EQ35-EQ37)/EQ37),0)</f>
        <v>-5.1728894869903584E-2</v>
      </c>
      <c r="ER38" s="28">
        <f t="shared" si="1087"/>
        <v>-0.25587540079838317</v>
      </c>
      <c r="ES38" s="28">
        <f t="shared" ref="ES38:ET38" si="1088">IFERROR(((ES35-ES37)/ES37),0)</f>
        <v>1.5242383856333138E-2</v>
      </c>
      <c r="ET38" s="28">
        <f t="shared" si="1088"/>
        <v>-0.25223362298615809</v>
      </c>
      <c r="EU38" s="28">
        <f t="shared" ref="EU38:EV38" si="1089">IFERROR(((EU35-EU37)/EU37),0)</f>
        <v>-5.4332050618905087E-2</v>
      </c>
      <c r="EV38" s="28">
        <f t="shared" si="1089"/>
        <v>-0.24512169194790312</v>
      </c>
      <c r="EW38" s="28">
        <f t="shared" ref="EW38:EX38" si="1090">IFERROR(((EW35-EW37)/EW37),0)</f>
        <v>-0.18857664579776137</v>
      </c>
      <c r="EX38" s="28">
        <f t="shared" si="1090"/>
        <v>0.11793888135678136</v>
      </c>
      <c r="EY38" s="28">
        <f t="shared" ref="EY38:EZ38" si="1091">IFERROR(((EY35-EY37)/EY37),0)</f>
        <v>8.3231029640170123E-2</v>
      </c>
      <c r="EZ38" s="28">
        <f t="shared" si="1091"/>
        <v>0.36644665609632626</v>
      </c>
      <c r="FA38" s="28">
        <f t="shared" ref="FA38:FB38" si="1092">IFERROR(((FA35-FA37)/FA37),0)</f>
        <v>4.050772735145805E-2</v>
      </c>
      <c r="FB38" s="28">
        <f t="shared" si="1092"/>
        <v>0.23197442961745465</v>
      </c>
      <c r="FC38" s="28">
        <f t="shared" ref="FC38:FD38" si="1093">IFERROR(((FC35-FC37)/FC37),0)</f>
        <v>0.1143353773357155</v>
      </c>
      <c r="FD38" s="28">
        <f t="shared" si="1093"/>
        <v>0.1675876940770557</v>
      </c>
      <c r="FE38" s="28">
        <f t="shared" ref="FE38:FF38" si="1094">IFERROR(((FE35-FE37)/FE37),0)</f>
        <v>2.7718703262367146E-2</v>
      </c>
      <c r="FF38" s="28">
        <f t="shared" si="1094"/>
        <v>0.27742809793212703</v>
      </c>
      <c r="FG38" s="28">
        <f t="shared" ref="FG38:FH38" si="1095">IFERROR(((FG35-FG37)/FG37),0)</f>
        <v>-2.978715618989684E-2</v>
      </c>
      <c r="FH38" s="28">
        <f t="shared" si="1095"/>
        <v>-3.5783977948670803E-2</v>
      </c>
      <c r="FI38" s="28">
        <f t="shared" ref="FI38:FJ38" si="1096">IFERROR(((FI35-FI37)/FI37),0)</f>
        <v>-2.8288673351964538E-2</v>
      </c>
      <c r="FJ38" s="28">
        <f t="shared" si="1096"/>
        <v>0.20678717367910121</v>
      </c>
      <c r="FK38" s="28">
        <f t="shared" ref="FK38:FL38" si="1097">IFERROR(((FK35-FK37)/FK37),0)</f>
        <v>-1.310440356924264E-2</v>
      </c>
      <c r="FL38" s="28">
        <f t="shared" si="1097"/>
        <v>-9.7795760543651078E-3</v>
      </c>
      <c r="FM38" s="28">
        <f t="shared" ref="FM38:FN38" si="1098">IFERROR(((FM35-FM37)/FM37),0)</f>
        <v>-8.7884860415912577E-2</v>
      </c>
      <c r="FN38" s="28">
        <f t="shared" si="1098"/>
        <v>0.17899919245933443</v>
      </c>
      <c r="FO38" s="28">
        <f t="shared" ref="FO38:FP38" si="1099">IFERROR(((FO35-FO37)/FO37),0)</f>
        <v>-0.33013134814855749</v>
      </c>
      <c r="FP38" s="28">
        <f t="shared" si="1099"/>
        <v>0.7148576856131359</v>
      </c>
      <c r="FQ38" s="28">
        <f t="shared" ref="FQ38:FR38" si="1100">IFERROR(((FQ35-FQ37)/FQ37),0)</f>
        <v>-0.15783341539659457</v>
      </c>
      <c r="FR38" s="28">
        <f t="shared" si="1100"/>
        <v>2.1423059624175005E-2</v>
      </c>
      <c r="FS38" s="28">
        <f t="shared" ref="FS38:FT38" si="1101">IFERROR(((FS35-FS37)/FS37),0)</f>
        <v>-0.1214979514212414</v>
      </c>
      <c r="FT38" s="28">
        <f t="shared" si="1101"/>
        <v>0.2497946951563626</v>
      </c>
      <c r="FU38" s="28">
        <f t="shared" ref="FU38:FV38" si="1102">IFERROR(((FU35-FU37)/FU37),0)</f>
        <v>2.5456527388481909E-2</v>
      </c>
      <c r="FV38" s="28">
        <f t="shared" si="1102"/>
        <v>0.89624075718855079</v>
      </c>
      <c r="FW38" s="28">
        <f t="shared" ref="FW38:FX38" si="1103">IFERROR(((FW35-FW37)/FW37),0)</f>
        <v>-6.0138295863343865E-3</v>
      </c>
      <c r="FX38" s="28">
        <f t="shared" si="1103"/>
        <v>-0.14119085118978797</v>
      </c>
      <c r="FY38" s="28">
        <f t="shared" ref="FY38:FZ38" si="1104">IFERROR(((FY35-FY37)/FY37),0)</f>
        <v>-0.12541619410701027</v>
      </c>
      <c r="FZ38" s="28">
        <f t="shared" si="1104"/>
        <v>3.2341273209849204E-2</v>
      </c>
      <c r="GA38" s="28"/>
      <c r="GB38" s="28"/>
      <c r="GC38" s="28"/>
      <c r="GD38" s="28"/>
      <c r="GE38" s="28"/>
      <c r="GF38" s="28"/>
      <c r="GG38" s="28"/>
      <c r="GH38" s="28"/>
      <c r="GI38" s="28"/>
      <c r="GJ38" s="28"/>
      <c r="GK38" s="28"/>
      <c r="GL38" s="28"/>
      <c r="GM38" s="28">
        <f t="shared" ref="GM38:GN38" si="1105">(GM35-GM37)/GM37</f>
        <v>0.157734906965945</v>
      </c>
      <c r="GN38" s="28">
        <f t="shared" si="1105"/>
        <v>0.21975466940206012</v>
      </c>
      <c r="GO38" s="28">
        <f t="shared" ref="GO38:GP38" si="1106">(GO35-GO37)/GO37</f>
        <v>7.7855226162348214E-3</v>
      </c>
      <c r="GP38" s="28">
        <f t="shared" si="1106"/>
        <v>-6.4725154558430434E-2</v>
      </c>
      <c r="GQ38" s="28">
        <f t="shared" ref="GQ38:GR38" si="1107">(GQ35-GQ37)/GQ37</f>
        <v>0.39964013966945489</v>
      </c>
      <c r="GR38" s="109">
        <f t="shared" si="1107"/>
        <v>0.35313101204189712</v>
      </c>
      <c r="GS38" s="157"/>
      <c r="GT38" s="2" t="s">
        <v>94</v>
      </c>
      <c r="GU38" s="11"/>
      <c r="GV38" s="11"/>
      <c r="GW38" s="58"/>
      <c r="GX38" s="58"/>
      <c r="GY38" s="58"/>
      <c r="GZ38" s="58"/>
      <c r="HA38" s="58"/>
    </row>
    <row r="39" spans="1:209" s="2" customFormat="1" ht="7.5" customHeight="1" x14ac:dyDescent="0.3">
      <c r="A39" s="8"/>
      <c r="B39" s="29"/>
      <c r="C39" s="30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111"/>
      <c r="GS39" s="156"/>
      <c r="GT39" s="9"/>
      <c r="GU39" s="9"/>
      <c r="GV39" s="9"/>
    </row>
    <row r="40" spans="1:209" s="2" customFormat="1" ht="15" customHeight="1" x14ac:dyDescent="0.3">
      <c r="A40" s="168" t="s">
        <v>72</v>
      </c>
      <c r="B40" s="33" t="s">
        <v>72</v>
      </c>
      <c r="C40" s="17" t="s">
        <v>23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>
        <v>6556.55</v>
      </c>
      <c r="BI40" s="17">
        <v>7902.45</v>
      </c>
      <c r="BJ40" s="17">
        <v>6891.1</v>
      </c>
      <c r="BK40" s="17">
        <v>7034.85</v>
      </c>
      <c r="BL40" s="17">
        <v>7404.1</v>
      </c>
      <c r="BM40" s="17">
        <v>6892.3</v>
      </c>
      <c r="BN40" s="17">
        <v>4555.3500000000004</v>
      </c>
      <c r="BO40" s="17">
        <v>6585.15</v>
      </c>
      <c r="BP40" s="17">
        <v>6329.2</v>
      </c>
      <c r="BQ40" s="17">
        <v>7662.6</v>
      </c>
      <c r="BR40" s="17">
        <v>6599.1</v>
      </c>
      <c r="BS40" s="17">
        <v>5444.7</v>
      </c>
      <c r="BT40" s="17">
        <v>6638.95</v>
      </c>
      <c r="BU40" s="17">
        <v>7082.25</v>
      </c>
      <c r="BV40" s="17">
        <v>6620.7</v>
      </c>
      <c r="BW40" s="17">
        <v>6705.2</v>
      </c>
      <c r="BX40" s="17">
        <v>9306.7000000000007</v>
      </c>
      <c r="BY40" s="17">
        <v>8716.9</v>
      </c>
      <c r="BZ40" s="17">
        <v>5547.6</v>
      </c>
      <c r="CA40" s="17">
        <v>6423.5</v>
      </c>
      <c r="CB40" s="17">
        <v>6680.25</v>
      </c>
      <c r="CC40" s="17">
        <v>8201.1</v>
      </c>
      <c r="CD40" s="17">
        <v>7017.15</v>
      </c>
      <c r="CE40" s="17">
        <v>9070.4500000000007</v>
      </c>
      <c r="CF40" s="17">
        <v>8023.1</v>
      </c>
      <c r="CG40" s="17">
        <v>8557.25</v>
      </c>
      <c r="CH40" s="17">
        <v>8003</v>
      </c>
      <c r="CI40" s="17">
        <v>7957</v>
      </c>
      <c r="CJ40" s="17">
        <v>7717.55</v>
      </c>
      <c r="CK40" s="17">
        <v>9472.9500000000007</v>
      </c>
      <c r="CL40" s="17">
        <v>10772.2</v>
      </c>
      <c r="CM40" s="17">
        <v>8165.1</v>
      </c>
      <c r="CN40" s="17">
        <v>7549.75</v>
      </c>
      <c r="CO40" s="17">
        <v>7715.55</v>
      </c>
      <c r="CP40" s="17">
        <v>7735.2</v>
      </c>
      <c r="CQ40" s="17">
        <v>8655.5</v>
      </c>
      <c r="CR40" s="17">
        <v>8268.0499999999993</v>
      </c>
      <c r="CS40" s="17">
        <v>8322.5499999999993</v>
      </c>
      <c r="CT40" s="17">
        <v>8120</v>
      </c>
      <c r="CU40" s="17">
        <v>8524.67</v>
      </c>
      <c r="CV40" s="17">
        <v>7848.25</v>
      </c>
      <c r="CW40" s="17">
        <v>8622.7000000000007</v>
      </c>
      <c r="CX40" s="17">
        <v>8769.25</v>
      </c>
      <c r="CY40" s="17">
        <v>8581.7000000000007</v>
      </c>
      <c r="CZ40" s="17">
        <v>7714.3</v>
      </c>
      <c r="DA40" s="17">
        <v>7651.65</v>
      </c>
      <c r="DB40" s="17">
        <v>8951.7199999999993</v>
      </c>
      <c r="DC40" s="17">
        <v>6914.9</v>
      </c>
      <c r="DD40" s="17">
        <v>13434.81</v>
      </c>
      <c r="DE40" s="17">
        <v>9522.7999999999993</v>
      </c>
      <c r="DF40" s="17">
        <v>9754.15</v>
      </c>
      <c r="DG40" s="17">
        <v>9661.25</v>
      </c>
      <c r="DH40" s="17">
        <v>9695.4</v>
      </c>
      <c r="DI40" s="17">
        <v>7478.95</v>
      </c>
      <c r="DJ40" s="17">
        <v>7893.2</v>
      </c>
      <c r="DK40" s="17">
        <v>7769.7</v>
      </c>
      <c r="DL40" s="17">
        <v>8308.2999999999993</v>
      </c>
      <c r="DM40" s="17">
        <v>9048.25</v>
      </c>
      <c r="DN40" s="17">
        <v>7397.5</v>
      </c>
      <c r="DO40" s="17">
        <v>7386.35</v>
      </c>
      <c r="DP40" s="17">
        <v>8318.6</v>
      </c>
      <c r="DQ40" s="17">
        <v>7463.15</v>
      </c>
      <c r="DR40" s="17">
        <v>8969.5499999999993</v>
      </c>
      <c r="DS40" s="17">
        <v>7598.85</v>
      </c>
      <c r="DT40" s="17">
        <v>6734.4</v>
      </c>
      <c r="DU40" s="17">
        <v>8170.2</v>
      </c>
      <c r="DV40" s="17">
        <v>6067.4</v>
      </c>
      <c r="DW40" s="17">
        <v>8625.9</v>
      </c>
      <c r="DX40" s="17">
        <v>10237</v>
      </c>
      <c r="DY40" s="17">
        <v>8832.85</v>
      </c>
      <c r="DZ40" s="17">
        <v>10606.4</v>
      </c>
      <c r="EA40" s="17">
        <v>7246.6</v>
      </c>
      <c r="EB40" s="17">
        <v>7776.6</v>
      </c>
      <c r="EC40" s="17">
        <v>6544.35</v>
      </c>
      <c r="ED40" s="17">
        <v>6574.3</v>
      </c>
      <c r="EE40" s="17">
        <v>7181.55</v>
      </c>
      <c r="EF40" s="17">
        <v>9240.1</v>
      </c>
      <c r="EG40" s="17">
        <v>8380.35</v>
      </c>
      <c r="EH40" s="17">
        <v>9043.2000000000007</v>
      </c>
      <c r="EI40" s="17">
        <v>7772.7</v>
      </c>
      <c r="EJ40" s="17">
        <v>8752.5</v>
      </c>
      <c r="EK40" s="17">
        <v>9799.85</v>
      </c>
      <c r="EL40" s="17">
        <v>12284.7</v>
      </c>
      <c r="EM40" s="17">
        <v>9718.7000000000007</v>
      </c>
      <c r="EN40" s="17">
        <v>11504.8</v>
      </c>
      <c r="EO40" s="17">
        <v>12051.45</v>
      </c>
      <c r="EP40" s="17">
        <v>10433.75</v>
      </c>
      <c r="EQ40" s="17">
        <v>11087.3</v>
      </c>
      <c r="ER40" s="17">
        <v>9876.25</v>
      </c>
      <c r="ES40" s="17">
        <v>9733.9500000000007</v>
      </c>
      <c r="ET40" s="17">
        <v>10921.7</v>
      </c>
      <c r="EU40" s="17">
        <v>10137.75</v>
      </c>
      <c r="EV40" s="17">
        <v>9285.11</v>
      </c>
      <c r="EW40" s="17">
        <v>11085.4</v>
      </c>
      <c r="EX40" s="17">
        <v>9620.0499999999993</v>
      </c>
      <c r="EY40" s="17">
        <v>8916.7000000000007</v>
      </c>
      <c r="EZ40" s="17">
        <v>10147.85</v>
      </c>
      <c r="FA40" s="17">
        <v>8827.7999999999993</v>
      </c>
      <c r="FB40" s="17">
        <v>8020.85</v>
      </c>
      <c r="FC40" s="17">
        <v>8721.1</v>
      </c>
      <c r="FD40" s="17">
        <v>9181.4</v>
      </c>
      <c r="FE40" s="17">
        <v>8315.2000000000007</v>
      </c>
      <c r="FF40" s="17">
        <v>7990.45</v>
      </c>
      <c r="FG40" s="17">
        <v>9014.85</v>
      </c>
      <c r="FH40" s="17">
        <v>8612.9500000000007</v>
      </c>
      <c r="FI40" s="17">
        <v>6882.75</v>
      </c>
      <c r="FJ40" s="17">
        <v>7318.75</v>
      </c>
      <c r="FK40" s="17">
        <v>7623.7</v>
      </c>
      <c r="FL40" s="17">
        <v>7355.9</v>
      </c>
      <c r="FM40" s="17">
        <v>7384.1</v>
      </c>
      <c r="FN40" s="17">
        <v>8322.15</v>
      </c>
      <c r="FO40" s="17">
        <v>9106.65</v>
      </c>
      <c r="FP40" s="17">
        <v>8739.85</v>
      </c>
      <c r="FQ40" s="17">
        <v>7848.7</v>
      </c>
      <c r="FR40" s="17">
        <v>8368.0499999999993</v>
      </c>
      <c r="FS40" s="17">
        <v>7472.65</v>
      </c>
      <c r="FT40" s="17">
        <v>8212.0499999999993</v>
      </c>
      <c r="FU40" s="17">
        <v>8261.5499999999993</v>
      </c>
      <c r="FV40" s="17">
        <f>4571.3+1630.55</f>
        <v>6201.85</v>
      </c>
      <c r="FW40" s="17">
        <v>9247.75</v>
      </c>
      <c r="FX40" s="17">
        <v>9585.85</v>
      </c>
      <c r="FY40" s="17">
        <v>11399.5</v>
      </c>
      <c r="FZ40" s="17">
        <v>12351.7</v>
      </c>
      <c r="GA40" s="17">
        <v>7869.3</v>
      </c>
      <c r="GB40" s="17">
        <v>8046.5</v>
      </c>
      <c r="GC40" s="17">
        <v>7814.25</v>
      </c>
      <c r="GD40" s="17">
        <v>7659.05</v>
      </c>
      <c r="GE40" s="17">
        <v>5637.95</v>
      </c>
      <c r="GF40" s="17">
        <v>7918.55</v>
      </c>
      <c r="GG40" s="17">
        <v>8704.9</v>
      </c>
      <c r="GH40" s="17">
        <v>7097.4</v>
      </c>
      <c r="GI40" s="17">
        <f>2378.1+6187.89</f>
        <v>8565.99</v>
      </c>
      <c r="GJ40" s="17">
        <v>8609.7000000000007</v>
      </c>
      <c r="GK40" s="17">
        <v>7326.95</v>
      </c>
      <c r="GL40" s="17">
        <v>6280.75</v>
      </c>
      <c r="GM40" s="17">
        <v>12116.82</v>
      </c>
      <c r="GN40" s="17">
        <v>9362.5300000000007</v>
      </c>
      <c r="GO40" s="17">
        <v>7648.52</v>
      </c>
      <c r="GP40" s="17">
        <v>8145.35</v>
      </c>
      <c r="GQ40" s="17">
        <v>8358.44</v>
      </c>
      <c r="GR40" s="107">
        <v>8753.67</v>
      </c>
      <c r="GS40" s="153">
        <f>EQ40</f>
        <v>11087.3</v>
      </c>
      <c r="GT40" s="84" t="s">
        <v>23</v>
      </c>
      <c r="GU40" s="92" t="s">
        <v>369</v>
      </c>
      <c r="GV40" s="93"/>
      <c r="GW40" s="58"/>
      <c r="GX40" s="58"/>
      <c r="GY40" s="58"/>
      <c r="GZ40" s="58"/>
      <c r="HA40" s="58"/>
    </row>
    <row r="41" spans="1:209" s="2" customFormat="1" ht="15" customHeight="1" x14ac:dyDescent="0.3">
      <c r="A41" s="169"/>
      <c r="B41" s="34"/>
      <c r="C41" s="17" t="s">
        <v>24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>
        <v>6692.2</v>
      </c>
      <c r="BI41" s="17">
        <v>9794.6</v>
      </c>
      <c r="BJ41" s="17">
        <v>9932.65</v>
      </c>
      <c r="BK41" s="17">
        <v>9607.1</v>
      </c>
      <c r="BL41" s="17">
        <v>10037.885</v>
      </c>
      <c r="BM41" s="17">
        <v>9968.2000000000007</v>
      </c>
      <c r="BN41" s="17">
        <v>7626.3</v>
      </c>
      <c r="BO41" s="17">
        <v>9017.1</v>
      </c>
      <c r="BP41" s="17">
        <v>9377.5</v>
      </c>
      <c r="BQ41" s="17">
        <v>9344.6</v>
      </c>
      <c r="BR41" s="17">
        <v>9269.85</v>
      </c>
      <c r="BS41" s="17">
        <v>7458.15</v>
      </c>
      <c r="BT41" s="17">
        <v>8950.4</v>
      </c>
      <c r="BU41" s="17">
        <v>7921.7</v>
      </c>
      <c r="BV41" s="17">
        <v>10104.6</v>
      </c>
      <c r="BW41" s="17">
        <v>9433.1</v>
      </c>
      <c r="BX41" s="17">
        <v>11003.29</v>
      </c>
      <c r="BY41" s="17">
        <v>11056.45</v>
      </c>
      <c r="BZ41" s="17">
        <v>9186.11</v>
      </c>
      <c r="CA41" s="17">
        <v>8234.9</v>
      </c>
      <c r="CB41" s="17">
        <v>9236.25</v>
      </c>
      <c r="CC41" s="17">
        <v>12705.85</v>
      </c>
      <c r="CD41" s="17">
        <v>10543.1</v>
      </c>
      <c r="CE41" s="17">
        <v>12344.5</v>
      </c>
      <c r="CF41" s="17">
        <v>12978.25</v>
      </c>
      <c r="CG41" s="17">
        <v>12532.55</v>
      </c>
      <c r="CH41" s="17">
        <v>11523.05</v>
      </c>
      <c r="CI41" s="17">
        <v>13137.65</v>
      </c>
      <c r="CJ41" s="17">
        <v>10541.3</v>
      </c>
      <c r="CK41" s="17">
        <v>12887.9</v>
      </c>
      <c r="CL41" s="17">
        <v>15090.2</v>
      </c>
      <c r="CM41" s="17">
        <v>12333.7</v>
      </c>
      <c r="CN41" s="17">
        <v>9536.9500000000007</v>
      </c>
      <c r="CO41" s="17">
        <v>10118.4</v>
      </c>
      <c r="CP41" s="17">
        <v>10318.6</v>
      </c>
      <c r="CQ41" s="17">
        <v>10693.2</v>
      </c>
      <c r="CR41" s="17">
        <v>10848.99</v>
      </c>
      <c r="CS41" s="17">
        <v>9848.9</v>
      </c>
      <c r="CT41" s="17">
        <v>11802.5</v>
      </c>
      <c r="CU41" s="17">
        <v>11823.35</v>
      </c>
      <c r="CV41" s="17">
        <v>11066.2</v>
      </c>
      <c r="CW41" s="17">
        <v>13479.8</v>
      </c>
      <c r="CX41" s="17">
        <v>12568.45</v>
      </c>
      <c r="CY41" s="17">
        <v>10596</v>
      </c>
      <c r="CZ41" s="17">
        <v>10495.7</v>
      </c>
      <c r="DA41" s="17">
        <v>10598.3</v>
      </c>
      <c r="DB41" s="17">
        <v>12324.35</v>
      </c>
      <c r="DC41" s="17">
        <v>11706.7</v>
      </c>
      <c r="DD41" s="17">
        <v>9916.9</v>
      </c>
      <c r="DE41" s="17">
        <v>12673.3</v>
      </c>
      <c r="DF41" s="17">
        <v>13376.4</v>
      </c>
      <c r="DG41" s="17">
        <v>13811.8</v>
      </c>
      <c r="DH41" s="17">
        <v>13157.05</v>
      </c>
      <c r="DI41" s="17">
        <v>10835.1</v>
      </c>
      <c r="DJ41" s="17">
        <v>9649.75</v>
      </c>
      <c r="DK41" s="17">
        <v>11073.6</v>
      </c>
      <c r="DL41" s="17">
        <v>11813.4</v>
      </c>
      <c r="DM41" s="17">
        <v>12576.8</v>
      </c>
      <c r="DN41" s="17">
        <v>10111.450000000001</v>
      </c>
      <c r="DO41" s="17">
        <v>9818.25</v>
      </c>
      <c r="DP41" s="17">
        <v>10344.200000000001</v>
      </c>
      <c r="DQ41" s="17">
        <v>9691.5499999999993</v>
      </c>
      <c r="DR41" s="17">
        <v>12018.9</v>
      </c>
      <c r="DS41" s="17">
        <v>10989.55</v>
      </c>
      <c r="DT41" s="17">
        <v>9037.2999999999993</v>
      </c>
      <c r="DU41" s="17">
        <v>10619.4</v>
      </c>
      <c r="DV41" s="17">
        <v>9798.1</v>
      </c>
      <c r="DW41" s="17">
        <v>14187.95</v>
      </c>
      <c r="DX41" s="17">
        <v>14877.65</v>
      </c>
      <c r="DY41" s="17">
        <v>11828.15</v>
      </c>
      <c r="DZ41" s="17">
        <v>15330.4</v>
      </c>
      <c r="EA41" s="17">
        <v>11451.3</v>
      </c>
      <c r="EB41" s="17">
        <v>13076.4</v>
      </c>
      <c r="EC41" s="17">
        <v>10565.6</v>
      </c>
      <c r="ED41" s="17">
        <v>9650.7000000000007</v>
      </c>
      <c r="EE41" s="17">
        <v>9676.6</v>
      </c>
      <c r="EF41" s="17">
        <v>11056.7</v>
      </c>
      <c r="EG41" s="17">
        <v>12494.8</v>
      </c>
      <c r="EH41" s="17">
        <v>12075.25</v>
      </c>
      <c r="EI41" s="17">
        <v>10117</v>
      </c>
      <c r="EJ41" s="17">
        <v>12606.25</v>
      </c>
      <c r="EK41" s="17">
        <v>12154.75</v>
      </c>
      <c r="EL41" s="17">
        <v>14500.3</v>
      </c>
      <c r="EM41" s="17">
        <v>10765</v>
      </c>
      <c r="EN41" s="17">
        <v>13053.4</v>
      </c>
      <c r="EO41" s="17">
        <v>14363.65</v>
      </c>
      <c r="EP41" s="17">
        <v>14338.3</v>
      </c>
      <c r="EQ41" s="17">
        <v>13662.4</v>
      </c>
      <c r="ER41" s="17">
        <v>11535.8</v>
      </c>
      <c r="ES41" s="17">
        <v>10444.200000000001</v>
      </c>
      <c r="ET41" s="17">
        <v>13582.75</v>
      </c>
      <c r="EU41" s="17">
        <v>15290.23</v>
      </c>
      <c r="EV41" s="17">
        <v>11418.45</v>
      </c>
      <c r="EW41" s="17">
        <v>15521.8</v>
      </c>
      <c r="EX41" s="17">
        <v>11479.35</v>
      </c>
      <c r="EY41" s="17">
        <v>13962.55</v>
      </c>
      <c r="EZ41" s="17">
        <v>12958.78</v>
      </c>
      <c r="FA41" s="17">
        <v>10561.35</v>
      </c>
      <c r="FB41" s="17">
        <v>11856.05</v>
      </c>
      <c r="FC41" s="17">
        <v>12370.55</v>
      </c>
      <c r="FD41" s="17">
        <v>12781.8</v>
      </c>
      <c r="FE41" s="17">
        <v>13616.4</v>
      </c>
      <c r="FF41" s="17">
        <v>11553.7</v>
      </c>
      <c r="FG41" s="17">
        <v>11965.4</v>
      </c>
      <c r="FH41" s="17">
        <v>14784.1</v>
      </c>
      <c r="FI41" s="17">
        <v>9661.1</v>
      </c>
      <c r="FJ41" s="17">
        <v>9583.02</v>
      </c>
      <c r="FK41" s="17">
        <v>10608</v>
      </c>
      <c r="FL41" s="17">
        <v>10306.1</v>
      </c>
      <c r="FM41" s="17">
        <v>11126.2</v>
      </c>
      <c r="FN41" s="17">
        <v>10565.6</v>
      </c>
      <c r="FO41" s="17">
        <v>9417.0499999999993</v>
      </c>
      <c r="FP41" s="17">
        <v>11000.7</v>
      </c>
      <c r="FQ41" s="17">
        <v>11140.05</v>
      </c>
      <c r="FR41" s="17">
        <v>10716.4</v>
      </c>
      <c r="FS41" s="17">
        <v>9831.7999999999993</v>
      </c>
      <c r="FT41" s="17">
        <v>10653.4</v>
      </c>
      <c r="FU41" s="17">
        <v>11014.55</v>
      </c>
      <c r="FV41" s="17">
        <f>7667.25+236</f>
        <v>7903.25</v>
      </c>
      <c r="FW41" s="17">
        <v>13668.75</v>
      </c>
      <c r="FX41" s="17">
        <v>12954.2</v>
      </c>
      <c r="FY41" s="17">
        <v>11240.35</v>
      </c>
      <c r="FZ41" s="17">
        <v>17649.75</v>
      </c>
      <c r="GA41" s="17">
        <v>9928.85</v>
      </c>
      <c r="GB41" s="17">
        <v>11595.95</v>
      </c>
      <c r="GC41" s="17">
        <f>11160.5+750</f>
        <v>11910.5</v>
      </c>
      <c r="GD41" s="17">
        <v>11947.45</v>
      </c>
      <c r="GE41" s="17">
        <v>9068.66</v>
      </c>
      <c r="GF41" s="17">
        <v>13309.35</v>
      </c>
      <c r="GG41" s="17">
        <v>12346.95</v>
      </c>
      <c r="GH41" s="17">
        <v>10675.75</v>
      </c>
      <c r="GI41" s="17">
        <f>2797.1+9674.86</f>
        <v>12471.960000000001</v>
      </c>
      <c r="GJ41" s="17">
        <v>14851.54</v>
      </c>
      <c r="GK41" s="17">
        <v>11309.75</v>
      </c>
      <c r="GL41" s="17">
        <v>11177.83</v>
      </c>
      <c r="GM41" s="17">
        <v>17514.2</v>
      </c>
      <c r="GN41" s="17">
        <v>14026.82</v>
      </c>
      <c r="GO41" s="17">
        <v>13562.88</v>
      </c>
      <c r="GP41" s="17">
        <v>12944.5</v>
      </c>
      <c r="GQ41" s="17">
        <v>13559.81</v>
      </c>
      <c r="GR41" s="107">
        <v>14205.78</v>
      </c>
      <c r="GS41" s="153">
        <f>EQ41</f>
        <v>13662.4</v>
      </c>
      <c r="GT41" s="5" t="s">
        <v>24</v>
      </c>
      <c r="GU41" s="94" t="s">
        <v>367</v>
      </c>
      <c r="GV41" s="104">
        <f>DRY!AG47</f>
        <v>0.74957742552679252</v>
      </c>
      <c r="GW41" s="55"/>
      <c r="GX41" s="55"/>
      <c r="GY41" s="55"/>
      <c r="GZ41" s="55"/>
      <c r="HA41" s="55"/>
    </row>
    <row r="42" spans="1:209" s="2" customFormat="1" ht="15" customHeight="1" x14ac:dyDescent="0.3">
      <c r="A42" s="169"/>
      <c r="B42" s="19" t="s">
        <v>21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>
        <f t="shared" ref="BH42:BR42" si="1108">+BH40+BH41</f>
        <v>13248.75</v>
      </c>
      <c r="BI42" s="20">
        <f t="shared" si="1108"/>
        <v>17697.05</v>
      </c>
      <c r="BJ42" s="20">
        <f t="shared" si="1108"/>
        <v>16823.75</v>
      </c>
      <c r="BK42" s="20">
        <f t="shared" si="1108"/>
        <v>16641.95</v>
      </c>
      <c r="BL42" s="20">
        <f t="shared" si="1108"/>
        <v>17441.985000000001</v>
      </c>
      <c r="BM42" s="20">
        <f t="shared" si="1108"/>
        <v>16860.5</v>
      </c>
      <c r="BN42" s="20">
        <f t="shared" si="1108"/>
        <v>12181.650000000001</v>
      </c>
      <c r="BO42" s="20">
        <f t="shared" si="1108"/>
        <v>15602.25</v>
      </c>
      <c r="BP42" s="20">
        <f t="shared" si="1108"/>
        <v>15706.7</v>
      </c>
      <c r="BQ42" s="20">
        <f t="shared" si="1108"/>
        <v>17007.2</v>
      </c>
      <c r="BR42" s="20">
        <f t="shared" si="1108"/>
        <v>15868.95</v>
      </c>
      <c r="BS42" s="20">
        <f t="shared" ref="BS42:BW42" si="1109">+BS40+BS41</f>
        <v>12902.849999999999</v>
      </c>
      <c r="BT42" s="20">
        <f t="shared" si="1109"/>
        <v>15589.349999999999</v>
      </c>
      <c r="BU42" s="20">
        <f t="shared" si="1109"/>
        <v>15003.95</v>
      </c>
      <c r="BV42" s="20">
        <f t="shared" si="1109"/>
        <v>16725.3</v>
      </c>
      <c r="BW42" s="20">
        <f t="shared" si="1109"/>
        <v>16138.3</v>
      </c>
      <c r="BX42" s="20">
        <f t="shared" ref="BX42:CN42" si="1110">+BX40+BX41</f>
        <v>20309.990000000002</v>
      </c>
      <c r="BY42" s="20">
        <f t="shared" si="1110"/>
        <v>19773.349999999999</v>
      </c>
      <c r="BZ42" s="20">
        <f t="shared" si="1110"/>
        <v>14733.710000000001</v>
      </c>
      <c r="CA42" s="20">
        <f t="shared" si="1110"/>
        <v>14658.4</v>
      </c>
      <c r="CB42" s="20">
        <f t="shared" si="1110"/>
        <v>15916.5</v>
      </c>
      <c r="CC42" s="20">
        <f t="shared" si="1110"/>
        <v>20906.95</v>
      </c>
      <c r="CD42" s="20">
        <f t="shared" si="1110"/>
        <v>17560.25</v>
      </c>
      <c r="CE42" s="20">
        <f t="shared" si="1110"/>
        <v>21414.95</v>
      </c>
      <c r="CF42" s="20">
        <f t="shared" si="1110"/>
        <v>21001.35</v>
      </c>
      <c r="CG42" s="20">
        <f t="shared" si="1110"/>
        <v>21089.8</v>
      </c>
      <c r="CH42" s="20">
        <f t="shared" si="1110"/>
        <v>19526.05</v>
      </c>
      <c r="CI42" s="20">
        <f t="shared" si="1110"/>
        <v>21094.65</v>
      </c>
      <c r="CJ42" s="20">
        <f t="shared" si="1110"/>
        <v>18258.849999999999</v>
      </c>
      <c r="CK42" s="20">
        <f t="shared" si="1110"/>
        <v>22360.85</v>
      </c>
      <c r="CL42" s="20">
        <f t="shared" si="1110"/>
        <v>25862.400000000001</v>
      </c>
      <c r="CM42" s="20">
        <f t="shared" si="1110"/>
        <v>20498.800000000003</v>
      </c>
      <c r="CN42" s="20">
        <f t="shared" si="1110"/>
        <v>17086.7</v>
      </c>
      <c r="CO42" s="20">
        <f t="shared" ref="CO42:CZ42" si="1111">+CO40+CO41</f>
        <v>17833.95</v>
      </c>
      <c r="CP42" s="20">
        <f t="shared" si="1111"/>
        <v>18053.8</v>
      </c>
      <c r="CQ42" s="20">
        <f t="shared" si="1111"/>
        <v>19348.7</v>
      </c>
      <c r="CR42" s="20">
        <f t="shared" si="1111"/>
        <v>19117.04</v>
      </c>
      <c r="CS42" s="20">
        <f t="shared" si="1111"/>
        <v>18171.449999999997</v>
      </c>
      <c r="CT42" s="20">
        <f t="shared" si="1111"/>
        <v>19922.5</v>
      </c>
      <c r="CU42" s="20">
        <f t="shared" si="1111"/>
        <v>20348.02</v>
      </c>
      <c r="CV42" s="20">
        <f t="shared" si="1111"/>
        <v>18914.45</v>
      </c>
      <c r="CW42" s="20">
        <f t="shared" si="1111"/>
        <v>22102.5</v>
      </c>
      <c r="CX42" s="20">
        <f t="shared" si="1111"/>
        <v>21337.7</v>
      </c>
      <c r="CY42" s="20">
        <f t="shared" si="1111"/>
        <v>19177.7</v>
      </c>
      <c r="CZ42" s="20">
        <f t="shared" si="1111"/>
        <v>18210</v>
      </c>
      <c r="DA42" s="20">
        <f t="shared" ref="DA42:DB42" si="1112">+DA40+DA41</f>
        <v>18249.949999999997</v>
      </c>
      <c r="DB42" s="20">
        <f t="shared" si="1112"/>
        <v>21276.07</v>
      </c>
      <c r="DC42" s="20">
        <f t="shared" ref="DC42:DD42" si="1113">+DC40+DC41</f>
        <v>18621.599999999999</v>
      </c>
      <c r="DD42" s="20">
        <f t="shared" si="1113"/>
        <v>23351.71</v>
      </c>
      <c r="DE42" s="20">
        <f t="shared" ref="DE42:DF42" si="1114">+DE40+DE41</f>
        <v>22196.1</v>
      </c>
      <c r="DF42" s="20">
        <f t="shared" si="1114"/>
        <v>23130.55</v>
      </c>
      <c r="DG42" s="20">
        <f t="shared" ref="DG42:DH42" si="1115">+DG40+DG41</f>
        <v>23473.05</v>
      </c>
      <c r="DH42" s="20">
        <f t="shared" si="1115"/>
        <v>22852.449999999997</v>
      </c>
      <c r="DI42" s="20">
        <f t="shared" ref="DI42:DJ42" si="1116">+DI40+DI41</f>
        <v>18314.05</v>
      </c>
      <c r="DJ42" s="20">
        <f t="shared" si="1116"/>
        <v>17542.95</v>
      </c>
      <c r="DK42" s="20">
        <f t="shared" ref="DK42:DL42" si="1117">+DK40+DK41</f>
        <v>18843.3</v>
      </c>
      <c r="DL42" s="20">
        <f t="shared" si="1117"/>
        <v>20121.699999999997</v>
      </c>
      <c r="DM42" s="20">
        <f t="shared" ref="DM42:DN42" si="1118">+DM40+DM41</f>
        <v>21625.05</v>
      </c>
      <c r="DN42" s="20">
        <f t="shared" si="1118"/>
        <v>17508.95</v>
      </c>
      <c r="DO42" s="20">
        <f t="shared" ref="DO42:DP42" si="1119">+DO40+DO41</f>
        <v>17204.599999999999</v>
      </c>
      <c r="DP42" s="20">
        <f t="shared" si="1119"/>
        <v>18662.800000000003</v>
      </c>
      <c r="DQ42" s="20">
        <f t="shared" ref="DQ42:DR42" si="1120">+DQ40+DQ41</f>
        <v>17154.699999999997</v>
      </c>
      <c r="DR42" s="20">
        <f t="shared" si="1120"/>
        <v>20988.449999999997</v>
      </c>
      <c r="DS42" s="20">
        <f t="shared" ref="DS42:DT42" si="1121">+DS40+DS41</f>
        <v>18588.400000000001</v>
      </c>
      <c r="DT42" s="20">
        <f t="shared" si="1121"/>
        <v>15771.699999999999</v>
      </c>
      <c r="DU42" s="20">
        <f t="shared" ref="DU42:DV42" si="1122">+DU40+DU41</f>
        <v>18789.599999999999</v>
      </c>
      <c r="DV42" s="20">
        <f t="shared" si="1122"/>
        <v>15865.5</v>
      </c>
      <c r="DW42" s="20">
        <f t="shared" ref="DW42:DX42" si="1123">+DW40+DW41</f>
        <v>22813.85</v>
      </c>
      <c r="DX42" s="20">
        <f t="shared" si="1123"/>
        <v>25114.65</v>
      </c>
      <c r="DY42" s="20">
        <f t="shared" ref="DY42:DZ42" si="1124">+DY40+DY41</f>
        <v>20661</v>
      </c>
      <c r="DZ42" s="20">
        <f t="shared" si="1124"/>
        <v>25936.799999999999</v>
      </c>
      <c r="EA42" s="20">
        <f t="shared" ref="EA42:EB42" si="1125">+EA40+EA41</f>
        <v>18697.900000000001</v>
      </c>
      <c r="EB42" s="20">
        <f t="shared" si="1125"/>
        <v>20853</v>
      </c>
      <c r="EC42" s="20">
        <f t="shared" ref="EC42:ED42" si="1126">+EC40+EC41</f>
        <v>17109.95</v>
      </c>
      <c r="ED42" s="20">
        <f t="shared" si="1126"/>
        <v>16225</v>
      </c>
      <c r="EE42" s="20">
        <f t="shared" ref="EE42:EF42" si="1127">+EE40+EE41</f>
        <v>16858.150000000001</v>
      </c>
      <c r="EF42" s="20">
        <f t="shared" si="1127"/>
        <v>20296.800000000003</v>
      </c>
      <c r="EG42" s="20">
        <f t="shared" ref="EG42:EH42" si="1128">+EG40+EG41</f>
        <v>20875.150000000001</v>
      </c>
      <c r="EH42" s="20">
        <f t="shared" si="1128"/>
        <v>21118.45</v>
      </c>
      <c r="EI42" s="20">
        <f t="shared" ref="EI42:EJ42" si="1129">+EI40+EI41</f>
        <v>17889.7</v>
      </c>
      <c r="EJ42" s="20">
        <f t="shared" si="1129"/>
        <v>21358.75</v>
      </c>
      <c r="EK42" s="20">
        <f t="shared" ref="EK42:EL42" si="1130">+EK40+EK41</f>
        <v>21954.6</v>
      </c>
      <c r="EL42" s="20">
        <f t="shared" si="1130"/>
        <v>26785</v>
      </c>
      <c r="EM42" s="20">
        <f t="shared" ref="EM42:EN42" si="1131">+EM40+EM41</f>
        <v>20483.7</v>
      </c>
      <c r="EN42" s="20">
        <f t="shared" si="1131"/>
        <v>24558.199999999997</v>
      </c>
      <c r="EO42" s="20">
        <f t="shared" ref="EO42:EP42" si="1132">+EO40+EO41</f>
        <v>26415.1</v>
      </c>
      <c r="EP42" s="20">
        <f t="shared" si="1132"/>
        <v>24772.05</v>
      </c>
      <c r="EQ42" s="20">
        <f t="shared" ref="EQ42:ER42" si="1133">+EQ40+EQ41</f>
        <v>24749.699999999997</v>
      </c>
      <c r="ER42" s="20">
        <f t="shared" si="1133"/>
        <v>21412.05</v>
      </c>
      <c r="ES42" s="20">
        <f t="shared" ref="ES42:ET42" si="1134">+ES40+ES41</f>
        <v>20178.150000000001</v>
      </c>
      <c r="ET42" s="20">
        <f t="shared" si="1134"/>
        <v>24504.45</v>
      </c>
      <c r="EU42" s="20">
        <f t="shared" ref="EU42:EV42" si="1135">+EU40+EU41</f>
        <v>25427.98</v>
      </c>
      <c r="EV42" s="20">
        <f t="shared" si="1135"/>
        <v>20703.560000000001</v>
      </c>
      <c r="EW42" s="20">
        <f t="shared" ref="EW42:EX42" si="1136">+EW40+EW41</f>
        <v>26607.199999999997</v>
      </c>
      <c r="EX42" s="20">
        <f t="shared" si="1136"/>
        <v>21099.4</v>
      </c>
      <c r="EY42" s="20">
        <f t="shared" ref="EY42:EZ42" si="1137">+EY40+EY41</f>
        <v>22879.25</v>
      </c>
      <c r="EZ42" s="20">
        <f t="shared" si="1137"/>
        <v>23106.63</v>
      </c>
      <c r="FA42" s="20">
        <f t="shared" ref="FA42:FB42" si="1138">+FA40+FA41</f>
        <v>19389.150000000001</v>
      </c>
      <c r="FB42" s="20">
        <f t="shared" si="1138"/>
        <v>19876.900000000001</v>
      </c>
      <c r="FC42" s="20">
        <f t="shared" ref="FC42:FD42" si="1139">+FC40+FC41</f>
        <v>21091.65</v>
      </c>
      <c r="FD42" s="20">
        <f t="shared" si="1139"/>
        <v>21963.199999999997</v>
      </c>
      <c r="FE42" s="20">
        <f t="shared" ref="FE42:FF42" si="1140">+FE40+FE41</f>
        <v>21931.599999999999</v>
      </c>
      <c r="FF42" s="20">
        <f t="shared" si="1140"/>
        <v>19544.150000000001</v>
      </c>
      <c r="FG42" s="20">
        <f t="shared" ref="FG42:FH42" si="1141">+FG40+FG41</f>
        <v>20980.25</v>
      </c>
      <c r="FH42" s="20">
        <f t="shared" si="1141"/>
        <v>23397.050000000003</v>
      </c>
      <c r="FI42" s="20">
        <f t="shared" ref="FI42:FJ42" si="1142">+FI40+FI41</f>
        <v>16543.849999999999</v>
      </c>
      <c r="FJ42" s="20">
        <f t="shared" si="1142"/>
        <v>16901.77</v>
      </c>
      <c r="FK42" s="20">
        <f t="shared" ref="FK42:FL42" si="1143">+FK40+FK41</f>
        <v>18231.7</v>
      </c>
      <c r="FL42" s="20">
        <f t="shared" si="1143"/>
        <v>17662</v>
      </c>
      <c r="FM42" s="20">
        <f t="shared" ref="FM42:FN42" si="1144">+FM40+FM41</f>
        <v>18510.300000000003</v>
      </c>
      <c r="FN42" s="20">
        <f t="shared" si="1144"/>
        <v>18887.75</v>
      </c>
      <c r="FO42" s="20">
        <f t="shared" ref="FO42:FP42" si="1145">+FO40+FO41</f>
        <v>18523.699999999997</v>
      </c>
      <c r="FP42" s="20">
        <f t="shared" si="1145"/>
        <v>19740.550000000003</v>
      </c>
      <c r="FQ42" s="20">
        <f t="shared" ref="FQ42:FR42" si="1146">+FQ40+FQ41</f>
        <v>18988.75</v>
      </c>
      <c r="FR42" s="20">
        <f t="shared" si="1146"/>
        <v>19084.449999999997</v>
      </c>
      <c r="FS42" s="20">
        <f t="shared" ref="FS42:FT42" si="1147">+FS40+FS41</f>
        <v>17304.449999999997</v>
      </c>
      <c r="FT42" s="20">
        <f t="shared" si="1147"/>
        <v>18865.449999999997</v>
      </c>
      <c r="FU42" s="20">
        <f t="shared" ref="FU42:FV42" si="1148">+FU40+FU41</f>
        <v>19276.099999999999</v>
      </c>
      <c r="FV42" s="20">
        <f t="shared" si="1148"/>
        <v>14105.1</v>
      </c>
      <c r="FW42" s="20">
        <f t="shared" ref="FW42:FX42" si="1149">+FW40+FW41</f>
        <v>22916.5</v>
      </c>
      <c r="FX42" s="20">
        <f t="shared" si="1149"/>
        <v>22540.050000000003</v>
      </c>
      <c r="FY42" s="20">
        <f t="shared" ref="FY42:FZ42" si="1150">+FY40+FY41</f>
        <v>22639.85</v>
      </c>
      <c r="FZ42" s="20">
        <f t="shared" si="1150"/>
        <v>30001.45</v>
      </c>
      <c r="GA42" s="20">
        <f t="shared" ref="GA42:GB42" si="1151">+GA40+GA41</f>
        <v>17798.150000000001</v>
      </c>
      <c r="GB42" s="20">
        <f t="shared" si="1151"/>
        <v>19642.45</v>
      </c>
      <c r="GC42" s="20">
        <f t="shared" ref="GC42:GF42" si="1152">+GC40+GC41</f>
        <v>19724.75</v>
      </c>
      <c r="GD42" s="20">
        <f t="shared" si="1152"/>
        <v>19606.5</v>
      </c>
      <c r="GE42" s="20">
        <v>16063</v>
      </c>
      <c r="GF42" s="20">
        <f t="shared" si="1152"/>
        <v>21227.9</v>
      </c>
      <c r="GG42" s="20">
        <f t="shared" ref="GG42:GH42" si="1153">+GG40+GG41</f>
        <v>21051.85</v>
      </c>
      <c r="GH42" s="20">
        <f t="shared" si="1153"/>
        <v>17773.150000000001</v>
      </c>
      <c r="GI42" s="20">
        <f t="shared" ref="GI42:GJ42" si="1154">+GI40+GI41</f>
        <v>21037.95</v>
      </c>
      <c r="GJ42" s="148">
        <f t="shared" si="1154"/>
        <v>23461.24</v>
      </c>
      <c r="GK42" s="149">
        <f t="shared" ref="GK42:GL42" si="1155">+GK40+GK41</f>
        <v>18636.7</v>
      </c>
      <c r="GL42" s="148">
        <f t="shared" si="1155"/>
        <v>17458.580000000002</v>
      </c>
      <c r="GM42" s="148">
        <f t="shared" ref="GM42:GN42" si="1156">+GM40+GM41</f>
        <v>29631.02</v>
      </c>
      <c r="GN42" s="148">
        <f t="shared" si="1156"/>
        <v>23389.35</v>
      </c>
      <c r="GO42" s="148">
        <f t="shared" ref="GO42:GP42" si="1157">+GO40+GO41</f>
        <v>21211.4</v>
      </c>
      <c r="GP42" s="148">
        <f t="shared" si="1157"/>
        <v>21089.85</v>
      </c>
      <c r="GQ42" s="135">
        <f t="shared" ref="GQ42:GR42" si="1158">+GQ40+GQ41</f>
        <v>21918.25</v>
      </c>
      <c r="GR42" s="108">
        <f t="shared" si="1158"/>
        <v>22959.45</v>
      </c>
      <c r="GS42" s="154">
        <f t="shared" ref="GS42" si="1159">SUM(GS40+GS41)</f>
        <v>24749.699999999997</v>
      </c>
      <c r="GT42" s="10" t="str">
        <f>B40</f>
        <v>SILVER PLOUGH</v>
      </c>
      <c r="GU42" s="139" t="s">
        <v>398</v>
      </c>
      <c r="GV42" s="140">
        <f>DRY!AH47</f>
        <v>0.71771380263394657</v>
      </c>
      <c r="GW42" s="56">
        <f>AVERAGE(ES42:GR42)</f>
        <v>20713.189999999995</v>
      </c>
      <c r="GX42" s="56">
        <f>AVERAGE(FS42:GR42)</f>
        <v>20820.403461538463</v>
      </c>
      <c r="GY42" s="56">
        <f>AVERAGE(GF42:GR42)</f>
        <v>21603.59153846154</v>
      </c>
      <c r="GZ42" s="56">
        <f>AVERAGE(GN42:GR42)</f>
        <v>22113.66</v>
      </c>
      <c r="HA42" s="56">
        <f>MAX(D42:GR42)</f>
        <v>30001.45</v>
      </c>
    </row>
    <row r="43" spans="1:209" s="2" customFormat="1" ht="15" customHeight="1" x14ac:dyDescent="0.3">
      <c r="A43" s="169"/>
      <c r="B43" s="35" t="s">
        <v>365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>
        <f t="shared" ref="BH43:CO43" si="1160">SUM(BH42-BG42)</f>
        <v>13248.75</v>
      </c>
      <c r="BI43" s="21">
        <f t="shared" si="1160"/>
        <v>4448.2999999999993</v>
      </c>
      <c r="BJ43" s="21">
        <f t="shared" si="1160"/>
        <v>-873.29999999999927</v>
      </c>
      <c r="BK43" s="21">
        <f t="shared" si="1160"/>
        <v>-181.79999999999927</v>
      </c>
      <c r="BL43" s="21">
        <f t="shared" si="1160"/>
        <v>800.03499999999985</v>
      </c>
      <c r="BM43" s="21">
        <f t="shared" si="1160"/>
        <v>-581.48500000000058</v>
      </c>
      <c r="BN43" s="21">
        <f t="shared" si="1160"/>
        <v>-4678.8499999999985</v>
      </c>
      <c r="BO43" s="21">
        <f t="shared" si="1160"/>
        <v>3420.5999999999985</v>
      </c>
      <c r="BP43" s="21">
        <f t="shared" si="1160"/>
        <v>104.45000000000073</v>
      </c>
      <c r="BQ43" s="21">
        <f t="shared" si="1160"/>
        <v>1300.5</v>
      </c>
      <c r="BR43" s="21">
        <f t="shared" si="1160"/>
        <v>-1138.25</v>
      </c>
      <c r="BS43" s="21">
        <f t="shared" si="1160"/>
        <v>-2966.1000000000022</v>
      </c>
      <c r="BT43" s="21">
        <f t="shared" si="1160"/>
        <v>2686.5</v>
      </c>
      <c r="BU43" s="21">
        <f t="shared" si="1160"/>
        <v>-585.39999999999782</v>
      </c>
      <c r="BV43" s="21">
        <f t="shared" si="1160"/>
        <v>1721.3499999999985</v>
      </c>
      <c r="BW43" s="21">
        <f t="shared" si="1160"/>
        <v>-587</v>
      </c>
      <c r="BX43" s="21">
        <f t="shared" si="1160"/>
        <v>4171.6900000000023</v>
      </c>
      <c r="BY43" s="21">
        <f t="shared" si="1160"/>
        <v>-536.64000000000306</v>
      </c>
      <c r="BZ43" s="21">
        <f t="shared" si="1160"/>
        <v>-5039.6399999999976</v>
      </c>
      <c r="CA43" s="21">
        <f t="shared" si="1160"/>
        <v>-75.31000000000131</v>
      </c>
      <c r="CB43" s="21">
        <f t="shared" si="1160"/>
        <v>1258.1000000000004</v>
      </c>
      <c r="CC43" s="21">
        <f t="shared" si="1160"/>
        <v>4990.4500000000007</v>
      </c>
      <c r="CD43" s="21">
        <f t="shared" si="1160"/>
        <v>-3346.7000000000007</v>
      </c>
      <c r="CE43" s="21">
        <f t="shared" si="1160"/>
        <v>3854.7000000000007</v>
      </c>
      <c r="CF43" s="21">
        <f t="shared" si="1160"/>
        <v>-413.60000000000218</v>
      </c>
      <c r="CG43" s="21">
        <f t="shared" si="1160"/>
        <v>88.450000000000728</v>
      </c>
      <c r="CH43" s="21">
        <f t="shared" si="1160"/>
        <v>-1563.75</v>
      </c>
      <c r="CI43" s="21">
        <f t="shared" si="1160"/>
        <v>1568.6000000000022</v>
      </c>
      <c r="CJ43" s="21">
        <f t="shared" si="1160"/>
        <v>-2835.8000000000029</v>
      </c>
      <c r="CK43" s="21">
        <f t="shared" si="1160"/>
        <v>4102</v>
      </c>
      <c r="CL43" s="21">
        <f t="shared" si="1160"/>
        <v>3501.5500000000029</v>
      </c>
      <c r="CM43" s="21">
        <f t="shared" si="1160"/>
        <v>-5363.5999999999985</v>
      </c>
      <c r="CN43" s="21">
        <f t="shared" si="1160"/>
        <v>-3412.1000000000022</v>
      </c>
      <c r="CO43" s="21">
        <f t="shared" si="1160"/>
        <v>747.25</v>
      </c>
      <c r="CP43" s="21">
        <f t="shared" ref="CP43:DH43" si="1161">SUM(CP42-CO42)</f>
        <v>219.84999999999854</v>
      </c>
      <c r="CQ43" s="21">
        <f t="shared" si="1161"/>
        <v>1294.9000000000015</v>
      </c>
      <c r="CR43" s="21">
        <f t="shared" si="1161"/>
        <v>-231.65999999999985</v>
      </c>
      <c r="CS43" s="21">
        <f t="shared" si="1161"/>
        <v>-945.59000000000378</v>
      </c>
      <c r="CT43" s="21">
        <f t="shared" si="1161"/>
        <v>1751.0500000000029</v>
      </c>
      <c r="CU43" s="21">
        <f t="shared" si="1161"/>
        <v>425.52000000000044</v>
      </c>
      <c r="CV43" s="21">
        <f t="shared" si="1161"/>
        <v>-1433.5699999999997</v>
      </c>
      <c r="CW43" s="21">
        <f t="shared" si="1161"/>
        <v>3188.0499999999993</v>
      </c>
      <c r="CX43" s="21">
        <f t="shared" si="1161"/>
        <v>-764.79999999999927</v>
      </c>
      <c r="CY43" s="21">
        <f t="shared" si="1161"/>
        <v>-2160</v>
      </c>
      <c r="CZ43" s="21">
        <f t="shared" si="1161"/>
        <v>-967.70000000000073</v>
      </c>
      <c r="DA43" s="21">
        <f t="shared" si="1161"/>
        <v>39.94999999999709</v>
      </c>
      <c r="DB43" s="21">
        <f t="shared" si="1161"/>
        <v>3026.1200000000026</v>
      </c>
      <c r="DC43" s="21">
        <f t="shared" si="1161"/>
        <v>-2654.4700000000012</v>
      </c>
      <c r="DD43" s="21">
        <f t="shared" si="1161"/>
        <v>4730.1100000000006</v>
      </c>
      <c r="DE43" s="21">
        <f t="shared" si="1161"/>
        <v>-1155.6100000000006</v>
      </c>
      <c r="DF43" s="21">
        <f t="shared" si="1161"/>
        <v>934.45000000000073</v>
      </c>
      <c r="DG43" s="21">
        <f t="shared" si="1161"/>
        <v>342.5</v>
      </c>
      <c r="DH43" s="21">
        <f t="shared" si="1161"/>
        <v>-620.60000000000218</v>
      </c>
      <c r="DI43" s="28">
        <f t="shared" ref="DI43" si="1162">SUM(DI42-DH42)/DH42</f>
        <v>-0.19859577419488933</v>
      </c>
      <c r="DJ43" s="28">
        <f t="shared" ref="DJ43" si="1163">SUM(DJ42-DI42)/DI42</f>
        <v>-4.2104286053603578E-2</v>
      </c>
      <c r="DK43" s="28">
        <f t="shared" ref="DK43" si="1164">SUM(DK42-DJ42)/DJ42</f>
        <v>7.412379331868349E-2</v>
      </c>
      <c r="DL43" s="28">
        <f t="shared" ref="DL43" si="1165">SUM(DL42-DK42)/DK42</f>
        <v>6.7843742868817974E-2</v>
      </c>
      <c r="DM43" s="28">
        <f t="shared" ref="DM43" si="1166">SUM(DM42-DL42)/DL42</f>
        <v>7.4712872172828459E-2</v>
      </c>
      <c r="DN43" s="28">
        <f t="shared" ref="DN43" si="1167">SUM(DN42-DM42)/DM42</f>
        <v>-0.19033944430186284</v>
      </c>
      <c r="DO43" s="28">
        <f t="shared" ref="DO43" si="1168">SUM(DO42-DN42)/DN42</f>
        <v>-1.7382538644521925E-2</v>
      </c>
      <c r="DP43" s="28">
        <f t="shared" ref="DP43" si="1169">SUM(DP42-DO42)/DO42</f>
        <v>8.4756402357509295E-2</v>
      </c>
      <c r="DQ43" s="28">
        <f t="shared" ref="DQ43" si="1170">SUM(DQ42-DP42)/DP42</f>
        <v>-8.0807810189253787E-2</v>
      </c>
      <c r="DR43" s="28">
        <f t="shared" ref="DR43" si="1171">SUM(DR42-DQ42)/DQ42</f>
        <v>0.22348102852279553</v>
      </c>
      <c r="DS43" s="28">
        <f t="shared" ref="DS43" si="1172">SUM(DS42-DR42)/DR42</f>
        <v>-0.11435098828164995</v>
      </c>
      <c r="DT43" s="28">
        <f t="shared" ref="DT43" si="1173">SUM(DT42-DS42)/DS42</f>
        <v>-0.15152998644315821</v>
      </c>
      <c r="DU43" s="28">
        <f t="shared" ref="DU43" si="1174">SUM(DU42-DT42)/DT42</f>
        <v>0.19134906192737625</v>
      </c>
      <c r="DV43" s="28">
        <f t="shared" ref="DV43" si="1175">SUM(DV42-DU42)/DU42</f>
        <v>-0.15562332354068201</v>
      </c>
      <c r="DW43" s="28">
        <f t="shared" ref="DW43" si="1176">SUM(DW42-DV42)/DV42</f>
        <v>0.43795342094481726</v>
      </c>
      <c r="DX43" s="28">
        <f t="shared" ref="DX43" si="1177">SUM(DX42-DW42)/DW42</f>
        <v>0.10085101813152988</v>
      </c>
      <c r="DY43" s="28">
        <f t="shared" ref="DY43" si="1178">SUM(DY42-DX42)/DX42</f>
        <v>-0.17733275199933113</v>
      </c>
      <c r="DZ43" s="28">
        <f t="shared" ref="DZ43" si="1179">SUM(DZ42-DY42)/DY42</f>
        <v>0.25535066066502105</v>
      </c>
      <c r="EA43" s="28">
        <f t="shared" ref="EA43" si="1180">SUM(EA42-DZ42)/DZ42</f>
        <v>-0.27909765275592974</v>
      </c>
      <c r="EB43" s="28">
        <f t="shared" ref="EB43" si="1181">SUM(EB42-EA42)/EA42</f>
        <v>0.11525893282133279</v>
      </c>
      <c r="EC43" s="28">
        <f t="shared" ref="EC43" si="1182">SUM(EC42-EB42)/EB42</f>
        <v>-0.17949695487459835</v>
      </c>
      <c r="ED43" s="28">
        <f t="shared" ref="ED43" si="1183">SUM(ED42-EC42)/EC42</f>
        <v>-5.1721366807033375E-2</v>
      </c>
      <c r="EE43" s="28">
        <f t="shared" ref="EE43" si="1184">SUM(EE42-ED42)/ED42</f>
        <v>3.902311248073969E-2</v>
      </c>
      <c r="EF43" s="28">
        <f t="shared" ref="EF43" si="1185">SUM(EF42-EE42)/EE42</f>
        <v>0.20397552519107975</v>
      </c>
      <c r="EG43" s="28">
        <f t="shared" ref="EG43" si="1186">SUM(EG42-EF42)/EF42</f>
        <v>2.8494639549091406E-2</v>
      </c>
      <c r="EH43" s="28">
        <f t="shared" ref="EH43" si="1187">SUM(EH42-EG42)/EG42</f>
        <v>1.1655006071812623E-2</v>
      </c>
      <c r="EI43" s="28">
        <f t="shared" ref="EI43" si="1188">SUM(EI42-EH42)/EH42</f>
        <v>-0.15288764090167603</v>
      </c>
      <c r="EJ43" s="28">
        <f t="shared" ref="EJ43" si="1189">SUM(EJ42-EI42)/EI42</f>
        <v>0.1939132573492009</v>
      </c>
      <c r="EK43" s="28">
        <f t="shared" ref="EK43" si="1190">SUM(EK42-EJ42)/EJ42</f>
        <v>2.789723181365944E-2</v>
      </c>
      <c r="EL43" s="28">
        <f t="shared" ref="EL43" si="1191">SUM(EL42-EK42)/EK42</f>
        <v>0.22001767283393922</v>
      </c>
      <c r="EM43" s="28">
        <f t="shared" ref="EM43" si="1192">SUM(EM42-EL42)/EL42</f>
        <v>-0.23525480679484784</v>
      </c>
      <c r="EN43" s="28">
        <f t="shared" ref="EN43" si="1193">SUM(EN42-EM42)/EM42</f>
        <v>0.19891425865444212</v>
      </c>
      <c r="EO43" s="28">
        <f t="shared" ref="EO43" si="1194">SUM(EO42-EN42)/EN42</f>
        <v>7.561221913658174E-2</v>
      </c>
      <c r="EP43" s="28">
        <f t="shared" ref="EP43" si="1195">SUM(EP42-EO42)/EO42</f>
        <v>-6.2201165242607423E-2</v>
      </c>
      <c r="EQ43" s="28">
        <f t="shared" ref="EQ43" si="1196">SUM(EQ42-EP42)/EP42</f>
        <v>-9.0222650123837882E-4</v>
      </c>
      <c r="ER43" s="28">
        <f t="shared" ref="ER43" si="1197">SUM(ER42-EQ42)/EQ42</f>
        <v>-0.13485618007490993</v>
      </c>
      <c r="ES43" s="28">
        <f t="shared" ref="ES43" si="1198">SUM(ES42-ER42)/ER42</f>
        <v>-5.7626429977512564E-2</v>
      </c>
      <c r="ET43" s="28">
        <f t="shared" ref="ET43" si="1199">SUM(ET42-ES42)/ES42</f>
        <v>0.21440518580742035</v>
      </c>
      <c r="EU43" s="28">
        <f t="shared" ref="EU43" si="1200">SUM(EU42-ET42)/ET42</f>
        <v>3.7688256622776632E-2</v>
      </c>
      <c r="EV43" s="28">
        <f t="shared" ref="EV43" si="1201">SUM(EV42-EU42)/EU42</f>
        <v>-0.18579611907827512</v>
      </c>
      <c r="EW43" s="28">
        <f t="shared" ref="EW43" si="1202">SUM(EW42-EV42)/EV42</f>
        <v>0.28515095954512149</v>
      </c>
      <c r="EX43" s="28">
        <f t="shared" ref="EX43" si="1203">SUM(EX42-EW42)/EW42</f>
        <v>-0.20700411918578415</v>
      </c>
      <c r="EY43" s="28">
        <f t="shared" ref="EY43" si="1204">SUM(EY42-EX42)/EX42</f>
        <v>8.4355479302728908E-2</v>
      </c>
      <c r="EZ43" s="28">
        <f t="shared" ref="EZ43" si="1205">SUM(EZ42-EY42)/EY42</f>
        <v>9.9382628364129508E-3</v>
      </c>
      <c r="FA43" s="28">
        <f t="shared" ref="FA43" si="1206">SUM(FA42-EZ42)/EZ42</f>
        <v>-0.16088369442017289</v>
      </c>
      <c r="FB43" s="28">
        <f t="shared" ref="FB43" si="1207">SUM(FB42-FA42)/FA42</f>
        <v>2.5155821683776749E-2</v>
      </c>
      <c r="FC43" s="28">
        <f t="shared" ref="FC43" si="1208">SUM(FC42-FB42)/FB42</f>
        <v>6.1113654543716568E-2</v>
      </c>
      <c r="FD43" s="28">
        <f t="shared" ref="FD43" si="1209">SUM(FD42-FC42)/FC42</f>
        <v>4.1322039764551163E-2</v>
      </c>
      <c r="FE43" s="28">
        <f t="shared" ref="FE43" si="1210">SUM(FE42-FD42)/FD42</f>
        <v>-1.438770306694769E-3</v>
      </c>
      <c r="FF43" s="28">
        <f t="shared" ref="FF43" si="1211">SUM(FF42-FE42)/FE42</f>
        <v>-0.10885890678290673</v>
      </c>
      <c r="FG43" s="28">
        <f t="shared" ref="FG43" si="1212">SUM(FG42-FF42)/FF42</f>
        <v>7.3479788069575724E-2</v>
      </c>
      <c r="FH43" s="28">
        <f t="shared" ref="FH43" si="1213">SUM(FH42-FG42)/FG42</f>
        <v>0.11519405154848025</v>
      </c>
      <c r="FI43" s="28">
        <f t="shared" ref="FI43" si="1214">SUM(FI42-FH42)/FH42</f>
        <v>-0.29290872139863799</v>
      </c>
      <c r="FJ43" s="28">
        <f t="shared" ref="FJ43" si="1215">SUM(FJ42-FI42)/FI42</f>
        <v>2.1634625555720217E-2</v>
      </c>
      <c r="FK43" s="28">
        <f t="shared" ref="FK43" si="1216">SUM(FK42-FJ42)/FJ42</f>
        <v>7.8685841778701304E-2</v>
      </c>
      <c r="FL43" s="28">
        <f t="shared" ref="FL43" si="1217">SUM(FL42-FK42)/FK42</f>
        <v>-3.1247771738236188E-2</v>
      </c>
      <c r="FM43" s="28">
        <f t="shared" ref="FM43:GK43" si="1218">SUM(FM42-FL42)/FL42</f>
        <v>4.8029668214245438E-2</v>
      </c>
      <c r="FN43" s="28">
        <f t="shared" si="1218"/>
        <v>2.0391349680988262E-2</v>
      </c>
      <c r="FO43" s="28">
        <f t="shared" si="1218"/>
        <v>-1.9274397426903834E-2</v>
      </c>
      <c r="FP43" s="28">
        <f t="shared" si="1218"/>
        <v>6.5691519512840635E-2</v>
      </c>
      <c r="FQ43" s="28">
        <f t="shared" si="1218"/>
        <v>-3.8084045277360701E-2</v>
      </c>
      <c r="FR43" s="28">
        <f t="shared" si="1218"/>
        <v>5.0398262128890578E-3</v>
      </c>
      <c r="FS43" s="28">
        <f t="shared" si="1218"/>
        <v>-9.326965147017599E-2</v>
      </c>
      <c r="FT43" s="28">
        <f t="shared" si="1218"/>
        <v>9.0208010078332471E-2</v>
      </c>
      <c r="FU43" s="28">
        <f t="shared" si="1218"/>
        <v>2.1767304782022243E-2</v>
      </c>
      <c r="FV43" s="28">
        <f t="shared" si="1218"/>
        <v>-0.26825965833337651</v>
      </c>
      <c r="FW43" s="28">
        <f t="shared" si="1218"/>
        <v>0.62469603193171264</v>
      </c>
      <c r="FX43" s="28">
        <f t="shared" si="1218"/>
        <v>-1.6427028560207585E-2</v>
      </c>
      <c r="FY43" s="28">
        <f t="shared" si="1218"/>
        <v>4.4276742953097093E-3</v>
      </c>
      <c r="FZ43" s="28">
        <f t="shared" si="1218"/>
        <v>0.32516116493704694</v>
      </c>
      <c r="GA43" s="28">
        <f t="shared" si="1218"/>
        <v>-0.40675700674467397</v>
      </c>
      <c r="GB43" s="28">
        <f t="shared" si="1218"/>
        <v>0.10362312937018731</v>
      </c>
      <c r="GC43" s="28">
        <f t="shared" si="1218"/>
        <v>4.1899050271223433E-3</v>
      </c>
      <c r="GD43" s="28">
        <f t="shared" si="1218"/>
        <v>-5.9950062738437747E-3</v>
      </c>
      <c r="GE43" s="28">
        <f t="shared" si="1218"/>
        <v>-0.18073088006528448</v>
      </c>
      <c r="GF43" s="28">
        <f t="shared" si="1218"/>
        <v>0.32154018551951702</v>
      </c>
      <c r="GG43" s="28">
        <f t="shared" si="1218"/>
        <v>-8.2933309465374767E-3</v>
      </c>
      <c r="GH43" s="28">
        <f t="shared" si="1218"/>
        <v>-0.15574403199718778</v>
      </c>
      <c r="GI43" s="28">
        <f t="shared" si="1218"/>
        <v>0.18369281753656494</v>
      </c>
      <c r="GJ43" s="28">
        <f t="shared" si="1218"/>
        <v>0.1151866032574467</v>
      </c>
      <c r="GK43" s="83">
        <f t="shared" si="1218"/>
        <v>-0.20563874714209482</v>
      </c>
      <c r="GL43" s="28">
        <f t="shared" ref="GL43" si="1219">(GL42-GK42)/GK42</f>
        <v>-6.3215054167314974E-2</v>
      </c>
      <c r="GM43" s="83">
        <f t="shared" ref="GM43" si="1220">(GM42-GL42)/GL42</f>
        <v>0.69721821591446709</v>
      </c>
      <c r="GN43" s="28">
        <f t="shared" ref="GN43" si="1221">(GN42-GM42)/GM42</f>
        <v>-0.21064647791402394</v>
      </c>
      <c r="GO43" s="28">
        <f t="shared" ref="GO43:GR43" si="1222">(GO42-GN42)/GN42</f>
        <v>-9.3117166573675511E-2</v>
      </c>
      <c r="GP43" s="28">
        <f t="shared" si="1222"/>
        <v>-5.7304091196244897E-3</v>
      </c>
      <c r="GQ43" s="28">
        <f t="shared" si="1222"/>
        <v>3.9279558650251262E-2</v>
      </c>
      <c r="GR43" s="165">
        <f t="shared" si="1222"/>
        <v>4.7503792501682421E-2</v>
      </c>
      <c r="GS43" s="157"/>
      <c r="GT43" s="11"/>
      <c r="GU43" s="95" t="s">
        <v>368</v>
      </c>
      <c r="GV43" s="105">
        <f>LABOUR!AG55</f>
        <v>0.39408609526796157</v>
      </c>
      <c r="GW43" s="58"/>
      <c r="GX43" s="58"/>
      <c r="GY43" s="58"/>
      <c r="GZ43" s="58"/>
      <c r="HA43" s="58"/>
    </row>
    <row r="44" spans="1:209" s="2" customFormat="1" ht="15" customHeight="1" x14ac:dyDescent="0.3">
      <c r="A44" s="169"/>
      <c r="B44" s="22" t="s">
        <v>91</v>
      </c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>
        <f t="shared" ref="BD44" si="1223">D42</f>
        <v>0</v>
      </c>
      <c r="BE44" s="25">
        <f t="shared" ref="BE44" si="1224">E42</f>
        <v>0</v>
      </c>
      <c r="BF44" s="25">
        <f t="shared" ref="BF44" si="1225">F42</f>
        <v>0</v>
      </c>
      <c r="BG44" s="25">
        <f t="shared" ref="BG44" si="1226">G42</f>
        <v>0</v>
      </c>
      <c r="BH44" s="25">
        <f t="shared" ref="BH44" si="1227">H42</f>
        <v>0</v>
      </c>
      <c r="BI44" s="25">
        <f t="shared" ref="BI44" si="1228">I42</f>
        <v>0</v>
      </c>
      <c r="BJ44" s="25">
        <f t="shared" ref="BJ44" si="1229">J42</f>
        <v>0</v>
      </c>
      <c r="BK44" s="25">
        <f t="shared" ref="BK44" si="1230">K42</f>
        <v>0</v>
      </c>
      <c r="BL44" s="25">
        <f t="shared" ref="BL44" si="1231">L42</f>
        <v>0</v>
      </c>
      <c r="BM44" s="25">
        <f t="shared" ref="BM44" si="1232">M42</f>
        <v>0</v>
      </c>
      <c r="BN44" s="25">
        <f t="shared" ref="BN44" si="1233">N42</f>
        <v>0</v>
      </c>
      <c r="BO44" s="25">
        <f t="shared" ref="BO44" si="1234">O42</f>
        <v>0</v>
      </c>
      <c r="BP44" s="25">
        <f t="shared" ref="BP44" si="1235">P42</f>
        <v>0</v>
      </c>
      <c r="BQ44" s="25">
        <f t="shared" ref="BQ44" si="1236">Q42</f>
        <v>0</v>
      </c>
      <c r="BR44" s="25">
        <f t="shared" ref="BR44" si="1237">R42</f>
        <v>0</v>
      </c>
      <c r="BS44" s="25">
        <f t="shared" ref="BS44" si="1238">S42</f>
        <v>0</v>
      </c>
      <c r="BT44" s="25">
        <f t="shared" ref="BT44" si="1239">T42</f>
        <v>0</v>
      </c>
      <c r="BU44" s="25">
        <f t="shared" ref="BU44" si="1240">U42</f>
        <v>0</v>
      </c>
      <c r="BV44" s="25">
        <f t="shared" ref="BV44" si="1241">V42</f>
        <v>0</v>
      </c>
      <c r="BW44" s="25">
        <f t="shared" ref="BW44" si="1242">W42</f>
        <v>0</v>
      </c>
      <c r="BX44" s="25">
        <f t="shared" ref="BX44" si="1243">X42</f>
        <v>0</v>
      </c>
      <c r="BY44" s="25">
        <f t="shared" ref="BY44" si="1244">Y42</f>
        <v>0</v>
      </c>
      <c r="BZ44" s="25">
        <f t="shared" ref="BZ44" si="1245">Z42</f>
        <v>0</v>
      </c>
      <c r="CA44" s="25">
        <f t="shared" ref="CA44" si="1246">AA42</f>
        <v>0</v>
      </c>
      <c r="CB44" s="25">
        <f t="shared" ref="CB44" si="1247">AB42</f>
        <v>0</v>
      </c>
      <c r="CC44" s="25">
        <f t="shared" ref="CC44" si="1248">AC42</f>
        <v>0</v>
      </c>
      <c r="CD44" s="25">
        <f t="shared" ref="CD44" si="1249">AD42</f>
        <v>0</v>
      </c>
      <c r="CE44" s="25">
        <f t="shared" ref="CE44" si="1250">AE42</f>
        <v>0</v>
      </c>
      <c r="CF44" s="25">
        <f t="shared" ref="CF44" si="1251">AF42</f>
        <v>0</v>
      </c>
      <c r="CG44" s="25">
        <f t="shared" ref="CG44" si="1252">AG42</f>
        <v>0</v>
      </c>
      <c r="CH44" s="25">
        <f t="shared" ref="CH44" si="1253">AH42</f>
        <v>0</v>
      </c>
      <c r="CI44" s="25">
        <f t="shared" ref="CI44" si="1254">AI42</f>
        <v>0</v>
      </c>
      <c r="CJ44" s="25">
        <f t="shared" ref="CJ44" si="1255">AJ42</f>
        <v>0</v>
      </c>
      <c r="CK44" s="25">
        <f t="shared" ref="CK44" si="1256">AK42</f>
        <v>0</v>
      </c>
      <c r="CL44" s="25">
        <f t="shared" ref="CL44" si="1257">AL42</f>
        <v>0</v>
      </c>
      <c r="CM44" s="25">
        <f t="shared" ref="CM44" si="1258">AM42</f>
        <v>0</v>
      </c>
      <c r="CN44" s="25">
        <f t="shared" ref="CN44" si="1259">AN42</f>
        <v>0</v>
      </c>
      <c r="CO44" s="25">
        <f t="shared" ref="CO44" si="1260">AO42</f>
        <v>0</v>
      </c>
      <c r="CP44" s="25">
        <f t="shared" ref="CP44" si="1261">AP42</f>
        <v>0</v>
      </c>
      <c r="CQ44" s="25">
        <f t="shared" ref="CQ44" si="1262">AQ42</f>
        <v>0</v>
      </c>
      <c r="CR44" s="25">
        <f t="shared" ref="CR44" si="1263">AR42</f>
        <v>0</v>
      </c>
      <c r="CS44" s="25">
        <f t="shared" ref="CS44" si="1264">AS42</f>
        <v>0</v>
      </c>
      <c r="CT44" s="25">
        <f t="shared" ref="CT44" si="1265">AT42</f>
        <v>0</v>
      </c>
      <c r="CU44" s="25">
        <f t="shared" ref="CU44" si="1266">AU42</f>
        <v>0</v>
      </c>
      <c r="CV44" s="25">
        <f t="shared" ref="CV44" si="1267">AV42</f>
        <v>0</v>
      </c>
      <c r="CW44" s="25">
        <f t="shared" ref="CW44" si="1268">AW42</f>
        <v>0</v>
      </c>
      <c r="CX44" s="25">
        <f t="shared" ref="CX44" si="1269">AX42</f>
        <v>0</v>
      </c>
      <c r="CY44" s="25">
        <f t="shared" ref="CY44" si="1270">AY42</f>
        <v>0</v>
      </c>
      <c r="CZ44" s="25">
        <f t="shared" ref="CZ44" si="1271">AZ42</f>
        <v>0</v>
      </c>
      <c r="DA44" s="25">
        <f t="shared" ref="DA44" si="1272">BA42</f>
        <v>0</v>
      </c>
      <c r="DB44" s="25">
        <f t="shared" ref="DB44" si="1273">BB42</f>
        <v>0</v>
      </c>
      <c r="DC44" s="25">
        <f t="shared" ref="DC44" si="1274">BC42</f>
        <v>0</v>
      </c>
      <c r="DD44" s="25">
        <f t="shared" ref="DD44" si="1275">BD42</f>
        <v>0</v>
      </c>
      <c r="DE44" s="25">
        <f t="shared" ref="DE44" si="1276">BE42</f>
        <v>0</v>
      </c>
      <c r="DF44" s="25">
        <f t="shared" ref="DF44" si="1277">BF42</f>
        <v>0</v>
      </c>
      <c r="DG44" s="25">
        <f t="shared" ref="DG44" si="1278">BG42</f>
        <v>0</v>
      </c>
      <c r="DH44" s="25">
        <f t="shared" ref="DH44" si="1279">BH42</f>
        <v>13248.75</v>
      </c>
      <c r="DI44" s="25">
        <f t="shared" ref="DI44" si="1280">BI42</f>
        <v>17697.05</v>
      </c>
      <c r="DJ44" s="25">
        <f t="shared" ref="DJ44" si="1281">BJ42</f>
        <v>16823.75</v>
      </c>
      <c r="DK44" s="25">
        <f t="shared" ref="DK44" si="1282">BK42</f>
        <v>16641.95</v>
      </c>
      <c r="DL44" s="25">
        <f t="shared" ref="DL44" si="1283">BL42</f>
        <v>17441.985000000001</v>
      </c>
      <c r="DM44" s="25">
        <f t="shared" ref="DM44" si="1284">BM42</f>
        <v>16860.5</v>
      </c>
      <c r="DN44" s="25">
        <f t="shared" ref="DN44" si="1285">BN42</f>
        <v>12181.650000000001</v>
      </c>
      <c r="DO44" s="25">
        <f t="shared" ref="DO44" si="1286">BO42</f>
        <v>15602.25</v>
      </c>
      <c r="DP44" s="25">
        <f t="shared" ref="DP44" si="1287">BP42</f>
        <v>15706.7</v>
      </c>
      <c r="DQ44" s="25">
        <f t="shared" ref="DQ44" si="1288">BQ42</f>
        <v>17007.2</v>
      </c>
      <c r="DR44" s="25">
        <f t="shared" ref="DR44" si="1289">BR42</f>
        <v>15868.95</v>
      </c>
      <c r="DS44" s="25">
        <f t="shared" ref="DS44" si="1290">BS42</f>
        <v>12902.849999999999</v>
      </c>
      <c r="DT44" s="25">
        <f t="shared" ref="DT44" si="1291">BT42</f>
        <v>15589.349999999999</v>
      </c>
      <c r="DU44" s="25">
        <f t="shared" ref="DU44" si="1292">BU42</f>
        <v>15003.95</v>
      </c>
      <c r="DV44" s="25">
        <f t="shared" ref="DV44" si="1293">BV42</f>
        <v>16725.3</v>
      </c>
      <c r="DW44" s="25">
        <f t="shared" ref="DW44:GL44" si="1294">BW42</f>
        <v>16138.3</v>
      </c>
      <c r="DX44" s="25">
        <f t="shared" si="1294"/>
        <v>20309.990000000002</v>
      </c>
      <c r="DY44" s="25">
        <f t="shared" si="1294"/>
        <v>19773.349999999999</v>
      </c>
      <c r="DZ44" s="25">
        <f t="shared" si="1294"/>
        <v>14733.710000000001</v>
      </c>
      <c r="EA44" s="25">
        <f t="shared" si="1294"/>
        <v>14658.4</v>
      </c>
      <c r="EB44" s="25">
        <f t="shared" si="1294"/>
        <v>15916.5</v>
      </c>
      <c r="EC44" s="25">
        <f t="shared" si="1294"/>
        <v>20906.95</v>
      </c>
      <c r="ED44" s="25">
        <f t="shared" si="1294"/>
        <v>17560.25</v>
      </c>
      <c r="EE44" s="25">
        <f t="shared" si="1294"/>
        <v>21414.95</v>
      </c>
      <c r="EF44" s="25">
        <f t="shared" si="1294"/>
        <v>21001.35</v>
      </c>
      <c r="EG44" s="25">
        <f t="shared" si="1294"/>
        <v>21089.8</v>
      </c>
      <c r="EH44" s="25">
        <f t="shared" si="1294"/>
        <v>19526.05</v>
      </c>
      <c r="EI44" s="25">
        <f t="shared" si="1294"/>
        <v>21094.65</v>
      </c>
      <c r="EJ44" s="25">
        <f t="shared" si="1294"/>
        <v>18258.849999999999</v>
      </c>
      <c r="EK44" s="25">
        <f t="shared" si="1294"/>
        <v>22360.85</v>
      </c>
      <c r="EL44" s="25">
        <f t="shared" si="1294"/>
        <v>25862.400000000001</v>
      </c>
      <c r="EM44" s="25">
        <f t="shared" si="1294"/>
        <v>20498.800000000003</v>
      </c>
      <c r="EN44" s="25">
        <f t="shared" si="1294"/>
        <v>17086.7</v>
      </c>
      <c r="EO44" s="25">
        <f t="shared" si="1294"/>
        <v>17833.95</v>
      </c>
      <c r="EP44" s="25">
        <f t="shared" si="1294"/>
        <v>18053.8</v>
      </c>
      <c r="EQ44" s="25">
        <f t="shared" si="1294"/>
        <v>19348.7</v>
      </c>
      <c r="ER44" s="25">
        <f t="shared" si="1294"/>
        <v>19117.04</v>
      </c>
      <c r="ES44" s="25">
        <f t="shared" si="1294"/>
        <v>18171.449999999997</v>
      </c>
      <c r="ET44" s="25">
        <f t="shared" si="1294"/>
        <v>19922.5</v>
      </c>
      <c r="EU44" s="25">
        <f t="shared" si="1294"/>
        <v>20348.02</v>
      </c>
      <c r="EV44" s="25">
        <f t="shared" si="1294"/>
        <v>18914.45</v>
      </c>
      <c r="EW44" s="25">
        <f t="shared" si="1294"/>
        <v>22102.5</v>
      </c>
      <c r="EX44" s="25">
        <f t="shared" si="1294"/>
        <v>21337.7</v>
      </c>
      <c r="EY44" s="25">
        <f t="shared" si="1294"/>
        <v>19177.7</v>
      </c>
      <c r="EZ44" s="25">
        <f t="shared" si="1294"/>
        <v>18210</v>
      </c>
      <c r="FA44" s="25">
        <f t="shared" si="1294"/>
        <v>18249.949999999997</v>
      </c>
      <c r="FB44" s="25">
        <f t="shared" si="1294"/>
        <v>21276.07</v>
      </c>
      <c r="FC44" s="25">
        <f t="shared" si="1294"/>
        <v>18621.599999999999</v>
      </c>
      <c r="FD44" s="25">
        <f t="shared" si="1294"/>
        <v>23351.71</v>
      </c>
      <c r="FE44" s="25">
        <f t="shared" si="1294"/>
        <v>22196.1</v>
      </c>
      <c r="FF44" s="25">
        <f t="shared" si="1294"/>
        <v>23130.55</v>
      </c>
      <c r="FG44" s="25">
        <f t="shared" si="1294"/>
        <v>23473.05</v>
      </c>
      <c r="FH44" s="25">
        <f t="shared" si="1294"/>
        <v>22852.449999999997</v>
      </c>
      <c r="FI44" s="25">
        <f t="shared" si="1294"/>
        <v>18314.05</v>
      </c>
      <c r="FJ44" s="25">
        <f t="shared" si="1294"/>
        <v>17542.95</v>
      </c>
      <c r="FK44" s="25">
        <f t="shared" si="1294"/>
        <v>18843.3</v>
      </c>
      <c r="FL44" s="25">
        <f t="shared" si="1294"/>
        <v>20121.699999999997</v>
      </c>
      <c r="FM44" s="25">
        <f t="shared" si="1294"/>
        <v>21625.05</v>
      </c>
      <c r="FN44" s="25">
        <f t="shared" si="1294"/>
        <v>17508.95</v>
      </c>
      <c r="FO44" s="25">
        <f t="shared" si="1294"/>
        <v>17204.599999999999</v>
      </c>
      <c r="FP44" s="25">
        <f t="shared" si="1294"/>
        <v>18662.800000000003</v>
      </c>
      <c r="FQ44" s="25">
        <f t="shared" si="1294"/>
        <v>17154.699999999997</v>
      </c>
      <c r="FR44" s="25">
        <f t="shared" si="1294"/>
        <v>20988.449999999997</v>
      </c>
      <c r="FS44" s="25">
        <f t="shared" si="1294"/>
        <v>18588.400000000001</v>
      </c>
      <c r="FT44" s="25">
        <f t="shared" si="1294"/>
        <v>15771.699999999999</v>
      </c>
      <c r="FU44" s="25">
        <f t="shared" si="1294"/>
        <v>18789.599999999999</v>
      </c>
      <c r="FV44" s="25">
        <f t="shared" si="1294"/>
        <v>15865.5</v>
      </c>
      <c r="FW44" s="25">
        <f t="shared" si="1294"/>
        <v>22813.85</v>
      </c>
      <c r="FX44" s="25">
        <f t="shared" si="1294"/>
        <v>25114.65</v>
      </c>
      <c r="FY44" s="25">
        <f t="shared" si="1294"/>
        <v>20661</v>
      </c>
      <c r="FZ44" s="25">
        <f t="shared" si="1294"/>
        <v>25936.799999999999</v>
      </c>
      <c r="GA44" s="25">
        <f t="shared" si="1294"/>
        <v>18697.900000000001</v>
      </c>
      <c r="GB44" s="25">
        <f t="shared" si="1294"/>
        <v>20853</v>
      </c>
      <c r="GC44" s="25">
        <f t="shared" si="1294"/>
        <v>17109.95</v>
      </c>
      <c r="GD44" s="25">
        <f t="shared" si="1294"/>
        <v>16225</v>
      </c>
      <c r="GE44" s="25">
        <f t="shared" si="1294"/>
        <v>16858.150000000001</v>
      </c>
      <c r="GF44" s="25">
        <f t="shared" si="1294"/>
        <v>20296.800000000003</v>
      </c>
      <c r="GG44" s="25">
        <f t="shared" si="1294"/>
        <v>20875.150000000001</v>
      </c>
      <c r="GH44" s="25">
        <f t="shared" si="1294"/>
        <v>21118.45</v>
      </c>
      <c r="GI44" s="25">
        <f t="shared" si="1294"/>
        <v>17889.7</v>
      </c>
      <c r="GJ44" s="25">
        <f t="shared" si="1294"/>
        <v>21358.75</v>
      </c>
      <c r="GK44" s="25">
        <f t="shared" si="1294"/>
        <v>21954.6</v>
      </c>
      <c r="GL44" s="25">
        <f t="shared" si="1294"/>
        <v>26785</v>
      </c>
      <c r="GM44" s="25">
        <f t="shared" ref="GM44:GR44" si="1295">EL42</f>
        <v>26785</v>
      </c>
      <c r="GN44" s="25">
        <f t="shared" si="1295"/>
        <v>20483.7</v>
      </c>
      <c r="GO44" s="25">
        <f t="shared" si="1295"/>
        <v>24558.199999999997</v>
      </c>
      <c r="GP44" s="25">
        <f t="shared" si="1295"/>
        <v>26415.1</v>
      </c>
      <c r="GQ44" s="25">
        <f t="shared" si="1295"/>
        <v>24772.05</v>
      </c>
      <c r="GR44" s="110">
        <f t="shared" si="1295"/>
        <v>24749.699999999997</v>
      </c>
      <c r="GS44" s="157"/>
      <c r="GT44" s="3" t="s">
        <v>91</v>
      </c>
      <c r="GU44" s="11"/>
      <c r="GV44" s="11"/>
      <c r="GW44" s="58"/>
      <c r="GX44" s="58"/>
      <c r="GY44" s="58"/>
      <c r="GZ44" s="58"/>
      <c r="HA44" s="58"/>
    </row>
    <row r="45" spans="1:209" s="2" customFormat="1" ht="15" customHeight="1" x14ac:dyDescent="0.3">
      <c r="A45" s="169"/>
      <c r="B45" s="26" t="s">
        <v>366</v>
      </c>
      <c r="C45" s="39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>
        <f>IFERROR(((BY42-BY44)/BY44),0)</f>
        <v>0</v>
      </c>
      <c r="BZ45" s="28">
        <f t="shared" ref="BZ45:CN45" si="1296">IFERROR(((BZ42-BZ44)/BZ44),0)</f>
        <v>0</v>
      </c>
      <c r="CA45" s="28">
        <f t="shared" si="1296"/>
        <v>0</v>
      </c>
      <c r="CB45" s="28">
        <f t="shared" si="1296"/>
        <v>0</v>
      </c>
      <c r="CC45" s="28">
        <f t="shared" si="1296"/>
        <v>0</v>
      </c>
      <c r="CD45" s="28">
        <f t="shared" si="1296"/>
        <v>0</v>
      </c>
      <c r="CE45" s="28">
        <f t="shared" si="1296"/>
        <v>0</v>
      </c>
      <c r="CF45" s="28">
        <f t="shared" si="1296"/>
        <v>0</v>
      </c>
      <c r="CG45" s="28">
        <f t="shared" si="1296"/>
        <v>0</v>
      </c>
      <c r="CH45" s="28">
        <f t="shared" si="1296"/>
        <v>0</v>
      </c>
      <c r="CI45" s="28">
        <f t="shared" si="1296"/>
        <v>0</v>
      </c>
      <c r="CJ45" s="28">
        <f t="shared" si="1296"/>
        <v>0</v>
      </c>
      <c r="CK45" s="28">
        <f t="shared" si="1296"/>
        <v>0</v>
      </c>
      <c r="CL45" s="28">
        <f t="shared" si="1296"/>
        <v>0</v>
      </c>
      <c r="CM45" s="28">
        <f t="shared" si="1296"/>
        <v>0</v>
      </c>
      <c r="CN45" s="28">
        <f t="shared" si="1296"/>
        <v>0</v>
      </c>
      <c r="CO45" s="28">
        <f t="shared" ref="CO45:CZ45" si="1297">IFERROR(((CO42-CO44)/CO44),0)</f>
        <v>0</v>
      </c>
      <c r="CP45" s="28">
        <f t="shared" si="1297"/>
        <v>0</v>
      </c>
      <c r="CQ45" s="28">
        <f t="shared" si="1297"/>
        <v>0</v>
      </c>
      <c r="CR45" s="28">
        <f t="shared" si="1297"/>
        <v>0</v>
      </c>
      <c r="CS45" s="28">
        <f t="shared" si="1297"/>
        <v>0</v>
      </c>
      <c r="CT45" s="28">
        <f t="shared" si="1297"/>
        <v>0</v>
      </c>
      <c r="CU45" s="28">
        <f t="shared" si="1297"/>
        <v>0</v>
      </c>
      <c r="CV45" s="28">
        <f t="shared" si="1297"/>
        <v>0</v>
      </c>
      <c r="CW45" s="28">
        <f t="shared" si="1297"/>
        <v>0</v>
      </c>
      <c r="CX45" s="28">
        <f t="shared" si="1297"/>
        <v>0</v>
      </c>
      <c r="CY45" s="28">
        <f t="shared" si="1297"/>
        <v>0</v>
      </c>
      <c r="CZ45" s="28">
        <f t="shared" si="1297"/>
        <v>0</v>
      </c>
      <c r="DA45" s="28">
        <f t="shared" ref="DA45:DB45" si="1298">IFERROR(((DA42-DA44)/DA44),0)</f>
        <v>0</v>
      </c>
      <c r="DB45" s="28">
        <f t="shared" si="1298"/>
        <v>0</v>
      </c>
      <c r="DC45" s="28">
        <f t="shared" ref="DC45:DD45" si="1299">IFERROR(((DC42-DC44)/DC44),0)</f>
        <v>0</v>
      </c>
      <c r="DD45" s="28">
        <f t="shared" si="1299"/>
        <v>0</v>
      </c>
      <c r="DE45" s="28">
        <f t="shared" ref="DE45:DF45" si="1300">IFERROR(((DE42-DE44)/DE44),0)</f>
        <v>0</v>
      </c>
      <c r="DF45" s="28">
        <f t="shared" si="1300"/>
        <v>0</v>
      </c>
      <c r="DG45" s="28">
        <f t="shared" ref="DG45:DH45" si="1301">IFERROR(((DG42-DG44)/DG44),0)</f>
        <v>0</v>
      </c>
      <c r="DH45" s="28">
        <f t="shared" si="1301"/>
        <v>0.72487593169166875</v>
      </c>
      <c r="DI45" s="28">
        <f t="shared" ref="DI45:DJ45" si="1302">IFERROR(((DI42-DI44)/DI44),0)</f>
        <v>3.48645678234508E-2</v>
      </c>
      <c r="DJ45" s="28">
        <f t="shared" si="1302"/>
        <v>4.2749089828367677E-2</v>
      </c>
      <c r="DK45" s="28">
        <f t="shared" ref="DK45:DL45" si="1303">IFERROR(((DK42-DK44)/DK44),0)</f>
        <v>0.13227716703871834</v>
      </c>
      <c r="DL45" s="28">
        <f t="shared" si="1303"/>
        <v>0.15363589637303302</v>
      </c>
      <c r="DM45" s="28">
        <f t="shared" ref="DM45:DN45" si="1304">IFERROR(((DM42-DM44)/DM44),0)</f>
        <v>0.28258651878651281</v>
      </c>
      <c r="DN45" s="28">
        <f t="shared" si="1304"/>
        <v>0.43732170929225506</v>
      </c>
      <c r="DO45" s="28">
        <f t="shared" ref="DO45:DP45" si="1305">IFERROR(((DO42-DO44)/DO44),0)</f>
        <v>0.10269993109968105</v>
      </c>
      <c r="DP45" s="28">
        <f t="shared" si="1305"/>
        <v>0.18820630686267656</v>
      </c>
      <c r="DQ45" s="28">
        <f t="shared" ref="DQ45:DR45" si="1306">IFERROR(((DQ42-DQ44)/DQ44),0)</f>
        <v>8.672797403452441E-3</v>
      </c>
      <c r="DR45" s="28">
        <f t="shared" si="1306"/>
        <v>0.32261113684270204</v>
      </c>
      <c r="DS45" s="28">
        <f t="shared" ref="DS45:DT45" si="1307">IFERROR(((DS42-DS44)/DS44),0)</f>
        <v>0.44064295872617315</v>
      </c>
      <c r="DT45" s="28">
        <f t="shared" si="1307"/>
        <v>1.1697088076154579E-2</v>
      </c>
      <c r="DU45" s="28">
        <f t="shared" ref="DU45:DV45" si="1308">IFERROR(((DU42-DU44)/DU44),0)</f>
        <v>0.25231022497409</v>
      </c>
      <c r="DV45" s="28">
        <f t="shared" si="1308"/>
        <v>-5.140714964753991E-2</v>
      </c>
      <c r="DW45" s="28">
        <f t="shared" ref="DW45:DX45" si="1309">IFERROR(((DW42-DW44)/DW44),0)</f>
        <v>0.41364641876777603</v>
      </c>
      <c r="DX45" s="28">
        <f t="shared" si="1309"/>
        <v>0.23656634001296897</v>
      </c>
      <c r="DY45" s="28">
        <f t="shared" ref="DY45:DZ45" si="1310">IFERROR(((DY42-DY44)/DY44),0)</f>
        <v>4.4891229862415907E-2</v>
      </c>
      <c r="DZ45" s="28">
        <f t="shared" si="1310"/>
        <v>0.76037128462552861</v>
      </c>
      <c r="EA45" s="28">
        <f t="shared" ref="EA45:EB45" si="1311">IFERROR(((EA42-EA44)/EA44),0)</f>
        <v>0.27557577907547903</v>
      </c>
      <c r="EB45" s="28">
        <f t="shared" si="1311"/>
        <v>0.31014984450098954</v>
      </c>
      <c r="EC45" s="28">
        <f t="shared" ref="EC45:ED45" si="1312">IFERROR(((EC42-EC44)/EC44),0)</f>
        <v>-0.18161424789364303</v>
      </c>
      <c r="ED45" s="28">
        <f t="shared" si="1312"/>
        <v>-7.6038211301091951E-2</v>
      </c>
      <c r="EE45" s="28">
        <f t="shared" ref="EE45:EF45" si="1313">IFERROR(((EE42-EE44)/EE44),0)</f>
        <v>-0.21278592758797005</v>
      </c>
      <c r="EF45" s="28">
        <f t="shared" si="1313"/>
        <v>-3.3547843352927105E-2</v>
      </c>
      <c r="EG45" s="28">
        <f t="shared" ref="EG45:EH45" si="1314">IFERROR(((EG42-EG44)/EG44),0)</f>
        <v>-1.0177905907120874E-2</v>
      </c>
      <c r="EH45" s="28">
        <f t="shared" si="1314"/>
        <v>8.1552592562243856E-2</v>
      </c>
      <c r="EI45" s="28">
        <f t="shared" ref="EI45:EJ45" si="1315">IFERROR(((EI42-EI44)/EI44),0)</f>
        <v>-0.15193188794315149</v>
      </c>
      <c r="EJ45" s="28">
        <f t="shared" si="1315"/>
        <v>0.16977520490063733</v>
      </c>
      <c r="EK45" s="28">
        <f t="shared" ref="EK45:EL45" si="1316">IFERROR(((EK42-EK44)/EK44),0)</f>
        <v>-1.8167914010424471E-2</v>
      </c>
      <c r="EL45" s="28">
        <f t="shared" si="1316"/>
        <v>3.5673410047018003E-2</v>
      </c>
      <c r="EM45" s="28">
        <f t="shared" ref="EM45:EN45" si="1317">IFERROR(((EM42-EM44)/EM44),0)</f>
        <v>-7.3662848556999342E-4</v>
      </c>
      <c r="EN45" s="28">
        <f t="shared" si="1317"/>
        <v>0.43726992339070714</v>
      </c>
      <c r="EO45" s="28">
        <f t="shared" ref="EO45:EP45" si="1318">IFERROR(((EO42-EO44)/EO44),0)</f>
        <v>0.48116934274235362</v>
      </c>
      <c r="EP45" s="28">
        <f t="shared" si="1318"/>
        <v>0.37212387419822973</v>
      </c>
      <c r="EQ45" s="28">
        <f t="shared" ref="EQ45:ER45" si="1319">IFERROR(((EQ42-EQ44)/EQ44),0)</f>
        <v>0.27914020063363409</v>
      </c>
      <c r="ER45" s="28">
        <f t="shared" si="1319"/>
        <v>0.12005048898783485</v>
      </c>
      <c r="ES45" s="28">
        <f t="shared" ref="ES45:ET45" si="1320">IFERROR(((ES42-ES44)/ES44),0)</f>
        <v>0.11043147354779088</v>
      </c>
      <c r="ET45" s="28">
        <f t="shared" si="1320"/>
        <v>0.22998870623666712</v>
      </c>
      <c r="EU45" s="28">
        <f t="shared" ref="EU45:EV45" si="1321">IFERROR(((EU42-EU44)/EU44),0)</f>
        <v>0.24965377466701916</v>
      </c>
      <c r="EV45" s="28">
        <f t="shared" si="1321"/>
        <v>9.4589586268699358E-2</v>
      </c>
      <c r="EW45" s="28">
        <f t="shared" ref="EW45:EX45" si="1322">IFERROR(((EW42-EW44)/EW44),0)</f>
        <v>0.20380952380952369</v>
      </c>
      <c r="EX45" s="28">
        <f t="shared" si="1322"/>
        <v>-1.1168026544566624E-2</v>
      </c>
      <c r="EY45" s="28">
        <f t="shared" ref="EY45:EZ45" si="1323">IFERROR(((EY42-EY44)/EY44),0)</f>
        <v>0.19301323933526957</v>
      </c>
      <c r="EZ45" s="28">
        <f t="shared" si="1323"/>
        <v>0.26889785831960467</v>
      </c>
      <c r="FA45" s="28">
        <f t="shared" ref="FA45:FB45" si="1324">IFERROR(((FA42-FA44)/FA44),0)</f>
        <v>6.2422088827640873E-2</v>
      </c>
      <c r="FB45" s="28">
        <f t="shared" si="1324"/>
        <v>-6.5762614994216428E-2</v>
      </c>
      <c r="FC45" s="28">
        <f t="shared" ref="FC45:FD45" si="1325">IFERROR(((FC42-FC44)/FC44),0)</f>
        <v>0.13264434849851803</v>
      </c>
      <c r="FD45" s="28">
        <f t="shared" si="1325"/>
        <v>-5.9460741847171025E-2</v>
      </c>
      <c r="FE45" s="28">
        <f t="shared" ref="FE45:FF45" si="1326">IFERROR(((FE42-FE44)/FE44),0)</f>
        <v>-1.1916507854983533E-2</v>
      </c>
      <c r="FF45" s="28">
        <f t="shared" si="1326"/>
        <v>-0.15505035548225174</v>
      </c>
      <c r="FG45" s="28">
        <f t="shared" ref="FG45:FH45" si="1327">IFERROR(((FG42-FG44)/FG44),0)</f>
        <v>-0.10619838495636483</v>
      </c>
      <c r="FH45" s="28">
        <f t="shared" si="1327"/>
        <v>2.3831142831512851E-2</v>
      </c>
      <c r="FI45" s="28">
        <f t="shared" ref="FI45:FJ45" si="1328">IFERROR(((FI42-FI44)/FI44),0)</f>
        <v>-9.6658030310062537E-2</v>
      </c>
      <c r="FJ45" s="28">
        <f t="shared" si="1328"/>
        <v>-3.6549155073690588E-2</v>
      </c>
      <c r="FK45" s="28">
        <f t="shared" ref="FK45:FL45" si="1329">IFERROR(((FK42-FK44)/FK44),0)</f>
        <v>-3.24571598393062E-2</v>
      </c>
      <c r="FL45" s="28">
        <f t="shared" si="1329"/>
        <v>-0.12224116252602898</v>
      </c>
      <c r="FM45" s="28">
        <f t="shared" ref="FM45:FN45" si="1330">IFERROR(((FM42-FM44)/FM44),0)</f>
        <v>-0.14403434905352805</v>
      </c>
      <c r="FN45" s="28">
        <f t="shared" si="1330"/>
        <v>7.8748297299381126E-2</v>
      </c>
      <c r="FO45" s="28">
        <f t="shared" ref="FO45:FP45" si="1331">IFERROR(((FO42-FO44)/FO44),0)</f>
        <v>7.6671355335200975E-2</v>
      </c>
      <c r="FP45" s="28">
        <f t="shared" si="1331"/>
        <v>5.7748569346507482E-2</v>
      </c>
      <c r="FQ45" s="28">
        <f t="shared" ref="FQ45:FR45" si="1332">IFERROR(((FQ42-FQ44)/FQ44),0)</f>
        <v>0.10691239135630487</v>
      </c>
      <c r="FR45" s="28">
        <f t="shared" si="1332"/>
        <v>-9.0716560775092978E-2</v>
      </c>
      <c r="FS45" s="28">
        <f t="shared" ref="FS45:FT45" si="1333">IFERROR(((FS42-FS44)/FS44),0)</f>
        <v>-6.9072647457554398E-2</v>
      </c>
      <c r="FT45" s="28">
        <f t="shared" si="1333"/>
        <v>0.19615830886968422</v>
      </c>
      <c r="FU45" s="28">
        <f t="shared" ref="FU45:FV45" si="1334">IFERROR(((FU42-FU44)/FU44),0)</f>
        <v>2.589198279899519E-2</v>
      </c>
      <c r="FV45" s="28">
        <f t="shared" si="1334"/>
        <v>-0.1109577384891746</v>
      </c>
      <c r="FW45" s="28">
        <f t="shared" ref="FW45:FX45" si="1335">IFERROR(((FW42-FW44)/FW44),0)</f>
        <v>4.4994597579979473E-3</v>
      </c>
      <c r="FX45" s="28">
        <f t="shared" si="1335"/>
        <v>-0.10251387138582455</v>
      </c>
      <c r="FY45" s="28">
        <f t="shared" ref="FY45:FZ45" si="1336">IFERROR(((FY42-FY44)/FY44),0)</f>
        <v>9.577706790571601E-2</v>
      </c>
      <c r="FZ45" s="28">
        <f t="shared" si="1336"/>
        <v>0.15671362697017371</v>
      </c>
      <c r="GA45" s="28">
        <f t="shared" ref="GA45:GB45" si="1337">IFERROR(((GA42-GA44)/GA44),0)</f>
        <v>-4.8120377154653726E-2</v>
      </c>
      <c r="GB45" s="28">
        <f t="shared" si="1337"/>
        <v>-5.8051599290269949E-2</v>
      </c>
      <c r="GC45" s="28">
        <f t="shared" ref="GC45:GD45" si="1338">IFERROR(((GC42-GC44)/GC44),0)</f>
        <v>0.15282335716936632</v>
      </c>
      <c r="GD45" s="28">
        <f t="shared" si="1338"/>
        <v>0.20841294298921417</v>
      </c>
      <c r="GE45" s="28">
        <f t="shared" ref="GE45:GF45" si="1339">IFERROR(((GE42-GE44)/GE44),0)</f>
        <v>-4.7167097220039055E-2</v>
      </c>
      <c r="GF45" s="28">
        <f t="shared" si="1339"/>
        <v>4.587422647905081E-2</v>
      </c>
      <c r="GG45" s="28">
        <f t="shared" ref="GG45:GH45" si="1340">IFERROR(((GG42-GG44)/GG44),0)</f>
        <v>8.4646098351387686E-3</v>
      </c>
      <c r="GH45" s="28">
        <f t="shared" si="1340"/>
        <v>-0.15840651184154136</v>
      </c>
      <c r="GI45" s="28">
        <f t="shared" ref="GI45:GJ45" si="1341">IFERROR(((GI42-GI44)/GI44),0)</f>
        <v>0.17598115116519561</v>
      </c>
      <c r="GJ45" s="28">
        <f t="shared" si="1341"/>
        <v>9.843694036401951E-2</v>
      </c>
      <c r="GK45" s="28">
        <f t="shared" ref="GK45:GL45" si="1342">IFERROR(((GK42-GK44)/GK44),0)</f>
        <v>-0.15112550445009237</v>
      </c>
      <c r="GL45" s="28">
        <f t="shared" si="1342"/>
        <v>-0.34819563188351682</v>
      </c>
      <c r="GM45" s="28">
        <f t="shared" ref="GM45:GN45" si="1343">IFERROR(((GM42-GM44)/GM44),0)</f>
        <v>0.10625424677991414</v>
      </c>
      <c r="GN45" s="28">
        <f t="shared" si="1343"/>
        <v>0.1418518138812811</v>
      </c>
      <c r="GO45" s="28">
        <f t="shared" ref="GO45:GP45" si="1344">IFERROR(((GO42-GO44)/GO44),0)</f>
        <v>-0.13628034627945029</v>
      </c>
      <c r="GP45" s="28">
        <f t="shared" si="1344"/>
        <v>-0.20159870680027714</v>
      </c>
      <c r="GQ45" s="28">
        <f t="shared" ref="GQ45:GR45" si="1345">IFERROR(((GQ42-GQ44)/GQ44),0)</f>
        <v>-0.11520241562567488</v>
      </c>
      <c r="GR45" s="109">
        <f t="shared" si="1345"/>
        <v>-7.2334210111637584E-2</v>
      </c>
      <c r="GS45" s="157"/>
      <c r="GT45" s="2" t="s">
        <v>94</v>
      </c>
      <c r="GU45" s="11"/>
      <c r="GV45" s="11"/>
      <c r="GW45" s="58"/>
      <c r="GX45" s="58"/>
      <c r="GY45" s="58"/>
      <c r="GZ45" s="58"/>
      <c r="HA45" s="58"/>
    </row>
    <row r="46" spans="1:209" s="2" customFormat="1" ht="7.5" customHeight="1" x14ac:dyDescent="0.3">
      <c r="A46" s="8"/>
      <c r="B46" s="29"/>
      <c r="C46" s="30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111"/>
      <c r="GS46" s="156"/>
      <c r="GT46" s="9"/>
      <c r="GU46" s="9"/>
      <c r="GV46" s="9"/>
    </row>
    <row r="47" spans="1:209" s="2" customFormat="1" ht="15" customHeight="1" x14ac:dyDescent="0.3">
      <c r="A47" s="168" t="s">
        <v>4</v>
      </c>
      <c r="B47" s="33" t="s">
        <v>4</v>
      </c>
      <c r="C47" s="17" t="s">
        <v>23</v>
      </c>
      <c r="D47" s="17">
        <v>3237</v>
      </c>
      <c r="E47" s="17">
        <v>2860.5</v>
      </c>
      <c r="F47" s="17">
        <v>2485.1999999999998</v>
      </c>
      <c r="G47" s="17">
        <v>3284.35</v>
      </c>
      <c r="H47" s="17">
        <v>2716.5</v>
      </c>
      <c r="I47" s="17">
        <v>1197.25</v>
      </c>
      <c r="J47" s="17">
        <v>1538.3</v>
      </c>
      <c r="K47" s="17">
        <v>1138.2</v>
      </c>
      <c r="L47" s="17">
        <v>1243.25</v>
      </c>
      <c r="M47" s="17">
        <v>1201.1500000000001</v>
      </c>
      <c r="N47" s="17">
        <v>1057.2</v>
      </c>
      <c r="O47" s="17">
        <v>610.04999999999995</v>
      </c>
      <c r="P47" s="17">
        <v>1134.2</v>
      </c>
      <c r="Q47" s="17">
        <v>1063.3499999999999</v>
      </c>
      <c r="R47" s="17">
        <v>1785.5</v>
      </c>
      <c r="S47" s="17">
        <v>1302</v>
      </c>
      <c r="T47" s="17">
        <v>897.05</v>
      </c>
      <c r="U47" s="17">
        <v>1102.8499999999999</v>
      </c>
      <c r="V47" s="17">
        <v>1121.95</v>
      </c>
      <c r="W47" s="17">
        <v>1093.8499999999999</v>
      </c>
      <c r="X47" s="17">
        <v>1061.25</v>
      </c>
      <c r="Y47" s="17">
        <v>784.1</v>
      </c>
      <c r="Z47" s="17">
        <v>653.25</v>
      </c>
      <c r="AA47" s="17">
        <v>740.5</v>
      </c>
      <c r="AB47" s="17">
        <v>811.3</v>
      </c>
      <c r="AC47" s="17">
        <v>883.15</v>
      </c>
      <c r="AD47" s="17">
        <v>1303.3</v>
      </c>
      <c r="AE47" s="17">
        <v>1787.05</v>
      </c>
      <c r="AF47" s="17">
        <v>2213.6999999999998</v>
      </c>
      <c r="AG47" s="17">
        <v>1628.85</v>
      </c>
      <c r="AH47" s="17">
        <v>1737.65</v>
      </c>
      <c r="AI47" s="17">
        <v>1620</v>
      </c>
      <c r="AJ47" s="17">
        <v>1689.1</v>
      </c>
      <c r="AK47" s="17">
        <v>1503.3</v>
      </c>
      <c r="AL47" s="17">
        <v>2373</v>
      </c>
      <c r="AM47" s="17">
        <v>2775</v>
      </c>
      <c r="AN47" s="17">
        <v>2113.6</v>
      </c>
      <c r="AO47" s="17">
        <v>2256.35</v>
      </c>
      <c r="AP47" s="17">
        <v>2832.95</v>
      </c>
      <c r="AQ47" s="17">
        <v>2895.15</v>
      </c>
      <c r="AR47" s="17">
        <v>2231.65</v>
      </c>
      <c r="AS47" s="17">
        <v>3320.75</v>
      </c>
      <c r="AT47" s="17">
        <v>4201.55</v>
      </c>
      <c r="AU47" s="17">
        <v>5114</v>
      </c>
      <c r="AV47" s="17">
        <v>3370.05</v>
      </c>
      <c r="AW47" s="17">
        <v>3336.05</v>
      </c>
      <c r="AX47" s="17">
        <v>4027.2</v>
      </c>
      <c r="AY47" s="17">
        <v>3277.7</v>
      </c>
      <c r="AZ47" s="17">
        <v>4055.75</v>
      </c>
      <c r="BA47" s="17">
        <v>2340.9499999999998</v>
      </c>
      <c r="BB47" s="17">
        <v>2214.9499999999998</v>
      </c>
      <c r="BC47" s="17">
        <v>2071.85</v>
      </c>
      <c r="BD47" s="17">
        <v>1667.15</v>
      </c>
      <c r="BE47" s="17">
        <v>2103.4</v>
      </c>
      <c r="BF47" s="17">
        <v>1928.8</v>
      </c>
      <c r="BG47" s="17">
        <v>1874.52</v>
      </c>
      <c r="BH47" s="17">
        <v>2344.9499999999998</v>
      </c>
      <c r="BI47" s="17">
        <v>2410.67</v>
      </c>
      <c r="BJ47" s="17">
        <v>2050.4</v>
      </c>
      <c r="BK47" s="17">
        <v>1085.5</v>
      </c>
      <c r="BL47" s="17">
        <v>1582.85</v>
      </c>
      <c r="BM47" s="17">
        <v>1480.45</v>
      </c>
      <c r="BN47" s="17">
        <v>1182.6500000000001</v>
      </c>
      <c r="BO47" s="17">
        <v>1075.3</v>
      </c>
      <c r="BP47" s="17">
        <v>1700.3</v>
      </c>
      <c r="BQ47" s="17">
        <v>1085.3499999999999</v>
      </c>
      <c r="BR47" s="17">
        <v>1381.15</v>
      </c>
      <c r="BS47" s="17">
        <v>1850.55</v>
      </c>
      <c r="BT47" s="17">
        <v>1181.3499999999999</v>
      </c>
      <c r="BU47" s="17">
        <v>1496.65</v>
      </c>
      <c r="BV47" s="17">
        <v>1289.45</v>
      </c>
      <c r="BW47" s="17">
        <v>1673.65</v>
      </c>
      <c r="BX47" s="17">
        <v>2158.75</v>
      </c>
      <c r="BY47" s="17">
        <v>1529.2</v>
      </c>
      <c r="BZ47" s="17">
        <v>1266.7</v>
      </c>
      <c r="CA47" s="17">
        <v>1020.15</v>
      </c>
      <c r="CB47" s="17">
        <v>997.4</v>
      </c>
      <c r="CC47" s="17">
        <v>1225.3</v>
      </c>
      <c r="CD47" s="17">
        <v>1433.95</v>
      </c>
      <c r="CE47" s="17">
        <v>1307.8</v>
      </c>
      <c r="CF47" s="17">
        <v>1561.65</v>
      </c>
      <c r="CG47" s="17">
        <v>1090.5999999999999</v>
      </c>
      <c r="CH47" s="17">
        <v>1399.5</v>
      </c>
      <c r="CI47" s="17">
        <v>1299.6500000000001</v>
      </c>
      <c r="CJ47" s="17">
        <v>1180.8</v>
      </c>
      <c r="CK47" s="17">
        <v>1649</v>
      </c>
      <c r="CL47" s="17">
        <v>1847.9</v>
      </c>
      <c r="CM47" s="17">
        <v>1657.45</v>
      </c>
      <c r="CN47" s="17">
        <v>1919.45</v>
      </c>
      <c r="CO47" s="17">
        <v>1582.45</v>
      </c>
      <c r="CP47" s="17">
        <v>1424</v>
      </c>
      <c r="CQ47" s="17">
        <v>1919.3</v>
      </c>
      <c r="CR47" s="17">
        <v>2388</v>
      </c>
      <c r="CS47" s="17">
        <v>2356.5</v>
      </c>
      <c r="CT47" s="17">
        <v>1717.65</v>
      </c>
      <c r="CU47" s="17">
        <v>2288.4</v>
      </c>
      <c r="CV47" s="17">
        <v>1848.4</v>
      </c>
      <c r="CW47" s="17">
        <v>1774.25</v>
      </c>
      <c r="CX47" s="17">
        <v>2248.3000000000002</v>
      </c>
      <c r="CY47" s="17">
        <v>2210.5</v>
      </c>
      <c r="CZ47" s="17">
        <v>1536.05</v>
      </c>
      <c r="DA47" s="17">
        <v>2052.3000000000002</v>
      </c>
      <c r="DB47" s="17">
        <v>2448.15</v>
      </c>
      <c r="DC47" s="17">
        <v>2964.05</v>
      </c>
      <c r="DD47" s="17">
        <v>3048.65</v>
      </c>
      <c r="DE47" s="17">
        <v>2542.6</v>
      </c>
      <c r="DF47" s="17">
        <v>2732.3</v>
      </c>
      <c r="DG47" s="17">
        <v>2436.9</v>
      </c>
      <c r="DH47" s="17">
        <v>2839.85</v>
      </c>
      <c r="DI47" s="17">
        <v>1533.35</v>
      </c>
      <c r="DJ47" s="17">
        <v>1251.8</v>
      </c>
      <c r="DK47" s="17">
        <v>1632.9</v>
      </c>
      <c r="DL47" s="17">
        <v>1269.0999999999999</v>
      </c>
      <c r="DM47" s="17">
        <v>1356.75</v>
      </c>
      <c r="DN47" s="17">
        <v>1153.0999999999999</v>
      </c>
      <c r="DO47" s="17">
        <v>1023.75</v>
      </c>
      <c r="DP47" s="17">
        <v>734.05</v>
      </c>
      <c r="DQ47" s="17">
        <v>1346.65</v>
      </c>
      <c r="DR47" s="17">
        <v>1705.05</v>
      </c>
      <c r="DS47" s="17">
        <v>1425.35</v>
      </c>
      <c r="DT47" s="17">
        <v>898.25</v>
      </c>
      <c r="DU47" s="17">
        <v>1312.6</v>
      </c>
      <c r="DV47" s="17">
        <v>1313.15</v>
      </c>
      <c r="DW47" s="17">
        <v>1290.2</v>
      </c>
      <c r="DX47" s="17">
        <v>1541.15</v>
      </c>
      <c r="DY47" s="17">
        <v>1328.3</v>
      </c>
      <c r="DZ47" s="17">
        <v>1645.15</v>
      </c>
      <c r="EA47" s="17">
        <v>858</v>
      </c>
      <c r="EB47" s="17">
        <v>1054.1500000000001</v>
      </c>
      <c r="EC47" s="17">
        <v>1036.3</v>
      </c>
      <c r="ED47" s="17">
        <v>1037.4000000000001</v>
      </c>
      <c r="EE47" s="17">
        <v>966.1</v>
      </c>
      <c r="EF47" s="17">
        <v>1124</v>
      </c>
      <c r="EG47" s="17">
        <v>1242.1500000000001</v>
      </c>
      <c r="EH47" s="17">
        <v>1138.6500000000001</v>
      </c>
      <c r="EI47" s="17">
        <v>1084.5999999999999</v>
      </c>
      <c r="EJ47" s="17">
        <v>1132.8</v>
      </c>
      <c r="EK47" s="17">
        <v>1290.9000000000001</v>
      </c>
      <c r="EL47" s="17">
        <v>1469.5</v>
      </c>
      <c r="EM47" s="17">
        <v>2356.6</v>
      </c>
      <c r="EN47" s="17">
        <v>2632.5</v>
      </c>
      <c r="EO47" s="17">
        <v>1861.8</v>
      </c>
      <c r="EP47" s="17">
        <v>1883.8</v>
      </c>
      <c r="EQ47" s="17">
        <v>3366.7</v>
      </c>
      <c r="ER47" s="17">
        <v>2230.5</v>
      </c>
      <c r="ES47" s="17">
        <v>2391.5</v>
      </c>
      <c r="ET47" s="17">
        <v>2129.1</v>
      </c>
      <c r="EU47" s="17">
        <v>3008.5</v>
      </c>
      <c r="EV47" s="17">
        <v>1873.8</v>
      </c>
      <c r="EW47" s="17">
        <v>2840.7</v>
      </c>
      <c r="EX47" s="17">
        <v>2513.9</v>
      </c>
      <c r="EY47" s="17">
        <v>2914.4</v>
      </c>
      <c r="EZ47" s="17">
        <v>2483.8000000000002</v>
      </c>
      <c r="FA47" s="17">
        <v>2785.7</v>
      </c>
      <c r="FB47" s="17">
        <v>2944.7</v>
      </c>
      <c r="FC47" s="17">
        <v>2910.8</v>
      </c>
      <c r="FD47" s="17">
        <v>3134.1</v>
      </c>
      <c r="FE47" s="17">
        <v>2759.1</v>
      </c>
      <c r="FF47" s="17">
        <v>2996.7</v>
      </c>
      <c r="FG47" s="17">
        <v>3124.5</v>
      </c>
      <c r="FH47" s="17">
        <v>2436.9</v>
      </c>
      <c r="FI47" s="17">
        <v>1584.4</v>
      </c>
      <c r="FJ47" s="17">
        <v>1331.6</v>
      </c>
      <c r="FK47" s="17">
        <v>1447.7</v>
      </c>
      <c r="FL47" s="17">
        <v>1271.2</v>
      </c>
      <c r="FM47" s="17">
        <v>1126.8</v>
      </c>
      <c r="FN47" s="17">
        <v>1415</v>
      </c>
      <c r="FO47" s="17">
        <v>1019.9</v>
      </c>
      <c r="FP47" s="17">
        <v>703.7</v>
      </c>
      <c r="FQ47" s="17">
        <v>1394.8</v>
      </c>
      <c r="FR47" s="17">
        <v>1276.5999999999999</v>
      </c>
      <c r="FS47" s="17">
        <v>920.3</v>
      </c>
      <c r="FT47" s="17">
        <v>941.6</v>
      </c>
      <c r="FU47" s="17">
        <v>1255.5</v>
      </c>
      <c r="FV47" s="17">
        <v>1214.9000000000001</v>
      </c>
      <c r="FW47" s="17">
        <v>1844.1</v>
      </c>
      <c r="FX47" s="17">
        <v>1572.3</v>
      </c>
      <c r="FY47" s="17">
        <v>1143.8</v>
      </c>
      <c r="FZ47" s="17">
        <v>1630.7</v>
      </c>
      <c r="GA47" s="17">
        <v>789.8</v>
      </c>
      <c r="GB47" s="17">
        <v>981.2</v>
      </c>
      <c r="GC47" s="17">
        <v>1044.5</v>
      </c>
      <c r="GD47" s="17">
        <v>1043.5999999999999</v>
      </c>
      <c r="GE47" s="17">
        <v>933.4</v>
      </c>
      <c r="GF47" s="17">
        <v>1223.4000000000001</v>
      </c>
      <c r="GG47" s="17">
        <v>1221.8</v>
      </c>
      <c r="GH47" s="17">
        <v>1368.9</v>
      </c>
      <c r="GI47" s="17">
        <v>947.2</v>
      </c>
      <c r="GJ47" s="17">
        <v>1299.0999999999999</v>
      </c>
      <c r="GK47" s="17">
        <v>1675.1</v>
      </c>
      <c r="GL47" s="17">
        <v>1243.8</v>
      </c>
      <c r="GM47" s="17">
        <v>1513</v>
      </c>
      <c r="GN47" s="17">
        <v>1875.7</v>
      </c>
      <c r="GO47" s="17">
        <v>1626.2</v>
      </c>
      <c r="GP47" s="17">
        <v>1861.4</v>
      </c>
      <c r="GQ47" s="17">
        <v>3091.7</v>
      </c>
      <c r="GR47" s="107">
        <v>2119.1999999999998</v>
      </c>
      <c r="GS47" s="153">
        <f>EQ47</f>
        <v>3366.7</v>
      </c>
      <c r="GT47" s="84" t="s">
        <v>23</v>
      </c>
      <c r="GU47" s="92" t="s">
        <v>369</v>
      </c>
      <c r="GV47" s="93"/>
      <c r="GW47" s="58"/>
      <c r="GX47" s="58"/>
      <c r="GY47" s="58"/>
      <c r="GZ47" s="58"/>
      <c r="HA47" s="58"/>
    </row>
    <row r="48" spans="1:209" s="2" customFormat="1" ht="15" customHeight="1" x14ac:dyDescent="0.3">
      <c r="A48" s="169"/>
      <c r="B48" s="34"/>
      <c r="C48" s="17" t="s">
        <v>24</v>
      </c>
      <c r="D48" s="17">
        <v>10304.5</v>
      </c>
      <c r="E48" s="17">
        <v>9593</v>
      </c>
      <c r="F48" s="17">
        <v>9122.25</v>
      </c>
      <c r="G48" s="17">
        <v>9931.5</v>
      </c>
      <c r="H48" s="17">
        <v>9736.75</v>
      </c>
      <c r="I48" s="17">
        <v>5323.75</v>
      </c>
      <c r="J48" s="17">
        <v>6189.5</v>
      </c>
      <c r="K48" s="17">
        <v>4503.25</v>
      </c>
      <c r="L48" s="17">
        <v>5044.5</v>
      </c>
      <c r="M48" s="17">
        <v>4751</v>
      </c>
      <c r="N48" s="17">
        <v>4146.5</v>
      </c>
      <c r="O48" s="17">
        <v>3580.75</v>
      </c>
      <c r="P48" s="17">
        <v>5194.5</v>
      </c>
      <c r="Q48" s="17">
        <v>5463.25</v>
      </c>
      <c r="R48" s="17">
        <v>5951</v>
      </c>
      <c r="S48" s="17">
        <v>5230.5</v>
      </c>
      <c r="T48" s="17">
        <v>4131.5</v>
      </c>
      <c r="U48" s="17">
        <v>4608.25</v>
      </c>
      <c r="V48" s="17">
        <v>4801</v>
      </c>
      <c r="W48" s="17">
        <v>4667.5</v>
      </c>
      <c r="X48" s="17">
        <v>3965.5</v>
      </c>
      <c r="Y48" s="17">
        <v>3408</v>
      </c>
      <c r="Z48" s="17">
        <v>4765</v>
      </c>
      <c r="AA48" s="17">
        <v>4579.5</v>
      </c>
      <c r="AB48" s="17">
        <v>3595</v>
      </c>
      <c r="AC48" s="17">
        <v>4249</v>
      </c>
      <c r="AD48" s="17">
        <v>4005</v>
      </c>
      <c r="AE48" s="17">
        <v>4258.5</v>
      </c>
      <c r="AF48" s="17">
        <v>3905</v>
      </c>
      <c r="AG48" s="17">
        <v>3509</v>
      </c>
      <c r="AH48" s="17">
        <v>4017</v>
      </c>
      <c r="AI48" s="17">
        <v>3639.5</v>
      </c>
      <c r="AJ48" s="17">
        <v>3030.75</v>
      </c>
      <c r="AK48" s="17">
        <v>3422</v>
      </c>
      <c r="AL48" s="17">
        <v>4837</v>
      </c>
      <c r="AM48" s="17">
        <v>5471</v>
      </c>
      <c r="AN48" s="17">
        <v>4845</v>
      </c>
      <c r="AO48" s="17">
        <v>4701.5</v>
      </c>
      <c r="AP48" s="17">
        <v>5490</v>
      </c>
      <c r="AQ48" s="17">
        <v>7511.25</v>
      </c>
      <c r="AR48" s="17">
        <v>5497</v>
      </c>
      <c r="AS48" s="17">
        <v>7484.5</v>
      </c>
      <c r="AT48" s="17">
        <v>7618.5</v>
      </c>
      <c r="AU48" s="17">
        <v>10077.75</v>
      </c>
      <c r="AV48" s="17">
        <v>6750.5</v>
      </c>
      <c r="AW48" s="17">
        <v>7859</v>
      </c>
      <c r="AX48" s="17">
        <v>7986.5</v>
      </c>
      <c r="AY48" s="17">
        <v>7466.75</v>
      </c>
      <c r="AZ48" s="17">
        <v>7567.5</v>
      </c>
      <c r="BA48" s="17">
        <v>7127.5</v>
      </c>
      <c r="BB48" s="17">
        <v>9963.75</v>
      </c>
      <c r="BC48" s="17">
        <v>9538.5</v>
      </c>
      <c r="BD48" s="17">
        <v>8872</v>
      </c>
      <c r="BE48" s="17">
        <v>9466</v>
      </c>
      <c r="BF48" s="17">
        <v>9526</v>
      </c>
      <c r="BG48" s="17">
        <v>8509.5</v>
      </c>
      <c r="BH48" s="17">
        <v>9879.75</v>
      </c>
      <c r="BI48" s="17">
        <v>9534.2000000000007</v>
      </c>
      <c r="BJ48" s="17">
        <v>9123.25</v>
      </c>
      <c r="BK48" s="17">
        <v>5533.5</v>
      </c>
      <c r="BL48" s="17">
        <v>8373.75</v>
      </c>
      <c r="BM48" s="17">
        <v>7702.5</v>
      </c>
      <c r="BN48" s="17">
        <v>5190.75</v>
      </c>
      <c r="BO48" s="17">
        <v>5197</v>
      </c>
      <c r="BP48" s="17">
        <v>7606.25</v>
      </c>
      <c r="BQ48" s="17">
        <v>5357.75</v>
      </c>
      <c r="BR48" s="17">
        <v>6590</v>
      </c>
      <c r="BS48" s="17">
        <v>7638.75</v>
      </c>
      <c r="BT48" s="17">
        <v>6923</v>
      </c>
      <c r="BU48" s="17">
        <v>6645.75</v>
      </c>
      <c r="BV48" s="17">
        <v>6272.75</v>
      </c>
      <c r="BW48" s="17">
        <v>7826.5</v>
      </c>
      <c r="BX48" s="17">
        <v>10336</v>
      </c>
      <c r="BY48" s="17">
        <v>9203.3799999999992</v>
      </c>
      <c r="BZ48" s="17">
        <v>11462.5</v>
      </c>
      <c r="CA48" s="17">
        <v>9194.75</v>
      </c>
      <c r="CB48" s="17">
        <v>9116.25</v>
      </c>
      <c r="CC48" s="17">
        <v>9643.75</v>
      </c>
      <c r="CD48" s="17">
        <f>7498.5+2823.75</f>
        <v>10322.25</v>
      </c>
      <c r="CE48" s="17">
        <v>9126.25</v>
      </c>
      <c r="CF48" s="17">
        <v>11636.5</v>
      </c>
      <c r="CG48" s="17">
        <v>10026.5</v>
      </c>
      <c r="CH48" s="17">
        <v>9886.75</v>
      </c>
      <c r="CI48" s="17">
        <v>10231.75</v>
      </c>
      <c r="CJ48" s="17">
        <v>9746</v>
      </c>
      <c r="CK48" s="17">
        <v>11424</v>
      </c>
      <c r="CL48" s="17">
        <v>12738.75</v>
      </c>
      <c r="CM48" s="17">
        <v>12402.25</v>
      </c>
      <c r="CN48" s="17">
        <v>15867.5</v>
      </c>
      <c r="CO48" s="17">
        <f>8489.25+2499.75+671.25+1956.75</f>
        <v>13617</v>
      </c>
      <c r="CP48" s="17">
        <v>13151.25</v>
      </c>
      <c r="CQ48" s="17">
        <v>16629.099999999999</v>
      </c>
      <c r="CR48" s="17">
        <v>17122.849999999999</v>
      </c>
      <c r="CS48" s="17">
        <v>15714.5</v>
      </c>
      <c r="CT48" s="17">
        <v>15972.75</v>
      </c>
      <c r="CU48" s="17">
        <v>18301.650000000001</v>
      </c>
      <c r="CV48" s="17">
        <v>16243.75</v>
      </c>
      <c r="CW48" s="17">
        <v>15918.63</v>
      </c>
      <c r="CX48" s="17">
        <v>18019.75</v>
      </c>
      <c r="CY48" s="17">
        <v>18665.599999999999</v>
      </c>
      <c r="CZ48" s="17">
        <v>16574.650000000001</v>
      </c>
      <c r="DA48" s="17">
        <f>11184.25+3452.75+2654.5+599.2</f>
        <v>17890.7</v>
      </c>
      <c r="DB48" s="17">
        <f>11688.5+3111.25+3375+92</f>
        <v>18266.75</v>
      </c>
      <c r="DC48" s="17">
        <f>12651.25+3851.8+3054.5</f>
        <v>19557.55</v>
      </c>
      <c r="DD48" s="17">
        <f>13735+5902+2619.5+184.4</f>
        <v>22440.9</v>
      </c>
      <c r="DE48" s="17">
        <f>11745.5+2791.25+4526+172</f>
        <v>19234.75</v>
      </c>
      <c r="DF48" s="17">
        <f>13169.5+3067.752+4157.25+327.6</f>
        <v>20722.101999999999</v>
      </c>
      <c r="DG48" s="17">
        <f>12906.5+3054.25+171.75+4887.5</f>
        <v>21020</v>
      </c>
      <c r="DH48" s="17">
        <f>13633.5+5031.75+3247.75+219.75</f>
        <v>22132.75</v>
      </c>
      <c r="DI48" s="17">
        <f>8914.75+3429+2961+240.75</f>
        <v>15545.5</v>
      </c>
      <c r="DJ48" s="17">
        <f>6656.75+3726.25+2683.25+232.87</f>
        <v>13299.12</v>
      </c>
      <c r="DK48" s="17">
        <v>16192.875</v>
      </c>
      <c r="DL48" s="17">
        <f>7680.25+2758.5+3598.5+300</f>
        <v>14337.25</v>
      </c>
      <c r="DM48" s="17">
        <f>6758.75+2078+139.5+3535.24</f>
        <v>12511.49</v>
      </c>
      <c r="DN48" s="17">
        <f>7185.75+2468+1854.5+82.5</f>
        <v>11590.75</v>
      </c>
      <c r="DO48" s="17">
        <f>5926.75+2500.75+3284.25+128.62</f>
        <v>11840.37</v>
      </c>
      <c r="DP48" s="17">
        <f>5216.25+2603.75+1902+199.5</f>
        <v>9921.5</v>
      </c>
      <c r="DQ48" s="17">
        <f>8056.75+3924.5+2684.35+292.5</f>
        <v>14958.1</v>
      </c>
      <c r="DR48" s="17">
        <f>9643.25+2510.75+270.37+2815</f>
        <v>15239.37</v>
      </c>
      <c r="DS48" s="17">
        <f>8581+1828.5+2828+145.87</f>
        <v>13383.37</v>
      </c>
      <c r="DT48" s="17">
        <f>6700.5+2903.25+2220.5+216.75</f>
        <v>12041</v>
      </c>
      <c r="DU48" s="17">
        <f>8605.5+90.38+2306.7+3892.75</f>
        <v>14895.329999999998</v>
      </c>
      <c r="DV48" s="17">
        <f>7986.5+3687.5+244.12+2598.25</f>
        <v>14516.37</v>
      </c>
      <c r="DW48" s="17">
        <f>8994.25+280.5+2323.05+3253.25</f>
        <v>14851.05</v>
      </c>
      <c r="DX48" s="17">
        <f>10626.5+110.62+3246+3361.9</f>
        <v>17345.02</v>
      </c>
      <c r="DY48" s="17">
        <f>7488.5+2124+2493.4+117</f>
        <v>12222.9</v>
      </c>
      <c r="DZ48" s="17">
        <f>10023.75+3542.25+2340.8</f>
        <v>15906.8</v>
      </c>
      <c r="EA48" s="17">
        <f>6711.75+1909.75+3031.75</f>
        <v>11653.25</v>
      </c>
      <c r="EB48" s="17">
        <f>7137.75+2505.8+1638.15</f>
        <v>11281.699999999999</v>
      </c>
      <c r="EC48" s="17">
        <f>6604.25+2369.4+3690.85</f>
        <v>12664.5</v>
      </c>
      <c r="ED48" s="17">
        <f>7007.25+3446.85+2592</f>
        <v>13046.1</v>
      </c>
      <c r="EE48" s="17">
        <f>(1887.65-EE91)+6067+3894.75</f>
        <v>11602.4</v>
      </c>
      <c r="EF48" s="17">
        <f>7613.75+3098.85+2187.15</f>
        <v>12899.75</v>
      </c>
      <c r="EG48" s="17">
        <f>7369.5+2552.64+2380.5</f>
        <v>12302.64</v>
      </c>
      <c r="EH48" s="17">
        <f>7497+2549+3074.9</f>
        <v>13120.9</v>
      </c>
      <c r="EI48" s="17">
        <f>7833.5+3478.75+1620</f>
        <v>12932.25</v>
      </c>
      <c r="EJ48" s="17">
        <f>6929+3010+2498</f>
        <v>12437</v>
      </c>
      <c r="EK48" s="17">
        <f>7500.5+2763.9+3090.5</f>
        <v>13354.9</v>
      </c>
      <c r="EL48" s="17">
        <f>10158.5+4089.5+2533.3</f>
        <v>16781.3</v>
      </c>
      <c r="EM48" s="17">
        <f>11189.75+3595.45+2250</f>
        <v>17035.2</v>
      </c>
      <c r="EN48" s="17">
        <f>11976.25+2964+4123.25</f>
        <v>19063.5</v>
      </c>
      <c r="EO48" s="17">
        <f>10396+3600.5+2268.5</f>
        <v>16265</v>
      </c>
      <c r="EP48" s="17">
        <f>10133+2767.5+3817.75</f>
        <v>16718.25</v>
      </c>
      <c r="EQ48" s="17">
        <f>13957.25+1960+4172.25</f>
        <v>20089.5</v>
      </c>
      <c r="ER48" s="17">
        <f>10463.25+2805.25+2934</f>
        <v>16202.5</v>
      </c>
      <c r="ES48" s="17">
        <f>10377.5+3029+3536.75</f>
        <v>16943.25</v>
      </c>
      <c r="ET48" s="17">
        <f>10320.75+4111.5+2236</f>
        <v>16668.25</v>
      </c>
      <c r="EU48" s="17">
        <f>14244+2321.5+3482.25</f>
        <v>20047.75</v>
      </c>
      <c r="EV48" s="17">
        <f>10251.75+3479.25+2983</f>
        <v>16714</v>
      </c>
      <c r="EW48" s="17">
        <f>11299.5+3861.5+2076</f>
        <v>17237</v>
      </c>
      <c r="EX48" s="17">
        <f>12608.25+2358.5+4491.25</f>
        <v>19458</v>
      </c>
      <c r="EY48" s="17">
        <f>12292+3430+2638.5</f>
        <v>18360.5</v>
      </c>
      <c r="EZ48" s="17">
        <f>3618.25+11855+2833</f>
        <v>18306.25</v>
      </c>
      <c r="FA48" s="17">
        <f>11650.25+4628.65+3130.5</f>
        <v>19409.400000000001</v>
      </c>
      <c r="FB48" s="17">
        <f>13684+2452.5+4141.3</f>
        <v>20277.8</v>
      </c>
      <c r="FC48" s="17">
        <f>13995+4590.25+1934.5</f>
        <v>20519.75</v>
      </c>
      <c r="FD48" s="17">
        <f>12814.5+2408+5325</f>
        <v>20547.5</v>
      </c>
      <c r="FE48" s="17">
        <f>12328+4805.25+2480.5</f>
        <v>19613.75</v>
      </c>
      <c r="FF48" s="17">
        <f>11718.75+4662+2977</f>
        <v>19357.75</v>
      </c>
      <c r="FG48" s="17">
        <f>13261.75+1162+4160</f>
        <v>18583.75</v>
      </c>
      <c r="FH48" s="17">
        <f>11868.75+1631+5195.25</f>
        <v>18695</v>
      </c>
      <c r="FI48" s="17">
        <f>8435.75+3665.7-FI91+2681</f>
        <v>14461.75</v>
      </c>
      <c r="FJ48" s="17">
        <v>14024.75</v>
      </c>
      <c r="FK48" s="17">
        <v>14852</v>
      </c>
      <c r="FL48" s="17">
        <f>7350.75+2919+3070.5</f>
        <v>13340.25</v>
      </c>
      <c r="FM48" s="17">
        <f>7858.75+2193.5+2894.5</f>
        <v>12946.75</v>
      </c>
      <c r="FN48" s="17">
        <f>7671+3464.55+3486</f>
        <v>14621.55</v>
      </c>
      <c r="FO48" s="17">
        <f>6561.5+2532.25+2291</f>
        <v>11384.75</v>
      </c>
      <c r="FP48" s="17">
        <f>5758.75+1616.5+1740</f>
        <v>9115.25</v>
      </c>
      <c r="FQ48" s="17">
        <f>7592.25+1871+3006.4</f>
        <v>12469.65</v>
      </c>
      <c r="FR48" s="17">
        <f>7413.75+1964+3161.31</f>
        <v>12539.06</v>
      </c>
      <c r="FS48" s="17">
        <f>6485.5+2721.5+2818</f>
        <v>12025</v>
      </c>
      <c r="FT48" s="17">
        <f>6352.75+3743.07+2839.25</f>
        <v>12935.07</v>
      </c>
      <c r="FU48" s="17">
        <f>7628.5+2512+3538.2</f>
        <v>13678.7</v>
      </c>
      <c r="FV48" s="17">
        <f>7550.5+3138.25+3132.89</f>
        <v>13821.64</v>
      </c>
      <c r="FW48" s="17">
        <f>9699.5+3385.25+2866.46</f>
        <v>15951.21</v>
      </c>
      <c r="FX48" s="17">
        <f>10463.5+3979.75+3896.16+497</f>
        <v>18836.41</v>
      </c>
      <c r="FY48" s="17">
        <f>7972+2633.3+3543.5</f>
        <v>14148.8</v>
      </c>
      <c r="FZ48" s="17">
        <f>9624.75+3163+4818.25</f>
        <v>17606</v>
      </c>
      <c r="GA48" s="17">
        <f>6667.75+3538.2+2926.5</f>
        <v>13132.45</v>
      </c>
      <c r="GB48" s="17">
        <f>7571+2392+3850.56</f>
        <v>13813.56</v>
      </c>
      <c r="GC48" s="17">
        <f>6544.75+2517.5+3432.71</f>
        <v>12494.96</v>
      </c>
      <c r="GD48" s="17">
        <f>6421.25+2943+5020.9</f>
        <v>14385.15</v>
      </c>
      <c r="GE48" s="17">
        <f>5796.25+1417.5+3748.77</f>
        <v>10962.52</v>
      </c>
      <c r="GF48" s="17">
        <f>8664.75+3136.25+3866.48</f>
        <v>15667.48</v>
      </c>
      <c r="GG48" s="17">
        <f>8085+3219.25+3883.25</f>
        <v>15187.5</v>
      </c>
      <c r="GH48" s="17">
        <f>6455.25+2864+2925.3</f>
        <v>12244.55</v>
      </c>
      <c r="GI48" s="17">
        <f>6493.75+2995.25+3541.71</f>
        <v>13030.71</v>
      </c>
      <c r="GJ48" s="17">
        <f>8060.5+4128.1+2645.25</f>
        <v>14833.85</v>
      </c>
      <c r="GK48" s="17">
        <f>8340.5+3750.5+4086.15</f>
        <v>16177.15</v>
      </c>
      <c r="GL48" s="17">
        <f>7909.5+4262.3+3167.75</f>
        <v>15339.55</v>
      </c>
      <c r="GM48" s="17">
        <f>3621.75+9278+4460</f>
        <v>17359.75</v>
      </c>
      <c r="GN48" s="17">
        <f>10930.25+3550.5+2688.09</f>
        <v>17168.84</v>
      </c>
      <c r="GO48" s="17">
        <f>2985.1+4304+7873.25</f>
        <v>15162.35</v>
      </c>
      <c r="GP48" s="17">
        <f>10028+3226.75+4558.1</f>
        <v>17812.849999999999</v>
      </c>
      <c r="GQ48" s="17">
        <f>4365.25-141+11849.75+3890.3</f>
        <v>19964.3</v>
      </c>
      <c r="GR48" s="107">
        <f>9193.25+4206+3878.6</f>
        <v>17277.849999999999</v>
      </c>
      <c r="GS48" s="153">
        <f>EQ48</f>
        <v>20089.5</v>
      </c>
      <c r="GT48" s="5" t="s">
        <v>24</v>
      </c>
      <c r="GU48" s="94" t="s">
        <v>367</v>
      </c>
      <c r="GV48" s="104">
        <f>DRY!AG52</f>
        <v>0.72130838038297584</v>
      </c>
      <c r="GW48" s="55"/>
      <c r="GX48" s="55"/>
      <c r="GY48" s="55"/>
      <c r="GZ48" s="55"/>
      <c r="HA48" s="55"/>
    </row>
    <row r="49" spans="1:209" s="2" customFormat="1" ht="15" customHeight="1" x14ac:dyDescent="0.3">
      <c r="A49" s="169"/>
      <c r="B49" s="19" t="s">
        <v>21</v>
      </c>
      <c r="C49" s="20"/>
      <c r="D49" s="20">
        <f t="shared" ref="D49" si="1346">SUM(D47:D48)</f>
        <v>13541.5</v>
      </c>
      <c r="E49" s="20">
        <f t="shared" ref="E49" si="1347">SUM(E47:E48)</f>
        <v>12453.5</v>
      </c>
      <c r="F49" s="20">
        <f t="shared" ref="F49" si="1348">SUM(F47:F48)</f>
        <v>11607.45</v>
      </c>
      <c r="G49" s="20">
        <f t="shared" ref="G49" si="1349">SUM(G47:G48)</f>
        <v>13215.85</v>
      </c>
      <c r="H49" s="20">
        <f t="shared" ref="H49" si="1350">SUM(H47:H48)</f>
        <v>12453.25</v>
      </c>
      <c r="I49" s="20">
        <f t="shared" ref="I49" si="1351">SUM(I47:I48)</f>
        <v>6521</v>
      </c>
      <c r="J49" s="20">
        <f t="shared" ref="J49" si="1352">SUM(J47:J48)</f>
        <v>7727.8</v>
      </c>
      <c r="K49" s="20">
        <f t="shared" ref="K49" si="1353">SUM(K47:K48)</f>
        <v>5641.45</v>
      </c>
      <c r="L49" s="20">
        <f t="shared" ref="L49" si="1354">SUM(L47:L48)</f>
        <v>6287.75</v>
      </c>
      <c r="M49" s="20">
        <f t="shared" ref="M49" si="1355">SUM(M47:M48)</f>
        <v>5952.15</v>
      </c>
      <c r="N49" s="20">
        <f t="shared" ref="N49" si="1356">SUM(N47:N48)</f>
        <v>5203.7</v>
      </c>
      <c r="O49" s="20">
        <f t="shared" ref="O49" si="1357">SUM(O47:O48)</f>
        <v>4190.8</v>
      </c>
      <c r="P49" s="20">
        <f t="shared" ref="P49" si="1358">SUM(P47:P48)</f>
        <v>6328.7</v>
      </c>
      <c r="Q49" s="20">
        <f t="shared" ref="Q49" si="1359">SUM(Q47:Q48)</f>
        <v>6526.6</v>
      </c>
      <c r="R49" s="20">
        <f t="shared" ref="R49" si="1360">SUM(R47:R48)</f>
        <v>7736.5</v>
      </c>
      <c r="S49" s="20">
        <f t="shared" ref="S49" si="1361">SUM(S47:S48)</f>
        <v>6532.5</v>
      </c>
      <c r="T49" s="20">
        <f t="shared" ref="T49" si="1362">SUM(T47:T48)</f>
        <v>5028.55</v>
      </c>
      <c r="U49" s="20">
        <f t="shared" ref="U49" si="1363">SUM(U47:U48)</f>
        <v>5711.1</v>
      </c>
      <c r="V49" s="20">
        <f t="shared" ref="V49" si="1364">SUM(V47:V48)</f>
        <v>5922.95</v>
      </c>
      <c r="W49" s="20">
        <f t="shared" ref="W49" si="1365">SUM(W47:W48)</f>
        <v>5761.35</v>
      </c>
      <c r="X49" s="20">
        <f t="shared" ref="X49" si="1366">SUM(X47:X48)</f>
        <v>5026.75</v>
      </c>
      <c r="Y49" s="20">
        <f t="shared" ref="Y49" si="1367">SUM(Y47:Y48)</f>
        <v>4192.1000000000004</v>
      </c>
      <c r="Z49" s="20">
        <f t="shared" ref="Z49" si="1368">SUM(Z47:Z48)</f>
        <v>5418.25</v>
      </c>
      <c r="AA49" s="20">
        <f t="shared" ref="AA49" si="1369">SUM(AA47:AA48)</f>
        <v>5320</v>
      </c>
      <c r="AB49" s="20">
        <f t="shared" ref="AB49" si="1370">SUM(AB47:AB48)</f>
        <v>4406.3</v>
      </c>
      <c r="AC49" s="20">
        <f t="shared" ref="AC49" si="1371">SUM(AC47:AC48)</f>
        <v>5132.1499999999996</v>
      </c>
      <c r="AD49" s="20">
        <f t="shared" ref="AD49" si="1372">SUM(AD47:AD48)</f>
        <v>5308.3</v>
      </c>
      <c r="AE49" s="20">
        <f t="shared" ref="AE49" si="1373">SUM(AE47:AE48)</f>
        <v>6045.55</v>
      </c>
      <c r="AF49" s="20">
        <f t="shared" ref="AF49" si="1374">SUM(AF47:AF48)</f>
        <v>6118.7</v>
      </c>
      <c r="AG49" s="20">
        <f t="shared" ref="AG49" si="1375">SUM(AG47:AG48)</f>
        <v>5137.8500000000004</v>
      </c>
      <c r="AH49" s="20">
        <f t="shared" ref="AH49" si="1376">SUM(AH47:AH48)</f>
        <v>5754.65</v>
      </c>
      <c r="AI49" s="20">
        <f t="shared" ref="AI49" si="1377">SUM(AI47:AI48)</f>
        <v>5259.5</v>
      </c>
      <c r="AJ49" s="20">
        <f t="shared" ref="AJ49" si="1378">SUM(AJ47:AJ48)</f>
        <v>4719.8500000000004</v>
      </c>
      <c r="AK49" s="20">
        <f t="shared" ref="AK49" si="1379">SUM(AK47:AK48)</f>
        <v>4925.3</v>
      </c>
      <c r="AL49" s="20">
        <f t="shared" ref="AL49" si="1380">SUM(AL47:AL48)</f>
        <v>7210</v>
      </c>
      <c r="AM49" s="20">
        <f t="shared" ref="AM49" si="1381">SUM(AM47:AM48)</f>
        <v>8246</v>
      </c>
      <c r="AN49" s="20">
        <f t="shared" ref="AN49" si="1382">SUM(AN47:AN48)</f>
        <v>6958.6</v>
      </c>
      <c r="AO49" s="20">
        <f t="shared" ref="AO49" si="1383">SUM(AO47:AO48)</f>
        <v>6957.85</v>
      </c>
      <c r="AP49" s="20">
        <f t="shared" ref="AP49" si="1384">SUM(AP47:AP48)</f>
        <v>8322.9500000000007</v>
      </c>
      <c r="AQ49" s="20">
        <f t="shared" ref="AQ49" si="1385">SUM(AQ47:AQ48)</f>
        <v>10406.4</v>
      </c>
      <c r="AR49" s="20">
        <f t="shared" ref="AR49" si="1386">SUM(AR47:AR48)</f>
        <v>7728.65</v>
      </c>
      <c r="AS49" s="20">
        <f t="shared" ref="AS49" si="1387">SUM(AS47:AS48)</f>
        <v>10805.25</v>
      </c>
      <c r="AT49" s="20">
        <f t="shared" ref="AT49" si="1388">SUM(AT47:AT48)</f>
        <v>11820.05</v>
      </c>
      <c r="AU49" s="20">
        <f t="shared" ref="AU49" si="1389">SUM(AU47:AU48)</f>
        <v>15191.75</v>
      </c>
      <c r="AV49" s="20">
        <f t="shared" ref="AV49" si="1390">SUM(AV47:AV48)</f>
        <v>10120.549999999999</v>
      </c>
      <c r="AW49" s="20">
        <f t="shared" ref="AW49" si="1391">SUM(AW47:AW48)</f>
        <v>11195.05</v>
      </c>
      <c r="AX49" s="20">
        <f t="shared" ref="AX49" si="1392">SUM(AX47:AX48)</f>
        <v>12013.7</v>
      </c>
      <c r="AY49" s="20">
        <f t="shared" ref="AY49" si="1393">SUM(AY47:AY48)</f>
        <v>10744.45</v>
      </c>
      <c r="AZ49" s="20">
        <f t="shared" ref="AZ49" si="1394">SUM(AZ47:AZ48)</f>
        <v>11623.25</v>
      </c>
      <c r="BA49" s="20">
        <f t="shared" ref="BA49" si="1395">SUM(BA47:BA48)</f>
        <v>9468.4500000000007</v>
      </c>
      <c r="BB49" s="20">
        <f t="shared" ref="BB49" si="1396">SUM(BB47:BB48)</f>
        <v>12178.7</v>
      </c>
      <c r="BC49" s="20">
        <f t="shared" ref="BC49" si="1397">SUM(BC47:BC48)</f>
        <v>11610.35</v>
      </c>
      <c r="BD49" s="20">
        <f t="shared" ref="BD49" si="1398">SUM(BD47:BD48)</f>
        <v>10539.15</v>
      </c>
      <c r="BE49" s="20">
        <f t="shared" ref="BE49" si="1399">SUM(BE47:BE48)</f>
        <v>11569.4</v>
      </c>
      <c r="BF49" s="20">
        <f t="shared" ref="BF49" si="1400">SUM(BF47:BF48)</f>
        <v>11454.8</v>
      </c>
      <c r="BG49" s="20">
        <f t="shared" ref="BG49" si="1401">SUM(BG47:BG48)</f>
        <v>10384.02</v>
      </c>
      <c r="BH49" s="20">
        <f t="shared" ref="BH49" si="1402">SUM(BH47:BH48)</f>
        <v>12224.7</v>
      </c>
      <c r="BI49" s="20">
        <f t="shared" ref="BI49" si="1403">SUM(BI47:BI48)</f>
        <v>11944.87</v>
      </c>
      <c r="BJ49" s="20">
        <f t="shared" ref="BJ49" si="1404">SUM(BJ47:BJ48)</f>
        <v>11173.65</v>
      </c>
      <c r="BK49" s="20">
        <f t="shared" ref="BK49" si="1405">SUM(BK47:BK48)</f>
        <v>6619</v>
      </c>
      <c r="BL49" s="20">
        <f t="shared" ref="BL49" si="1406">SUM(BL47:BL48)</f>
        <v>9956.6</v>
      </c>
      <c r="BM49" s="20">
        <f t="shared" ref="BM49" si="1407">SUM(BM47:BM48)</f>
        <v>9182.9500000000007</v>
      </c>
      <c r="BN49" s="20">
        <f t="shared" ref="BN49" si="1408">SUM(BN47:BN48)</f>
        <v>6373.4</v>
      </c>
      <c r="BO49" s="20">
        <f t="shared" ref="BO49" si="1409">SUM(BO47:BO48)</f>
        <v>6272.3</v>
      </c>
      <c r="BP49" s="20">
        <f t="shared" ref="BP49" si="1410">SUM(BP47:BP48)</f>
        <v>9306.5499999999993</v>
      </c>
      <c r="BQ49" s="20">
        <f t="shared" ref="BQ49" si="1411">SUM(BQ47:BQ48)</f>
        <v>6443.1</v>
      </c>
      <c r="BR49" s="20">
        <f t="shared" ref="BR49" si="1412">SUM(BR47:BR48)</f>
        <v>7971.15</v>
      </c>
      <c r="BS49" s="20">
        <f t="shared" ref="BS49" si="1413">SUM(BS47:BS48)</f>
        <v>9489.2999999999993</v>
      </c>
      <c r="BT49" s="20">
        <f t="shared" ref="BT49" si="1414">SUM(BT47:BT48)</f>
        <v>8104.35</v>
      </c>
      <c r="BU49" s="20">
        <f t="shared" ref="BU49" si="1415">SUM(BU47:BU48)</f>
        <v>8142.4</v>
      </c>
      <c r="BV49" s="20">
        <f t="shared" ref="BV49" si="1416">SUM(BV47:BV48)</f>
        <v>7562.2</v>
      </c>
      <c r="BW49" s="20">
        <f t="shared" ref="BW49" si="1417">SUM(BW47:BW48)</f>
        <v>9500.15</v>
      </c>
      <c r="BX49" s="20">
        <f t="shared" ref="BX49" si="1418">SUM(BX47:BX48)</f>
        <v>12494.75</v>
      </c>
      <c r="BY49" s="20">
        <f t="shared" ref="BY49" si="1419">SUM(BY47:BY48)</f>
        <v>10732.58</v>
      </c>
      <c r="BZ49" s="20">
        <f t="shared" ref="BZ49" si="1420">SUM(BZ47:BZ48)</f>
        <v>12729.2</v>
      </c>
      <c r="CA49" s="20">
        <f t="shared" ref="CA49" si="1421">SUM(CA47:CA48)</f>
        <v>10214.9</v>
      </c>
      <c r="CB49" s="20">
        <f t="shared" ref="CB49" si="1422">SUM(CB47:CB48)</f>
        <v>10113.65</v>
      </c>
      <c r="CC49" s="20">
        <f t="shared" ref="CC49" si="1423">SUM(CC47:CC48)</f>
        <v>10869.05</v>
      </c>
      <c r="CD49" s="20">
        <f t="shared" ref="CD49" si="1424">SUM(CD47:CD48)</f>
        <v>11756.2</v>
      </c>
      <c r="CE49" s="20">
        <f t="shared" ref="CE49" si="1425">SUM(CE47:CE48)</f>
        <v>10434.049999999999</v>
      </c>
      <c r="CF49" s="20">
        <f t="shared" ref="CF49" si="1426">SUM(CF47:CF48)</f>
        <v>13198.15</v>
      </c>
      <c r="CG49" s="20">
        <f t="shared" ref="CG49" si="1427">SUM(CG47:CG48)</f>
        <v>11117.1</v>
      </c>
      <c r="CH49" s="20">
        <f t="shared" ref="CH49" si="1428">SUM(CH47:CH48)</f>
        <v>11286.25</v>
      </c>
      <c r="CI49" s="20">
        <f t="shared" ref="CI49" si="1429">SUM(CI47:CI48)</f>
        <v>11531.4</v>
      </c>
      <c r="CJ49" s="20">
        <f t="shared" ref="CJ49" si="1430">SUM(CJ47:CJ48)</f>
        <v>10926.8</v>
      </c>
      <c r="CK49" s="20">
        <f t="shared" ref="CK49" si="1431">SUM(CK47:CK48)</f>
        <v>13073</v>
      </c>
      <c r="CL49" s="20">
        <f t="shared" ref="CL49" si="1432">SUM(CL47:CL48)</f>
        <v>14586.65</v>
      </c>
      <c r="CM49" s="20">
        <f t="shared" ref="CM49" si="1433">SUM(CM47:CM48)</f>
        <v>14059.7</v>
      </c>
      <c r="CN49" s="20">
        <f t="shared" ref="CN49" si="1434">SUM(CN47:CN48)</f>
        <v>17786.95</v>
      </c>
      <c r="CO49" s="20">
        <f t="shared" ref="CO49" si="1435">SUM(CO47:CO48)</f>
        <v>15199.45</v>
      </c>
      <c r="CP49" s="20">
        <f t="shared" ref="CP49" si="1436">SUM(CP47:CP48)</f>
        <v>14575.25</v>
      </c>
      <c r="CQ49" s="20">
        <f t="shared" ref="CQ49" si="1437">SUM(CQ47:CQ48)</f>
        <v>18548.399999999998</v>
      </c>
      <c r="CR49" s="20">
        <f t="shared" ref="CR49" si="1438">SUM(CR47:CR48)</f>
        <v>19510.849999999999</v>
      </c>
      <c r="CS49" s="20">
        <f t="shared" ref="CS49" si="1439">SUM(CS47:CS48)</f>
        <v>18071</v>
      </c>
      <c r="CT49" s="20">
        <f t="shared" ref="CT49" si="1440">SUM(CT47:CT48)</f>
        <v>17690.400000000001</v>
      </c>
      <c r="CU49" s="20">
        <f t="shared" ref="CU49" si="1441">SUM(CU47:CU48)</f>
        <v>20590.050000000003</v>
      </c>
      <c r="CV49" s="20">
        <f t="shared" ref="CV49" si="1442">SUM(CV47:CV48)</f>
        <v>18092.150000000001</v>
      </c>
      <c r="CW49" s="20">
        <f t="shared" ref="CW49" si="1443">SUM(CW47:CW48)</f>
        <v>17692.879999999997</v>
      </c>
      <c r="CX49" s="20">
        <f t="shared" ref="CX49" si="1444">SUM(CX47:CX48)</f>
        <v>20268.05</v>
      </c>
      <c r="CY49" s="20">
        <f t="shared" ref="CY49" si="1445">SUM(CY47:CY48)</f>
        <v>20876.099999999999</v>
      </c>
      <c r="CZ49" s="20">
        <f t="shared" ref="CZ49" si="1446">SUM(CZ47:CZ48)</f>
        <v>18110.7</v>
      </c>
      <c r="DA49" s="20">
        <f t="shared" ref="DA49" si="1447">SUM(DA47:DA48)</f>
        <v>19943</v>
      </c>
      <c r="DB49" s="20">
        <f t="shared" ref="DB49" si="1448">SUM(DB47:DB48)</f>
        <v>20714.900000000001</v>
      </c>
      <c r="DC49" s="20">
        <f t="shared" ref="DC49" si="1449">SUM(DC47:DC48)</f>
        <v>22521.599999999999</v>
      </c>
      <c r="DD49" s="20">
        <f t="shared" ref="DD49" si="1450">SUM(DD47:DD48)</f>
        <v>25489.550000000003</v>
      </c>
      <c r="DE49" s="20">
        <f t="shared" ref="DE49" si="1451">SUM(DE47:DE48)</f>
        <v>21777.35</v>
      </c>
      <c r="DF49" s="20">
        <f t="shared" ref="DF49" si="1452">SUM(DF47:DF48)</f>
        <v>23454.401999999998</v>
      </c>
      <c r="DG49" s="20">
        <f t="shared" ref="DG49" si="1453">SUM(DG47:DG48)</f>
        <v>23456.9</v>
      </c>
      <c r="DH49" s="20">
        <f t="shared" ref="DH49" si="1454">SUM(DH47:DH48)</f>
        <v>24972.6</v>
      </c>
      <c r="DI49" s="20">
        <f t="shared" ref="DI49" si="1455">SUM(DI47:DI48)</f>
        <v>17078.849999999999</v>
      </c>
      <c r="DJ49" s="20">
        <f t="shared" ref="DJ49" si="1456">SUM(DJ47:DJ48)</f>
        <v>14550.92</v>
      </c>
      <c r="DK49" s="20">
        <f t="shared" ref="DK49" si="1457">SUM(DK47:DK48)</f>
        <v>17825.775000000001</v>
      </c>
      <c r="DL49" s="20">
        <f t="shared" ref="DL49" si="1458">SUM(DL47:DL48)</f>
        <v>15606.35</v>
      </c>
      <c r="DM49" s="20">
        <f t="shared" ref="DM49" si="1459">SUM(DM47:DM48)</f>
        <v>13868.24</v>
      </c>
      <c r="DN49" s="20">
        <f t="shared" ref="DN49" si="1460">SUM(DN47:DN48)</f>
        <v>12743.85</v>
      </c>
      <c r="DO49" s="20">
        <f t="shared" ref="DO49" si="1461">SUM(DO47:DO48)</f>
        <v>12864.12</v>
      </c>
      <c r="DP49" s="20">
        <f t="shared" ref="DP49" si="1462">SUM(DP47:DP48)</f>
        <v>10655.55</v>
      </c>
      <c r="DQ49" s="20">
        <f t="shared" ref="DQ49" si="1463">SUM(DQ47:DQ48)</f>
        <v>16304.75</v>
      </c>
      <c r="DR49" s="20">
        <f t="shared" ref="DR49" si="1464">SUM(DR47:DR48)</f>
        <v>16944.420000000002</v>
      </c>
      <c r="DS49" s="20">
        <f t="shared" ref="DS49" si="1465">SUM(DS47:DS48)</f>
        <v>14808.720000000001</v>
      </c>
      <c r="DT49" s="20">
        <f t="shared" ref="DT49" si="1466">SUM(DT47:DT48)</f>
        <v>12939.25</v>
      </c>
      <c r="DU49" s="20">
        <f t="shared" ref="DU49" si="1467">SUM(DU47:DU48)</f>
        <v>16207.929999999998</v>
      </c>
      <c r="DV49" s="20">
        <f t="shared" ref="DV49" si="1468">SUM(DV47:DV48)</f>
        <v>15829.52</v>
      </c>
      <c r="DW49" s="20">
        <f t="shared" ref="DW49" si="1469">SUM(DW47:DW48)</f>
        <v>16141.25</v>
      </c>
      <c r="DX49" s="20">
        <f t="shared" ref="DX49" si="1470">SUM(DX47:DX48)</f>
        <v>18886.170000000002</v>
      </c>
      <c r="DY49" s="20">
        <f t="shared" ref="DY49" si="1471">SUM(DY47:DY48)</f>
        <v>13551.199999999999</v>
      </c>
      <c r="DZ49" s="20">
        <f t="shared" ref="DZ49" si="1472">SUM(DZ47:DZ48)</f>
        <v>17551.95</v>
      </c>
      <c r="EA49" s="20">
        <f t="shared" ref="EA49" si="1473">SUM(EA47:EA48)</f>
        <v>12511.25</v>
      </c>
      <c r="EB49" s="20">
        <f t="shared" ref="EB49" si="1474">SUM(EB47:EB48)</f>
        <v>12335.849999999999</v>
      </c>
      <c r="EC49" s="20">
        <f t="shared" ref="EC49" si="1475">SUM(EC47:EC48)</f>
        <v>13700.8</v>
      </c>
      <c r="ED49" s="20">
        <f t="shared" ref="ED49" si="1476">SUM(ED47:ED48)</f>
        <v>14083.5</v>
      </c>
      <c r="EE49" s="20">
        <f t="shared" ref="EE49" si="1477">SUM(EE47:EE48)</f>
        <v>12568.5</v>
      </c>
      <c r="EF49" s="20">
        <f t="shared" ref="EF49" si="1478">SUM(EF47:EF48)</f>
        <v>14023.75</v>
      </c>
      <c r="EG49" s="20">
        <f t="shared" ref="EG49" si="1479">SUM(EG47:EG48)</f>
        <v>13544.789999999999</v>
      </c>
      <c r="EH49" s="20">
        <f t="shared" ref="EH49" si="1480">SUM(EH47:EH48)</f>
        <v>14259.55</v>
      </c>
      <c r="EI49" s="20">
        <f t="shared" ref="EI49" si="1481">SUM(EI47:EI48)</f>
        <v>14016.85</v>
      </c>
      <c r="EJ49" s="20">
        <f t="shared" ref="EJ49" si="1482">SUM(EJ47:EJ48)</f>
        <v>13569.8</v>
      </c>
      <c r="EK49" s="20">
        <f t="shared" ref="EK49" si="1483">SUM(EK47:EK48)</f>
        <v>14645.8</v>
      </c>
      <c r="EL49" s="20">
        <f t="shared" ref="EL49" si="1484">SUM(EL47:EL48)</f>
        <v>18250.8</v>
      </c>
      <c r="EM49" s="20">
        <f t="shared" ref="EM49" si="1485">SUM(EM47:EM48)</f>
        <v>19391.8</v>
      </c>
      <c r="EN49" s="20">
        <f t="shared" ref="EN49" si="1486">SUM(EN47:EN48)</f>
        <v>21696</v>
      </c>
      <c r="EO49" s="20">
        <f t="shared" ref="EO49" si="1487">SUM(EO47:EO48)</f>
        <v>18126.8</v>
      </c>
      <c r="EP49" s="20">
        <f t="shared" ref="EP49" si="1488">SUM(EP47:EP48)</f>
        <v>18602.05</v>
      </c>
      <c r="EQ49" s="20">
        <f t="shared" ref="EQ49" si="1489">SUM(EQ47:EQ48)</f>
        <v>23456.2</v>
      </c>
      <c r="ER49" s="20">
        <f t="shared" ref="ER49" si="1490">SUM(ER47:ER48)</f>
        <v>18433</v>
      </c>
      <c r="ES49" s="20">
        <f t="shared" ref="ES49" si="1491">SUM(ES47:ES48)</f>
        <v>19334.75</v>
      </c>
      <c r="ET49" s="20">
        <f t="shared" ref="ET49" si="1492">SUM(ET47:ET48)</f>
        <v>18797.349999999999</v>
      </c>
      <c r="EU49" s="20">
        <f t="shared" ref="EU49" si="1493">SUM(EU47:EU48)</f>
        <v>23056.25</v>
      </c>
      <c r="EV49" s="20">
        <f t="shared" ref="EV49" si="1494">SUM(EV47:EV48)</f>
        <v>18587.8</v>
      </c>
      <c r="EW49" s="20">
        <f t="shared" ref="EW49" si="1495">SUM(EW47:EW48)</f>
        <v>20077.7</v>
      </c>
      <c r="EX49" s="20">
        <f t="shared" ref="EX49" si="1496">SUM(EX47:EX48)</f>
        <v>21971.9</v>
      </c>
      <c r="EY49" s="20">
        <f t="shared" ref="EY49" si="1497">SUM(EY47:EY48)</f>
        <v>21274.9</v>
      </c>
      <c r="EZ49" s="20">
        <f t="shared" ref="EZ49" si="1498">SUM(EZ47:EZ48)</f>
        <v>20790.05</v>
      </c>
      <c r="FA49" s="20">
        <f t="shared" ref="FA49" si="1499">SUM(FA47:FA48)</f>
        <v>22195.100000000002</v>
      </c>
      <c r="FB49" s="20">
        <f t="shared" ref="FB49" si="1500">SUM(FB47:FB48)</f>
        <v>23222.5</v>
      </c>
      <c r="FC49" s="20">
        <f t="shared" ref="FC49" si="1501">SUM(FC47:FC48)</f>
        <v>23430.55</v>
      </c>
      <c r="FD49" s="20">
        <f t="shared" ref="FD49" si="1502">SUM(FD47:FD48)</f>
        <v>23681.599999999999</v>
      </c>
      <c r="FE49" s="20">
        <f t="shared" ref="FE49" si="1503">SUM(FE47:FE48)</f>
        <v>22372.85</v>
      </c>
      <c r="FF49" s="20">
        <f t="shared" ref="FF49" si="1504">SUM(FF47:FF48)</f>
        <v>22354.45</v>
      </c>
      <c r="FG49" s="20">
        <f t="shared" ref="FG49" si="1505">SUM(FG47:FG48)</f>
        <v>21708.25</v>
      </c>
      <c r="FH49" s="20">
        <f t="shared" ref="FH49" si="1506">SUM(FH47:FH48)</f>
        <v>21131.9</v>
      </c>
      <c r="FI49" s="20">
        <f t="shared" ref="FI49" si="1507">SUM(FI47:FI48)</f>
        <v>16046.15</v>
      </c>
      <c r="FJ49" s="20">
        <f t="shared" ref="FJ49" si="1508">SUM(FJ47:FJ48)</f>
        <v>15356.35</v>
      </c>
      <c r="FK49" s="20">
        <f t="shared" ref="FK49" si="1509">SUM(FK47:FK48)</f>
        <v>16299.7</v>
      </c>
      <c r="FL49" s="20">
        <f t="shared" ref="FL49" si="1510">SUM(FL47:FL48)</f>
        <v>14611.45</v>
      </c>
      <c r="FM49" s="20">
        <f t="shared" ref="FM49" si="1511">SUM(FM47:FM48)</f>
        <v>14073.55</v>
      </c>
      <c r="FN49" s="20">
        <f t="shared" ref="FN49" si="1512">SUM(FN47:FN48)</f>
        <v>16036.55</v>
      </c>
      <c r="FO49" s="20">
        <f t="shared" ref="FO49" si="1513">SUM(FO47:FO48)</f>
        <v>12404.65</v>
      </c>
      <c r="FP49" s="20">
        <f t="shared" ref="FP49" si="1514">SUM(FP47:FP48)</f>
        <v>9818.9500000000007</v>
      </c>
      <c r="FQ49" s="20">
        <f t="shared" ref="FQ49" si="1515">SUM(FQ47:FQ48)</f>
        <v>13864.449999999999</v>
      </c>
      <c r="FR49" s="20">
        <f t="shared" ref="FR49" si="1516">SUM(FR47:FR48)</f>
        <v>13815.66</v>
      </c>
      <c r="FS49" s="20">
        <f t="shared" ref="FS49" si="1517">SUM(FS47:FS48)</f>
        <v>12945.3</v>
      </c>
      <c r="FT49" s="20">
        <f t="shared" ref="FT49" si="1518">SUM(FT47:FT48)</f>
        <v>13876.67</v>
      </c>
      <c r="FU49" s="20">
        <f t="shared" ref="FU49" si="1519">SUM(FU47:FU48)</f>
        <v>14934.2</v>
      </c>
      <c r="FV49" s="20">
        <f t="shared" ref="FV49" si="1520">SUM(FV47:FV48)</f>
        <v>15036.539999999999</v>
      </c>
      <c r="FW49" s="20">
        <f t="shared" ref="FW49" si="1521">SUM(FW47:FW48)</f>
        <v>17795.309999999998</v>
      </c>
      <c r="FX49" s="20">
        <f t="shared" ref="FX49" si="1522">SUM(FX47:FX48)</f>
        <v>20408.71</v>
      </c>
      <c r="FY49" s="20">
        <f t="shared" ref="FY49" si="1523">SUM(FY47:FY48)</f>
        <v>15292.599999999999</v>
      </c>
      <c r="FZ49" s="20">
        <f t="shared" ref="FZ49" si="1524">SUM(FZ47:FZ48)</f>
        <v>19236.7</v>
      </c>
      <c r="GA49" s="20">
        <f t="shared" ref="GA49" si="1525">SUM(GA47:GA48)</f>
        <v>13922.25</v>
      </c>
      <c r="GB49" s="20">
        <f t="shared" ref="GB49" si="1526">SUM(GB47:GB48)</f>
        <v>14794.76</v>
      </c>
      <c r="GC49" s="20">
        <f t="shared" ref="GC49" si="1527">SUM(GC47:GC48)</f>
        <v>13539.46</v>
      </c>
      <c r="GD49" s="20">
        <f t="shared" ref="GD49" si="1528">SUM(GD47:GD48)</f>
        <v>15428.75</v>
      </c>
      <c r="GE49" s="20">
        <f t="shared" ref="GE49" si="1529">SUM(GE47:GE48)</f>
        <v>11895.92</v>
      </c>
      <c r="GF49" s="20">
        <f t="shared" ref="GF49" si="1530">SUM(GF47:GF48)</f>
        <v>16890.88</v>
      </c>
      <c r="GG49" s="20">
        <f t="shared" ref="GG49" si="1531">SUM(GG47:GG48)</f>
        <v>16409.3</v>
      </c>
      <c r="GH49" s="20">
        <f t="shared" ref="GH49" si="1532">SUM(GH47:GH48)</f>
        <v>13613.449999999999</v>
      </c>
      <c r="GI49" s="20">
        <f t="shared" ref="GI49" si="1533">SUM(GI47:GI48)</f>
        <v>13977.91</v>
      </c>
      <c r="GJ49" s="20">
        <f t="shared" ref="GJ49" si="1534">SUM(GJ47:GJ48)</f>
        <v>16132.95</v>
      </c>
      <c r="GK49" s="20">
        <f t="shared" ref="GK49" si="1535">SUM(GK47:GK48)</f>
        <v>17852.25</v>
      </c>
      <c r="GL49" s="20">
        <f t="shared" ref="GL49" si="1536">SUM(GL47:GL48)</f>
        <v>16583.349999999999</v>
      </c>
      <c r="GM49" s="20">
        <f t="shared" ref="GM49:GN49" si="1537">SUM(GM47:GM48)</f>
        <v>18872.75</v>
      </c>
      <c r="GN49" s="20">
        <f t="shared" si="1537"/>
        <v>19044.54</v>
      </c>
      <c r="GO49" s="20">
        <f>SUM(GO47:GO48)</f>
        <v>16788.55</v>
      </c>
      <c r="GP49" s="20">
        <f>SUM(GP47:GP48)</f>
        <v>19674.25</v>
      </c>
      <c r="GQ49" s="20">
        <f>SUM(GQ47:GQ48)</f>
        <v>23056</v>
      </c>
      <c r="GR49" s="108">
        <f>SUM(GR47:GR48)</f>
        <v>19397.05</v>
      </c>
      <c r="GS49" s="154">
        <f t="shared" ref="GS49" si="1538">SUM(GS47+GS48)</f>
        <v>23456.2</v>
      </c>
      <c r="GT49" s="10" t="str">
        <f>B47</f>
        <v>NOLE</v>
      </c>
      <c r="GU49" s="139" t="s">
        <v>398</v>
      </c>
      <c r="GV49" s="140">
        <f>DRY!AH52</f>
        <v>0.74594896516257314</v>
      </c>
      <c r="GW49" s="56">
        <f>AVERAGE(ES49:GR49)</f>
        <v>17571.456923076927</v>
      </c>
      <c r="GX49" s="56">
        <f>AVERAGE(FS49:GR49)</f>
        <v>16438.47692307692</v>
      </c>
      <c r="GY49" s="56">
        <f>AVERAGE(GF49:GR49)</f>
        <v>17561.017692307691</v>
      </c>
      <c r="GZ49" s="56">
        <f>AVERAGE(GN49:GR49)</f>
        <v>19592.078000000001</v>
      </c>
      <c r="HA49" s="56">
        <f>MAX(D49:GR49)</f>
        <v>25489.550000000003</v>
      </c>
    </row>
    <row r="50" spans="1:209" s="2" customFormat="1" ht="15" customHeight="1" x14ac:dyDescent="0.3">
      <c r="A50" s="169"/>
      <c r="B50" s="35" t="s">
        <v>365</v>
      </c>
      <c r="C50" s="21"/>
      <c r="D50" s="21"/>
      <c r="E50" s="21">
        <f>SUM(E49-D49)</f>
        <v>-1088</v>
      </c>
      <c r="F50" s="21">
        <f t="shared" ref="F50:AN50" si="1539">SUM(F49-E49)</f>
        <v>-846.04999999999927</v>
      </c>
      <c r="G50" s="21">
        <f t="shared" si="1539"/>
        <v>1608.3999999999996</v>
      </c>
      <c r="H50" s="21">
        <f t="shared" si="1539"/>
        <v>-762.60000000000036</v>
      </c>
      <c r="I50" s="21">
        <f t="shared" si="1539"/>
        <v>-5932.25</v>
      </c>
      <c r="J50" s="21">
        <f t="shared" si="1539"/>
        <v>1206.8000000000002</v>
      </c>
      <c r="K50" s="21">
        <f t="shared" si="1539"/>
        <v>-2086.3500000000004</v>
      </c>
      <c r="L50" s="21">
        <f t="shared" si="1539"/>
        <v>646.30000000000018</v>
      </c>
      <c r="M50" s="21">
        <f t="shared" si="1539"/>
        <v>-335.60000000000036</v>
      </c>
      <c r="N50" s="21">
        <f t="shared" si="1539"/>
        <v>-748.44999999999982</v>
      </c>
      <c r="O50" s="21">
        <f t="shared" si="1539"/>
        <v>-1012.8999999999996</v>
      </c>
      <c r="P50" s="21">
        <f t="shared" si="1539"/>
        <v>2137.8999999999996</v>
      </c>
      <c r="Q50" s="21">
        <f t="shared" si="1539"/>
        <v>197.90000000000055</v>
      </c>
      <c r="R50" s="21">
        <f t="shared" si="1539"/>
        <v>1209.8999999999996</v>
      </c>
      <c r="S50" s="21">
        <f t="shared" si="1539"/>
        <v>-1204</v>
      </c>
      <c r="T50" s="21">
        <f t="shared" si="1539"/>
        <v>-1503.9499999999998</v>
      </c>
      <c r="U50" s="21">
        <f t="shared" si="1539"/>
        <v>682.55000000000018</v>
      </c>
      <c r="V50" s="21">
        <f t="shared" si="1539"/>
        <v>211.84999999999945</v>
      </c>
      <c r="W50" s="21">
        <f t="shared" si="1539"/>
        <v>-161.59999999999945</v>
      </c>
      <c r="X50" s="21">
        <f t="shared" si="1539"/>
        <v>-734.60000000000036</v>
      </c>
      <c r="Y50" s="21">
        <f t="shared" si="1539"/>
        <v>-834.64999999999964</v>
      </c>
      <c r="Z50" s="21">
        <f t="shared" si="1539"/>
        <v>1226.1499999999996</v>
      </c>
      <c r="AA50" s="21">
        <f t="shared" si="1539"/>
        <v>-98.25</v>
      </c>
      <c r="AB50" s="21">
        <f t="shared" si="1539"/>
        <v>-913.69999999999982</v>
      </c>
      <c r="AC50" s="21">
        <f t="shared" si="1539"/>
        <v>725.84999999999945</v>
      </c>
      <c r="AD50" s="21">
        <f t="shared" si="1539"/>
        <v>176.15000000000055</v>
      </c>
      <c r="AE50" s="21">
        <f t="shared" si="1539"/>
        <v>737.25</v>
      </c>
      <c r="AF50" s="21">
        <f t="shared" si="1539"/>
        <v>73.149999999999636</v>
      </c>
      <c r="AG50" s="21">
        <f t="shared" si="1539"/>
        <v>-980.84999999999945</v>
      </c>
      <c r="AH50" s="21">
        <f t="shared" si="1539"/>
        <v>616.79999999999927</v>
      </c>
      <c r="AI50" s="21">
        <f t="shared" si="1539"/>
        <v>-495.14999999999964</v>
      </c>
      <c r="AJ50" s="21">
        <f t="shared" si="1539"/>
        <v>-539.64999999999964</v>
      </c>
      <c r="AK50" s="21">
        <f t="shared" si="1539"/>
        <v>205.44999999999982</v>
      </c>
      <c r="AL50" s="21">
        <f t="shared" si="1539"/>
        <v>2284.6999999999998</v>
      </c>
      <c r="AM50" s="21">
        <f t="shared" si="1539"/>
        <v>1036</v>
      </c>
      <c r="AN50" s="21">
        <f t="shared" si="1539"/>
        <v>-1287.3999999999996</v>
      </c>
      <c r="AO50" s="21">
        <f t="shared" ref="AO50:BA50" si="1540">SUM(AO49-AN49)</f>
        <v>-0.75</v>
      </c>
      <c r="AP50" s="21">
        <f t="shared" si="1540"/>
        <v>1365.1000000000004</v>
      </c>
      <c r="AQ50" s="21">
        <f t="shared" si="1540"/>
        <v>2083.4499999999989</v>
      </c>
      <c r="AR50" s="21">
        <f t="shared" si="1540"/>
        <v>-2677.75</v>
      </c>
      <c r="AS50" s="21">
        <f t="shared" si="1540"/>
        <v>3076.6000000000004</v>
      </c>
      <c r="AT50" s="21">
        <f t="shared" si="1540"/>
        <v>1014.7999999999993</v>
      </c>
      <c r="AU50" s="21">
        <f t="shared" si="1540"/>
        <v>3371.7000000000007</v>
      </c>
      <c r="AV50" s="21">
        <f t="shared" si="1540"/>
        <v>-5071.2000000000007</v>
      </c>
      <c r="AW50" s="21">
        <f t="shared" si="1540"/>
        <v>1074.5</v>
      </c>
      <c r="AX50" s="21">
        <f t="shared" si="1540"/>
        <v>818.65000000000146</v>
      </c>
      <c r="AY50" s="21">
        <f t="shared" si="1540"/>
        <v>-1269.25</v>
      </c>
      <c r="AZ50" s="21">
        <f t="shared" si="1540"/>
        <v>878.79999999999927</v>
      </c>
      <c r="BA50" s="21">
        <f t="shared" si="1540"/>
        <v>-2154.7999999999993</v>
      </c>
      <c r="BB50" s="21">
        <f>SUM(BB49-BA49)</f>
        <v>2710.25</v>
      </c>
      <c r="BC50" s="21">
        <f t="shared" ref="BC50:CC50" si="1541">SUM(BC49-BB49)</f>
        <v>-568.35000000000036</v>
      </c>
      <c r="BD50" s="21">
        <f t="shared" si="1541"/>
        <v>-1071.2000000000007</v>
      </c>
      <c r="BE50" s="21">
        <f t="shared" si="1541"/>
        <v>1030.25</v>
      </c>
      <c r="BF50" s="21">
        <f t="shared" si="1541"/>
        <v>-114.60000000000036</v>
      </c>
      <c r="BG50" s="21">
        <f t="shared" si="1541"/>
        <v>-1070.7799999999988</v>
      </c>
      <c r="BH50" s="21">
        <f t="shared" si="1541"/>
        <v>1840.6800000000003</v>
      </c>
      <c r="BI50" s="21">
        <f t="shared" si="1541"/>
        <v>-279.82999999999993</v>
      </c>
      <c r="BJ50" s="21">
        <f t="shared" si="1541"/>
        <v>-771.22000000000116</v>
      </c>
      <c r="BK50" s="21">
        <f t="shared" si="1541"/>
        <v>-4554.6499999999996</v>
      </c>
      <c r="BL50" s="21">
        <f t="shared" si="1541"/>
        <v>3337.6000000000004</v>
      </c>
      <c r="BM50" s="21">
        <f t="shared" si="1541"/>
        <v>-773.64999999999964</v>
      </c>
      <c r="BN50" s="21">
        <f t="shared" si="1541"/>
        <v>-2809.5500000000011</v>
      </c>
      <c r="BO50" s="21">
        <f t="shared" si="1541"/>
        <v>-101.09999999999945</v>
      </c>
      <c r="BP50" s="21">
        <f t="shared" si="1541"/>
        <v>3034.2499999999991</v>
      </c>
      <c r="BQ50" s="21">
        <f t="shared" si="1541"/>
        <v>-2863.4499999999989</v>
      </c>
      <c r="BR50" s="21">
        <f t="shared" si="1541"/>
        <v>1528.0499999999993</v>
      </c>
      <c r="BS50" s="21">
        <f t="shared" si="1541"/>
        <v>1518.1499999999996</v>
      </c>
      <c r="BT50" s="21">
        <f t="shared" si="1541"/>
        <v>-1384.9499999999989</v>
      </c>
      <c r="BU50" s="21">
        <f t="shared" si="1541"/>
        <v>38.049999999999272</v>
      </c>
      <c r="BV50" s="21">
        <f t="shared" si="1541"/>
        <v>-580.19999999999982</v>
      </c>
      <c r="BW50" s="21">
        <f t="shared" si="1541"/>
        <v>1937.9499999999998</v>
      </c>
      <c r="BX50" s="21">
        <f t="shared" si="1541"/>
        <v>2994.6000000000004</v>
      </c>
      <c r="BY50" s="21">
        <f t="shared" si="1541"/>
        <v>-1762.17</v>
      </c>
      <c r="BZ50" s="21">
        <f t="shared" si="1541"/>
        <v>1996.6200000000008</v>
      </c>
      <c r="CA50" s="21">
        <f t="shared" si="1541"/>
        <v>-2514.3000000000011</v>
      </c>
      <c r="CB50" s="21">
        <f t="shared" si="1541"/>
        <v>-101.25</v>
      </c>
      <c r="CC50" s="21">
        <f t="shared" si="1541"/>
        <v>755.39999999999964</v>
      </c>
      <c r="CD50" s="21">
        <f t="shared" ref="CD50:CJ50" si="1542">SUM(CD49-CC49)</f>
        <v>887.15000000000146</v>
      </c>
      <c r="CE50" s="21">
        <f t="shared" si="1542"/>
        <v>-1322.1500000000015</v>
      </c>
      <c r="CF50" s="21">
        <f t="shared" si="1542"/>
        <v>2764.1000000000004</v>
      </c>
      <c r="CG50" s="21">
        <f t="shared" si="1542"/>
        <v>-2081.0499999999993</v>
      </c>
      <c r="CH50" s="21">
        <f t="shared" si="1542"/>
        <v>169.14999999999964</v>
      </c>
      <c r="CI50" s="21">
        <f t="shared" si="1542"/>
        <v>245.14999999999964</v>
      </c>
      <c r="CJ50" s="21">
        <f t="shared" si="1542"/>
        <v>-604.60000000000036</v>
      </c>
      <c r="CK50" s="21">
        <f t="shared" ref="CK50:CO50" si="1543">SUM(CK49-CJ49)</f>
        <v>2146.2000000000007</v>
      </c>
      <c r="CL50" s="21">
        <f t="shared" si="1543"/>
        <v>1513.6499999999996</v>
      </c>
      <c r="CM50" s="21">
        <f t="shared" si="1543"/>
        <v>-526.94999999999891</v>
      </c>
      <c r="CN50" s="21">
        <f t="shared" si="1543"/>
        <v>3727.25</v>
      </c>
      <c r="CO50" s="21">
        <f t="shared" si="1543"/>
        <v>-2587.5</v>
      </c>
      <c r="CP50" s="21">
        <f t="shared" ref="CP50:DH50" si="1544">SUM(CP49-CO49)</f>
        <v>-624.20000000000073</v>
      </c>
      <c r="CQ50" s="21">
        <f t="shared" si="1544"/>
        <v>3973.1499999999978</v>
      </c>
      <c r="CR50" s="21">
        <f t="shared" si="1544"/>
        <v>962.45000000000073</v>
      </c>
      <c r="CS50" s="21">
        <f t="shared" si="1544"/>
        <v>-1439.8499999999985</v>
      </c>
      <c r="CT50" s="21">
        <f t="shared" si="1544"/>
        <v>-380.59999999999854</v>
      </c>
      <c r="CU50" s="21">
        <f t="shared" si="1544"/>
        <v>2899.6500000000015</v>
      </c>
      <c r="CV50" s="21">
        <f t="shared" si="1544"/>
        <v>-2497.9000000000015</v>
      </c>
      <c r="CW50" s="21">
        <f t="shared" si="1544"/>
        <v>-399.27000000000407</v>
      </c>
      <c r="CX50" s="21">
        <f t="shared" si="1544"/>
        <v>2575.1700000000019</v>
      </c>
      <c r="CY50" s="21">
        <f t="shared" si="1544"/>
        <v>608.04999999999927</v>
      </c>
      <c r="CZ50" s="21">
        <f t="shared" si="1544"/>
        <v>-2765.3999999999978</v>
      </c>
      <c r="DA50" s="21">
        <f t="shared" si="1544"/>
        <v>1832.2999999999993</v>
      </c>
      <c r="DB50" s="21">
        <f t="shared" si="1544"/>
        <v>771.90000000000146</v>
      </c>
      <c r="DC50" s="21">
        <f t="shared" si="1544"/>
        <v>1806.6999999999971</v>
      </c>
      <c r="DD50" s="21">
        <f t="shared" si="1544"/>
        <v>2967.9500000000044</v>
      </c>
      <c r="DE50" s="21">
        <f t="shared" si="1544"/>
        <v>-3712.2000000000044</v>
      </c>
      <c r="DF50" s="21">
        <f t="shared" si="1544"/>
        <v>1677.0519999999997</v>
      </c>
      <c r="DG50" s="21">
        <f t="shared" si="1544"/>
        <v>2.4980000000032305</v>
      </c>
      <c r="DH50" s="21">
        <f t="shared" si="1544"/>
        <v>1515.6999999999971</v>
      </c>
      <c r="DI50" s="28">
        <f t="shared" ref="DI50" si="1545">SUM(DI49-DH49)/DH49</f>
        <v>-0.31609644170010331</v>
      </c>
      <c r="DJ50" s="28">
        <f t="shared" ref="DJ50" si="1546">SUM(DJ49-DI49)/DI49</f>
        <v>-0.14801523521782783</v>
      </c>
      <c r="DK50" s="28">
        <f t="shared" ref="DK50" si="1547">SUM(DK49-DJ49)/DJ49</f>
        <v>0.22506171431084779</v>
      </c>
      <c r="DL50" s="28">
        <f t="shared" ref="DL50" si="1548">SUM(DL49-DK49)/DK49</f>
        <v>-0.12450650813218504</v>
      </c>
      <c r="DM50" s="28">
        <f t="shared" ref="DM50" si="1549">SUM(DM49-DL49)/DL49</f>
        <v>-0.11137197358767428</v>
      </c>
      <c r="DN50" s="28">
        <f t="shared" ref="DN50" si="1550">SUM(DN49-DM49)/DM49</f>
        <v>-8.1076618229854652E-2</v>
      </c>
      <c r="DO50" s="28">
        <f t="shared" ref="DO50" si="1551">SUM(DO49-DN49)/DN49</f>
        <v>9.437493379159393E-3</v>
      </c>
      <c r="DP50" s="28">
        <f t="shared" ref="DP50" si="1552">SUM(DP49-DO49)/DO49</f>
        <v>-0.17168449921176118</v>
      </c>
      <c r="DQ50" s="28">
        <f t="shared" ref="DQ50" si="1553">SUM(DQ49-DP49)/DP49</f>
        <v>0.53016503136862958</v>
      </c>
      <c r="DR50" s="28">
        <f t="shared" ref="DR50" si="1554">SUM(DR49-DQ49)/DQ49</f>
        <v>3.923212560756846E-2</v>
      </c>
      <c r="DS50" s="28">
        <f t="shared" ref="DS50" si="1555">SUM(DS49-DR49)/DR49</f>
        <v>-0.12604149330576087</v>
      </c>
      <c r="DT50" s="28">
        <f t="shared" ref="DT50" si="1556">SUM(DT49-DS49)/DS49</f>
        <v>-0.12624116061347646</v>
      </c>
      <c r="DU50" s="28">
        <f t="shared" ref="DU50" si="1557">SUM(DU49-DT49)/DT49</f>
        <v>0.25261742373012336</v>
      </c>
      <c r="DV50" s="28">
        <f t="shared" ref="DV50" si="1558">SUM(DV49-DU49)/DU49</f>
        <v>-2.3347213370245187E-2</v>
      </c>
      <c r="DW50" s="28">
        <f t="shared" ref="DW50" si="1559">SUM(DW49-DV49)/DV49</f>
        <v>1.9692953418675965E-2</v>
      </c>
      <c r="DX50" s="28">
        <f t="shared" ref="DX50" si="1560">SUM(DX49-DW49)/DW49</f>
        <v>0.17005622241152338</v>
      </c>
      <c r="DY50" s="28">
        <f t="shared" ref="DY50" si="1561">SUM(DY49-DX49)/DX49</f>
        <v>-0.28248024877463257</v>
      </c>
      <c r="DZ50" s="28">
        <f t="shared" ref="DZ50" si="1562">SUM(DZ49-DY49)/DY49</f>
        <v>0.29523215656178065</v>
      </c>
      <c r="EA50" s="28">
        <f t="shared" ref="EA50" si="1563">SUM(EA49-DZ49)/DZ49</f>
        <v>-0.28718746350120644</v>
      </c>
      <c r="EB50" s="28">
        <f t="shared" ref="EB50" si="1564">SUM(EB49-EA49)/EA49</f>
        <v>-1.4019382555699986E-2</v>
      </c>
      <c r="EC50" s="28">
        <f t="shared" ref="EC50" si="1565">SUM(EC49-EB49)/EB49</f>
        <v>0.11064904323577224</v>
      </c>
      <c r="ED50" s="28">
        <f t="shared" ref="ED50" si="1566">SUM(ED49-EC49)/EC49</f>
        <v>2.7932675464206524E-2</v>
      </c>
      <c r="EE50" s="28">
        <f t="shared" ref="EE50" si="1567">SUM(EE49-ED49)/ED49</f>
        <v>-0.10757269144743849</v>
      </c>
      <c r="EF50" s="28">
        <f t="shared" ref="EF50" si="1568">SUM(EF49-EE49)/EE49</f>
        <v>0.11578549548474361</v>
      </c>
      <c r="EG50" s="28">
        <f t="shared" ref="EG50" si="1569">SUM(EG49-EF49)/EF49</f>
        <v>-3.4153489615830354E-2</v>
      </c>
      <c r="EH50" s="28">
        <f t="shared" ref="EH50" si="1570">SUM(EH49-EG49)/EG49</f>
        <v>5.2770105701158913E-2</v>
      </c>
      <c r="EI50" s="28">
        <f t="shared" ref="EI50" si="1571">SUM(EI49-EH49)/EH49</f>
        <v>-1.702017244583447E-2</v>
      </c>
      <c r="EJ50" s="28">
        <f t="shared" ref="EJ50" si="1572">SUM(EJ49-EI49)/EI49</f>
        <v>-3.189375644313816E-2</v>
      </c>
      <c r="EK50" s="28">
        <f t="shared" ref="EK50" si="1573">SUM(EK49-EJ49)/EJ49</f>
        <v>7.9293725773408597E-2</v>
      </c>
      <c r="EL50" s="28">
        <f t="shared" ref="EL50" si="1574">SUM(EL49-EK49)/EK49</f>
        <v>0.24614565267858363</v>
      </c>
      <c r="EM50" s="28">
        <f t="shared" ref="EM50" si="1575">SUM(EM49-EL49)/EL49</f>
        <v>6.2517807438578044E-2</v>
      </c>
      <c r="EN50" s="28">
        <f t="shared" ref="EN50" si="1576">SUM(EN49-EM49)/EM49</f>
        <v>0.11882342020854179</v>
      </c>
      <c r="EO50" s="28">
        <f t="shared" ref="EO50" si="1577">SUM(EO49-EN49)/EN49</f>
        <v>-0.164509587020649</v>
      </c>
      <c r="EP50" s="28">
        <f t="shared" ref="EP50" si="1578">SUM(EP49-EO49)/EO49</f>
        <v>2.6218085928018185E-2</v>
      </c>
      <c r="EQ50" s="28">
        <f t="shared" ref="EQ50" si="1579">SUM(EQ49-EP49)/EP49</f>
        <v>0.26094704615889119</v>
      </c>
      <c r="ER50" s="28">
        <f t="shared" ref="ER50" si="1580">SUM(ER49-EQ49)/EQ49</f>
        <v>-0.21415233499032241</v>
      </c>
      <c r="ES50" s="28">
        <f t="shared" ref="ES50" si="1581">SUM(ES49-ER49)/ER49</f>
        <v>4.8920414474041121E-2</v>
      </c>
      <c r="ET50" s="28">
        <f t="shared" ref="ET50" si="1582">SUM(ET49-ES49)/ES49</f>
        <v>-2.7794515057086411E-2</v>
      </c>
      <c r="EU50" s="28">
        <f t="shared" ref="EU50" si="1583">SUM(EU49-ET49)/ET49</f>
        <v>0.22656917065437424</v>
      </c>
      <c r="EV50" s="28">
        <f t="shared" ref="EV50" si="1584">SUM(EV49-EU49)/EU49</f>
        <v>-0.19380645161290325</v>
      </c>
      <c r="EW50" s="28">
        <f t="shared" ref="EW50" si="1585">SUM(EW49-EV49)/EV49</f>
        <v>8.0154725142297711E-2</v>
      </c>
      <c r="EX50" s="28">
        <f t="shared" ref="EX50" si="1586">SUM(EX49-EW49)/EW49</f>
        <v>9.4343475597304507E-2</v>
      </c>
      <c r="EY50" s="28">
        <f t="shared" ref="EY50" si="1587">SUM(EY49-EX49)/EX49</f>
        <v>-3.1722336256764322E-2</v>
      </c>
      <c r="EZ50" s="28">
        <f t="shared" ref="EZ50" si="1588">SUM(EZ49-EY49)/EY49</f>
        <v>-2.2789766344377748E-2</v>
      </c>
      <c r="FA50" s="28">
        <f t="shared" ref="FA50" si="1589">SUM(FA49-EZ49)/EZ49</f>
        <v>6.7582810046152034E-2</v>
      </c>
      <c r="FB50" s="28">
        <f t="shared" ref="FB50" si="1590">SUM(FB49-FA49)/FA49</f>
        <v>4.6289496330270991E-2</v>
      </c>
      <c r="FC50" s="28">
        <f t="shared" ref="FC50" si="1591">SUM(FC49-FB49)/FB49</f>
        <v>8.9589837442135539E-3</v>
      </c>
      <c r="FD50" s="28">
        <f t="shared" ref="FD50" si="1592">SUM(FD49-FC49)/FC49</f>
        <v>1.071464391574245E-2</v>
      </c>
      <c r="FE50" s="28">
        <f t="shared" ref="FE50" si="1593">SUM(FE49-FD49)/FD49</f>
        <v>-5.5264424701033717E-2</v>
      </c>
      <c r="FF50" s="28">
        <f t="shared" ref="FF50" si="1594">SUM(FF49-FE49)/FE49</f>
        <v>-8.2242539506579713E-4</v>
      </c>
      <c r="FG50" s="28">
        <f t="shared" ref="FG50" si="1595">SUM(FG49-FF49)/FF49</f>
        <v>-2.8906996146181217E-2</v>
      </c>
      <c r="FH50" s="28">
        <f t="shared" ref="FH50" si="1596">SUM(FH49-FG49)/FG49</f>
        <v>-2.6549814010802277E-2</v>
      </c>
      <c r="FI50" s="28">
        <f t="shared" ref="FI50" si="1597">SUM(FI49-FH49)/FH49</f>
        <v>-0.24066695375238389</v>
      </c>
      <c r="FJ50" s="28">
        <f t="shared" ref="FJ50" si="1598">SUM(FJ49-FI49)/FI49</f>
        <v>-4.2988505030801739E-2</v>
      </c>
      <c r="FK50" s="28">
        <f t="shared" ref="FK50" si="1599">SUM(FK49-FJ49)/FJ49</f>
        <v>6.1430613394458995E-2</v>
      </c>
      <c r="FL50" s="28">
        <f t="shared" ref="FL50" si="1600">SUM(FL49-FK49)/FK49</f>
        <v>-0.10357552592992508</v>
      </c>
      <c r="FM50" s="28">
        <f t="shared" ref="FM50:GK50" si="1601">SUM(FM49-FL49)/FL49</f>
        <v>-3.6813594817762876E-2</v>
      </c>
      <c r="FN50" s="28">
        <f t="shared" si="1601"/>
        <v>0.13948150964042477</v>
      </c>
      <c r="FO50" s="28">
        <f t="shared" si="1601"/>
        <v>-0.22647639298976399</v>
      </c>
      <c r="FP50" s="28">
        <f t="shared" si="1601"/>
        <v>-0.20844602628852882</v>
      </c>
      <c r="FQ50" s="28">
        <f t="shared" si="1601"/>
        <v>0.4120094307436129</v>
      </c>
      <c r="FR50" s="28">
        <f t="shared" si="1601"/>
        <v>-3.5190721593715622E-3</v>
      </c>
      <c r="FS50" s="28">
        <f t="shared" si="1601"/>
        <v>-6.2998076096256031E-2</v>
      </c>
      <c r="FT50" s="28">
        <f t="shared" si="1601"/>
        <v>7.1946575204900692E-2</v>
      </c>
      <c r="FU50" s="28">
        <f t="shared" si="1601"/>
        <v>7.6209205810904249E-2</v>
      </c>
      <c r="FV50" s="28">
        <f t="shared" si="1601"/>
        <v>6.8527272970763968E-3</v>
      </c>
      <c r="FW50" s="28">
        <f t="shared" si="1601"/>
        <v>0.18347106448690981</v>
      </c>
      <c r="FX50" s="28">
        <f t="shared" si="1601"/>
        <v>0.1468589195692574</v>
      </c>
      <c r="FY50" s="28">
        <f t="shared" si="1601"/>
        <v>-0.25068267421115792</v>
      </c>
      <c r="FZ50" s="28">
        <f t="shared" si="1601"/>
        <v>0.25790905405228687</v>
      </c>
      <c r="GA50" s="28">
        <f t="shared" si="1601"/>
        <v>-0.276266199504073</v>
      </c>
      <c r="GB50" s="28">
        <f t="shared" si="1601"/>
        <v>6.2670186212717069E-2</v>
      </c>
      <c r="GC50" s="28">
        <f t="shared" si="1601"/>
        <v>-8.4847608207230196E-2</v>
      </c>
      <c r="GD50" s="28">
        <f t="shared" si="1601"/>
        <v>0.13953953850448991</v>
      </c>
      <c r="GE50" s="28">
        <f t="shared" si="1601"/>
        <v>-0.22897707202462933</v>
      </c>
      <c r="GF50" s="28">
        <f t="shared" si="1601"/>
        <v>0.41988849958641289</v>
      </c>
      <c r="GG50" s="28">
        <f t="shared" si="1601"/>
        <v>-2.8511243937556937E-2</v>
      </c>
      <c r="GH50" s="28">
        <f t="shared" si="1601"/>
        <v>-0.17038203945323691</v>
      </c>
      <c r="GI50" s="28">
        <f t="shared" si="1601"/>
        <v>2.6772052639118003E-2</v>
      </c>
      <c r="GJ50" s="28">
        <f t="shared" si="1601"/>
        <v>0.15417469421394192</v>
      </c>
      <c r="GK50" s="28">
        <f t="shared" si="1601"/>
        <v>0.10657071397357577</v>
      </c>
      <c r="GL50" s="28">
        <f t="shared" ref="GL50" si="1602">(GL49-GK49)/GK49</f>
        <v>-7.1077875337842655E-2</v>
      </c>
      <c r="GM50" s="83">
        <f t="shared" ref="GM50" si="1603">(GM49-GL49)/GL49</f>
        <v>0.13805413260891206</v>
      </c>
      <c r="GN50" s="28">
        <f t="shared" ref="GN50" si="1604">(GN49-GM49)/GM49</f>
        <v>9.1025420248771836E-3</v>
      </c>
      <c r="GO50" s="28">
        <f t="shared" ref="GO50:GR50" si="1605">(GO49-GN49)/GN49</f>
        <v>-0.11845862383654325</v>
      </c>
      <c r="GP50" s="28">
        <f t="shared" si="1605"/>
        <v>0.17188500495873682</v>
      </c>
      <c r="GQ50" s="28">
        <f t="shared" si="1605"/>
        <v>0.17188711132571763</v>
      </c>
      <c r="GR50" s="165">
        <f t="shared" si="1605"/>
        <v>-0.15869838653712703</v>
      </c>
      <c r="GS50" s="157"/>
      <c r="GT50" s="11"/>
      <c r="GU50" s="95" t="s">
        <v>368</v>
      </c>
      <c r="GV50" s="105">
        <f>LABOUR!AG60</f>
        <v>0.23830427822787484</v>
      </c>
      <c r="GW50" s="58"/>
      <c r="GX50" s="58"/>
      <c r="GY50" s="58"/>
      <c r="GZ50" s="58"/>
      <c r="HA50" s="58"/>
    </row>
    <row r="51" spans="1:209" s="2" customFormat="1" ht="15" customHeight="1" x14ac:dyDescent="0.3">
      <c r="A51" s="169"/>
      <c r="B51" s="22" t="s">
        <v>91</v>
      </c>
      <c r="C51" s="23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>
        <f t="shared" ref="BD51" si="1606">D49</f>
        <v>13541.5</v>
      </c>
      <c r="BE51" s="25">
        <f t="shared" ref="BE51" si="1607">E49</f>
        <v>12453.5</v>
      </c>
      <c r="BF51" s="25">
        <f t="shared" ref="BF51" si="1608">F49</f>
        <v>11607.45</v>
      </c>
      <c r="BG51" s="25">
        <f t="shared" ref="BG51" si="1609">G49</f>
        <v>13215.85</v>
      </c>
      <c r="BH51" s="25">
        <f t="shared" ref="BH51" si="1610">H49</f>
        <v>12453.25</v>
      </c>
      <c r="BI51" s="25">
        <f t="shared" ref="BI51" si="1611">I49</f>
        <v>6521</v>
      </c>
      <c r="BJ51" s="25">
        <f t="shared" ref="BJ51" si="1612">J49</f>
        <v>7727.8</v>
      </c>
      <c r="BK51" s="25">
        <f t="shared" ref="BK51" si="1613">K49</f>
        <v>5641.45</v>
      </c>
      <c r="BL51" s="25">
        <f t="shared" ref="BL51" si="1614">L49</f>
        <v>6287.75</v>
      </c>
      <c r="BM51" s="25">
        <f t="shared" ref="BM51" si="1615">M49</f>
        <v>5952.15</v>
      </c>
      <c r="BN51" s="25">
        <f t="shared" ref="BN51" si="1616">N49</f>
        <v>5203.7</v>
      </c>
      <c r="BO51" s="25">
        <f t="shared" ref="BO51" si="1617">O49</f>
        <v>4190.8</v>
      </c>
      <c r="BP51" s="25">
        <f t="shared" ref="BP51" si="1618">P49</f>
        <v>6328.7</v>
      </c>
      <c r="BQ51" s="25">
        <f t="shared" ref="BQ51" si="1619">Q49</f>
        <v>6526.6</v>
      </c>
      <c r="BR51" s="25">
        <f t="shared" ref="BR51" si="1620">R49</f>
        <v>7736.5</v>
      </c>
      <c r="BS51" s="25">
        <f t="shared" ref="BS51" si="1621">S49</f>
        <v>6532.5</v>
      </c>
      <c r="BT51" s="25">
        <f t="shared" ref="BT51" si="1622">T49</f>
        <v>5028.55</v>
      </c>
      <c r="BU51" s="25">
        <f t="shared" ref="BU51" si="1623">U49</f>
        <v>5711.1</v>
      </c>
      <c r="BV51" s="25">
        <f t="shared" ref="BV51" si="1624">V49</f>
        <v>5922.95</v>
      </c>
      <c r="BW51" s="25">
        <f t="shared" ref="BW51" si="1625">W49</f>
        <v>5761.35</v>
      </c>
      <c r="BX51" s="25">
        <f t="shared" ref="BX51" si="1626">X49</f>
        <v>5026.75</v>
      </c>
      <c r="BY51" s="25">
        <f t="shared" ref="BY51" si="1627">Y49</f>
        <v>4192.1000000000004</v>
      </c>
      <c r="BZ51" s="25">
        <f t="shared" ref="BZ51" si="1628">Z49</f>
        <v>5418.25</v>
      </c>
      <c r="CA51" s="25">
        <f t="shared" ref="CA51" si="1629">AA49</f>
        <v>5320</v>
      </c>
      <c r="CB51" s="25">
        <f t="shared" ref="CB51" si="1630">AB49</f>
        <v>4406.3</v>
      </c>
      <c r="CC51" s="25">
        <f t="shared" ref="CC51" si="1631">AC49</f>
        <v>5132.1499999999996</v>
      </c>
      <c r="CD51" s="25">
        <f t="shared" ref="CD51" si="1632">AD49</f>
        <v>5308.3</v>
      </c>
      <c r="CE51" s="25">
        <f t="shared" ref="CE51" si="1633">AE49</f>
        <v>6045.55</v>
      </c>
      <c r="CF51" s="25">
        <f t="shared" ref="CF51" si="1634">AF49</f>
        <v>6118.7</v>
      </c>
      <c r="CG51" s="25">
        <f t="shared" ref="CG51" si="1635">AG49</f>
        <v>5137.8500000000004</v>
      </c>
      <c r="CH51" s="25">
        <f t="shared" ref="CH51" si="1636">AH49</f>
        <v>5754.65</v>
      </c>
      <c r="CI51" s="25">
        <f t="shared" ref="CI51" si="1637">AI49</f>
        <v>5259.5</v>
      </c>
      <c r="CJ51" s="25">
        <f t="shared" ref="CJ51" si="1638">AJ49</f>
        <v>4719.8500000000004</v>
      </c>
      <c r="CK51" s="25">
        <f t="shared" ref="CK51" si="1639">AK49</f>
        <v>4925.3</v>
      </c>
      <c r="CL51" s="25">
        <f t="shared" ref="CL51" si="1640">AL49</f>
        <v>7210</v>
      </c>
      <c r="CM51" s="25">
        <f t="shared" ref="CM51" si="1641">AM49</f>
        <v>8246</v>
      </c>
      <c r="CN51" s="25">
        <f t="shared" ref="CN51" si="1642">AN49</f>
        <v>6958.6</v>
      </c>
      <c r="CO51" s="25">
        <f t="shared" ref="CO51" si="1643">AO49</f>
        <v>6957.85</v>
      </c>
      <c r="CP51" s="25">
        <f t="shared" ref="CP51" si="1644">AP49</f>
        <v>8322.9500000000007</v>
      </c>
      <c r="CQ51" s="25">
        <f t="shared" ref="CQ51" si="1645">AQ49</f>
        <v>10406.4</v>
      </c>
      <c r="CR51" s="25">
        <f t="shared" ref="CR51" si="1646">AR49</f>
        <v>7728.65</v>
      </c>
      <c r="CS51" s="25">
        <f t="shared" ref="CS51" si="1647">AS49</f>
        <v>10805.25</v>
      </c>
      <c r="CT51" s="25">
        <f t="shared" ref="CT51" si="1648">AT49</f>
        <v>11820.05</v>
      </c>
      <c r="CU51" s="25">
        <f t="shared" ref="CU51" si="1649">AU49</f>
        <v>15191.75</v>
      </c>
      <c r="CV51" s="25">
        <f t="shared" ref="CV51" si="1650">AV49</f>
        <v>10120.549999999999</v>
      </c>
      <c r="CW51" s="25">
        <f t="shared" ref="CW51" si="1651">AW49</f>
        <v>11195.05</v>
      </c>
      <c r="CX51" s="25">
        <f t="shared" ref="CX51" si="1652">AX49</f>
        <v>12013.7</v>
      </c>
      <c r="CY51" s="25">
        <f t="shared" ref="CY51" si="1653">AY49</f>
        <v>10744.45</v>
      </c>
      <c r="CZ51" s="25">
        <f t="shared" ref="CZ51" si="1654">AZ49</f>
        <v>11623.25</v>
      </c>
      <c r="DA51" s="25">
        <f t="shared" ref="DA51" si="1655">BA49</f>
        <v>9468.4500000000007</v>
      </c>
      <c r="DB51" s="25">
        <f t="shared" ref="DB51" si="1656">BB49</f>
        <v>12178.7</v>
      </c>
      <c r="DC51" s="25">
        <f t="shared" ref="DC51" si="1657">BC49</f>
        <v>11610.35</v>
      </c>
      <c r="DD51" s="25">
        <f t="shared" ref="DD51" si="1658">BD49</f>
        <v>10539.15</v>
      </c>
      <c r="DE51" s="25">
        <f t="shared" ref="DE51" si="1659">BE49</f>
        <v>11569.4</v>
      </c>
      <c r="DF51" s="25">
        <f t="shared" ref="DF51" si="1660">BF49</f>
        <v>11454.8</v>
      </c>
      <c r="DG51" s="25">
        <f t="shared" ref="DG51" si="1661">BG49</f>
        <v>10384.02</v>
      </c>
      <c r="DH51" s="25">
        <f t="shared" ref="DH51" si="1662">BH49</f>
        <v>12224.7</v>
      </c>
      <c r="DI51" s="25">
        <f t="shared" ref="DI51" si="1663">BI49</f>
        <v>11944.87</v>
      </c>
      <c r="DJ51" s="25">
        <f t="shared" ref="DJ51" si="1664">BJ49</f>
        <v>11173.65</v>
      </c>
      <c r="DK51" s="25">
        <f t="shared" ref="DK51" si="1665">BK49</f>
        <v>6619</v>
      </c>
      <c r="DL51" s="25">
        <f t="shared" ref="DL51" si="1666">BL49</f>
        <v>9956.6</v>
      </c>
      <c r="DM51" s="25">
        <f t="shared" ref="DM51" si="1667">BM49</f>
        <v>9182.9500000000007</v>
      </c>
      <c r="DN51" s="25">
        <f t="shared" ref="DN51" si="1668">BN49</f>
        <v>6373.4</v>
      </c>
      <c r="DO51" s="25">
        <f t="shared" ref="DO51" si="1669">BO49</f>
        <v>6272.3</v>
      </c>
      <c r="DP51" s="25">
        <f t="shared" ref="DP51" si="1670">BP49</f>
        <v>9306.5499999999993</v>
      </c>
      <c r="DQ51" s="25">
        <f t="shared" ref="DQ51" si="1671">BQ49</f>
        <v>6443.1</v>
      </c>
      <c r="DR51" s="25">
        <f t="shared" ref="DR51" si="1672">BR49</f>
        <v>7971.15</v>
      </c>
      <c r="DS51" s="25">
        <f t="shared" ref="DS51" si="1673">BS49</f>
        <v>9489.2999999999993</v>
      </c>
      <c r="DT51" s="25">
        <f t="shared" ref="DT51" si="1674">BT49</f>
        <v>8104.35</v>
      </c>
      <c r="DU51" s="25">
        <f t="shared" ref="DU51" si="1675">BU49</f>
        <v>8142.4</v>
      </c>
      <c r="DV51" s="25">
        <f t="shared" ref="DV51" si="1676">BV49</f>
        <v>7562.2</v>
      </c>
      <c r="DW51" s="25">
        <f t="shared" ref="DW51:GL51" si="1677">BW49</f>
        <v>9500.15</v>
      </c>
      <c r="DX51" s="25">
        <f t="shared" si="1677"/>
        <v>12494.75</v>
      </c>
      <c r="DY51" s="25">
        <f t="shared" si="1677"/>
        <v>10732.58</v>
      </c>
      <c r="DZ51" s="25">
        <f t="shared" si="1677"/>
        <v>12729.2</v>
      </c>
      <c r="EA51" s="25">
        <f t="shared" si="1677"/>
        <v>10214.9</v>
      </c>
      <c r="EB51" s="25">
        <f t="shared" si="1677"/>
        <v>10113.65</v>
      </c>
      <c r="EC51" s="25">
        <f t="shared" si="1677"/>
        <v>10869.05</v>
      </c>
      <c r="ED51" s="25">
        <f t="shared" si="1677"/>
        <v>11756.2</v>
      </c>
      <c r="EE51" s="25">
        <f t="shared" si="1677"/>
        <v>10434.049999999999</v>
      </c>
      <c r="EF51" s="25">
        <f t="shared" si="1677"/>
        <v>13198.15</v>
      </c>
      <c r="EG51" s="25">
        <f t="shared" si="1677"/>
        <v>11117.1</v>
      </c>
      <c r="EH51" s="25">
        <f t="shared" si="1677"/>
        <v>11286.25</v>
      </c>
      <c r="EI51" s="25">
        <f t="shared" si="1677"/>
        <v>11531.4</v>
      </c>
      <c r="EJ51" s="25">
        <f t="shared" si="1677"/>
        <v>10926.8</v>
      </c>
      <c r="EK51" s="25">
        <f t="shared" si="1677"/>
        <v>13073</v>
      </c>
      <c r="EL51" s="25">
        <f t="shared" si="1677"/>
        <v>14586.65</v>
      </c>
      <c r="EM51" s="25">
        <f t="shared" si="1677"/>
        <v>14059.7</v>
      </c>
      <c r="EN51" s="25">
        <f t="shared" si="1677"/>
        <v>17786.95</v>
      </c>
      <c r="EO51" s="25">
        <f t="shared" si="1677"/>
        <v>15199.45</v>
      </c>
      <c r="EP51" s="25">
        <f t="shared" si="1677"/>
        <v>14575.25</v>
      </c>
      <c r="EQ51" s="25">
        <f t="shared" si="1677"/>
        <v>18548.399999999998</v>
      </c>
      <c r="ER51" s="25">
        <f t="shared" si="1677"/>
        <v>19510.849999999999</v>
      </c>
      <c r="ES51" s="25">
        <f t="shared" si="1677"/>
        <v>18071</v>
      </c>
      <c r="ET51" s="25">
        <f t="shared" si="1677"/>
        <v>17690.400000000001</v>
      </c>
      <c r="EU51" s="25">
        <f t="shared" si="1677"/>
        <v>20590.050000000003</v>
      </c>
      <c r="EV51" s="25">
        <f t="shared" si="1677"/>
        <v>18092.150000000001</v>
      </c>
      <c r="EW51" s="25">
        <f t="shared" si="1677"/>
        <v>17692.879999999997</v>
      </c>
      <c r="EX51" s="25">
        <f t="shared" si="1677"/>
        <v>20268.05</v>
      </c>
      <c r="EY51" s="25">
        <f t="shared" si="1677"/>
        <v>20876.099999999999</v>
      </c>
      <c r="EZ51" s="25">
        <f t="shared" si="1677"/>
        <v>18110.7</v>
      </c>
      <c r="FA51" s="25">
        <f t="shared" si="1677"/>
        <v>19943</v>
      </c>
      <c r="FB51" s="25">
        <f t="shared" si="1677"/>
        <v>20714.900000000001</v>
      </c>
      <c r="FC51" s="25">
        <f t="shared" si="1677"/>
        <v>22521.599999999999</v>
      </c>
      <c r="FD51" s="25">
        <f t="shared" si="1677"/>
        <v>25489.550000000003</v>
      </c>
      <c r="FE51" s="25">
        <f t="shared" si="1677"/>
        <v>21777.35</v>
      </c>
      <c r="FF51" s="25">
        <f t="shared" si="1677"/>
        <v>23454.401999999998</v>
      </c>
      <c r="FG51" s="25">
        <f t="shared" si="1677"/>
        <v>23456.9</v>
      </c>
      <c r="FH51" s="25">
        <f t="shared" si="1677"/>
        <v>24972.6</v>
      </c>
      <c r="FI51" s="25">
        <f t="shared" si="1677"/>
        <v>17078.849999999999</v>
      </c>
      <c r="FJ51" s="25">
        <f t="shared" si="1677"/>
        <v>14550.92</v>
      </c>
      <c r="FK51" s="25">
        <f t="shared" si="1677"/>
        <v>17825.775000000001</v>
      </c>
      <c r="FL51" s="25">
        <f t="shared" si="1677"/>
        <v>15606.35</v>
      </c>
      <c r="FM51" s="25">
        <f t="shared" si="1677"/>
        <v>13868.24</v>
      </c>
      <c r="FN51" s="25">
        <f t="shared" si="1677"/>
        <v>12743.85</v>
      </c>
      <c r="FO51" s="25">
        <f t="shared" si="1677"/>
        <v>12864.12</v>
      </c>
      <c r="FP51" s="25">
        <f t="shared" si="1677"/>
        <v>10655.55</v>
      </c>
      <c r="FQ51" s="25">
        <f t="shared" si="1677"/>
        <v>16304.75</v>
      </c>
      <c r="FR51" s="25">
        <f t="shared" si="1677"/>
        <v>16944.420000000002</v>
      </c>
      <c r="FS51" s="25">
        <f t="shared" si="1677"/>
        <v>14808.720000000001</v>
      </c>
      <c r="FT51" s="25">
        <f t="shared" si="1677"/>
        <v>12939.25</v>
      </c>
      <c r="FU51" s="25">
        <f t="shared" si="1677"/>
        <v>16207.929999999998</v>
      </c>
      <c r="FV51" s="25">
        <f t="shared" si="1677"/>
        <v>15829.52</v>
      </c>
      <c r="FW51" s="25">
        <f t="shared" si="1677"/>
        <v>16141.25</v>
      </c>
      <c r="FX51" s="25">
        <f t="shared" si="1677"/>
        <v>18886.170000000002</v>
      </c>
      <c r="FY51" s="25">
        <f t="shared" si="1677"/>
        <v>13551.199999999999</v>
      </c>
      <c r="FZ51" s="25">
        <f t="shared" si="1677"/>
        <v>17551.95</v>
      </c>
      <c r="GA51" s="25">
        <f t="shared" si="1677"/>
        <v>12511.25</v>
      </c>
      <c r="GB51" s="25">
        <f t="shared" si="1677"/>
        <v>12335.849999999999</v>
      </c>
      <c r="GC51" s="25">
        <f t="shared" si="1677"/>
        <v>13700.8</v>
      </c>
      <c r="GD51" s="25">
        <f t="shared" si="1677"/>
        <v>14083.5</v>
      </c>
      <c r="GE51" s="25">
        <f t="shared" si="1677"/>
        <v>12568.5</v>
      </c>
      <c r="GF51" s="25">
        <f t="shared" si="1677"/>
        <v>14023.75</v>
      </c>
      <c r="GG51" s="25">
        <f t="shared" si="1677"/>
        <v>13544.789999999999</v>
      </c>
      <c r="GH51" s="25">
        <f t="shared" si="1677"/>
        <v>14259.55</v>
      </c>
      <c r="GI51" s="25">
        <f t="shared" si="1677"/>
        <v>14016.85</v>
      </c>
      <c r="GJ51" s="25">
        <f t="shared" si="1677"/>
        <v>13569.8</v>
      </c>
      <c r="GK51" s="25">
        <f t="shared" si="1677"/>
        <v>14645.8</v>
      </c>
      <c r="GL51" s="25">
        <f t="shared" si="1677"/>
        <v>18250.8</v>
      </c>
      <c r="GM51" s="25">
        <f t="shared" ref="GM51:GR51" si="1678">EL49</f>
        <v>18250.8</v>
      </c>
      <c r="GN51" s="25">
        <f t="shared" si="1678"/>
        <v>19391.8</v>
      </c>
      <c r="GO51" s="25">
        <f t="shared" si="1678"/>
        <v>21696</v>
      </c>
      <c r="GP51" s="25">
        <f t="shared" si="1678"/>
        <v>18126.8</v>
      </c>
      <c r="GQ51" s="25">
        <f t="shared" si="1678"/>
        <v>18602.05</v>
      </c>
      <c r="GR51" s="110">
        <f t="shared" si="1678"/>
        <v>23456.2</v>
      </c>
      <c r="GS51" s="157"/>
      <c r="GT51" s="3" t="s">
        <v>91</v>
      </c>
      <c r="GU51" s="11"/>
      <c r="GV51" s="11"/>
      <c r="GW51" s="58"/>
      <c r="GX51" s="58"/>
      <c r="GY51" s="58"/>
      <c r="GZ51" s="58"/>
      <c r="HA51" s="58"/>
    </row>
    <row r="52" spans="1:209" s="2" customFormat="1" ht="15" customHeight="1" x14ac:dyDescent="0.3">
      <c r="A52" s="169"/>
      <c r="B52" s="26" t="s">
        <v>366</v>
      </c>
      <c r="C52" s="39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28">
        <f t="shared" ref="BD52:CC52" si="1679">(BD49-BD51)/BD51</f>
        <v>-0.22171472879666215</v>
      </c>
      <c r="BE52" s="28">
        <f t="shared" si="1679"/>
        <v>-7.0992090576946262E-2</v>
      </c>
      <c r="BF52" s="28">
        <f t="shared" si="1679"/>
        <v>-1.3151036618723444E-2</v>
      </c>
      <c r="BG52" s="28">
        <f t="shared" si="1679"/>
        <v>-0.21427528308811009</v>
      </c>
      <c r="BH52" s="28">
        <f t="shared" si="1679"/>
        <v>-1.8352638869371392E-2</v>
      </c>
      <c r="BI52" s="28">
        <f t="shared" si="1679"/>
        <v>0.8317543321576446</v>
      </c>
      <c r="BJ52" s="28">
        <f t="shared" si="1679"/>
        <v>0.44590310308237785</v>
      </c>
      <c r="BK52" s="28">
        <f t="shared" si="1679"/>
        <v>0.17327991916971705</v>
      </c>
      <c r="BL52" s="28">
        <f t="shared" si="1679"/>
        <v>0.58349171007117018</v>
      </c>
      <c r="BM52" s="28">
        <f t="shared" si="1679"/>
        <v>0.54279546046386618</v>
      </c>
      <c r="BN52" s="28">
        <f t="shared" si="1679"/>
        <v>0.22478236639314331</v>
      </c>
      <c r="BO52" s="28">
        <f t="shared" si="1679"/>
        <v>0.49668321084279848</v>
      </c>
      <c r="BP52" s="28">
        <f t="shared" si="1679"/>
        <v>0.47053107273215661</v>
      </c>
      <c r="BQ52" s="28">
        <f t="shared" si="1679"/>
        <v>-1.2793797689455459E-2</v>
      </c>
      <c r="BR52" s="28">
        <f t="shared" si="1679"/>
        <v>3.0330252698248517E-2</v>
      </c>
      <c r="BS52" s="28">
        <f t="shared" si="1679"/>
        <v>0.45262916188289309</v>
      </c>
      <c r="BT52" s="28">
        <f t="shared" si="1679"/>
        <v>0.61166737926440029</v>
      </c>
      <c r="BU52" s="28">
        <f t="shared" si="1679"/>
        <v>0.42571483602108162</v>
      </c>
      <c r="BV52" s="28">
        <f t="shared" si="1679"/>
        <v>0.27676242412986773</v>
      </c>
      <c r="BW52" s="28">
        <f t="shared" si="1679"/>
        <v>0.64894512570838414</v>
      </c>
      <c r="BX52" s="28">
        <f t="shared" si="1679"/>
        <v>1.4856517630675885</v>
      </c>
      <c r="BY52" s="28">
        <f t="shared" si="1679"/>
        <v>1.5601917893180026</v>
      </c>
      <c r="BZ52" s="28">
        <f t="shared" si="1679"/>
        <v>1.3493194297051632</v>
      </c>
      <c r="CA52" s="28">
        <f t="shared" si="1679"/>
        <v>0.92009398496240591</v>
      </c>
      <c r="CB52" s="28">
        <f t="shared" si="1679"/>
        <v>1.2952704082790547</v>
      </c>
      <c r="CC52" s="28">
        <f t="shared" si="1679"/>
        <v>1.1178356049608837</v>
      </c>
      <c r="CD52" s="28">
        <f t="shared" ref="CD52:CJ52" si="1680">(CD49-CD51)/CD51</f>
        <v>1.2146826667671382</v>
      </c>
      <c r="CE52" s="28">
        <f t="shared" si="1680"/>
        <v>0.7259058315620579</v>
      </c>
      <c r="CF52" s="28">
        <f t="shared" si="1680"/>
        <v>1.1570186477519735</v>
      </c>
      <c r="CG52" s="28">
        <f t="shared" si="1680"/>
        <v>1.1637649989781718</v>
      </c>
      <c r="CH52" s="28">
        <f t="shared" si="1680"/>
        <v>0.96124004066276847</v>
      </c>
      <c r="CI52" s="28">
        <f t="shared" si="1680"/>
        <v>1.1924897803973762</v>
      </c>
      <c r="CJ52" s="28">
        <f t="shared" si="1680"/>
        <v>1.3150735722533551</v>
      </c>
      <c r="CK52" s="28">
        <f t="shared" ref="CK52:CP52" si="1681">(CK49-CK51)/CK51</f>
        <v>1.6542545631738168</v>
      </c>
      <c r="CL52" s="28">
        <f t="shared" si="1681"/>
        <v>1.0231137309292648</v>
      </c>
      <c r="CM52" s="28">
        <f t="shared" si="1681"/>
        <v>0.7050327431481932</v>
      </c>
      <c r="CN52" s="28">
        <f t="shared" si="1681"/>
        <v>1.5561104245106774</v>
      </c>
      <c r="CO52" s="28">
        <f t="shared" si="1681"/>
        <v>1.184503833799234</v>
      </c>
      <c r="CP52" s="28">
        <f t="shared" si="1681"/>
        <v>0.75121201016466499</v>
      </c>
      <c r="CQ52" s="28">
        <f t="shared" ref="CQ52:CZ52" si="1682">(CQ49-CQ51)/CQ51</f>
        <v>0.78240313653136517</v>
      </c>
      <c r="CR52" s="28">
        <f t="shared" si="1682"/>
        <v>1.5244835773388625</v>
      </c>
      <c r="CS52" s="28">
        <f t="shared" si="1682"/>
        <v>0.67242775502649177</v>
      </c>
      <c r="CT52" s="28">
        <f t="shared" si="1682"/>
        <v>0.49664341521397987</v>
      </c>
      <c r="CU52" s="28">
        <f t="shared" si="1682"/>
        <v>0.35534418352066105</v>
      </c>
      <c r="CV52" s="28">
        <f t="shared" si="1682"/>
        <v>0.78766470201718308</v>
      </c>
      <c r="CW52" s="28">
        <f t="shared" si="1682"/>
        <v>0.58041991773149726</v>
      </c>
      <c r="CX52" s="28">
        <f t="shared" si="1682"/>
        <v>0.68707808585198549</v>
      </c>
      <c r="CY52" s="28">
        <f t="shared" si="1682"/>
        <v>0.94296590332683361</v>
      </c>
      <c r="CZ52" s="28">
        <f t="shared" si="1682"/>
        <v>0.55814423676682523</v>
      </c>
      <c r="DA52" s="28">
        <f t="shared" ref="DA52:DB52" si="1683">(DA49-DA51)/DA51</f>
        <v>1.1062581520734649</v>
      </c>
      <c r="DB52" s="28">
        <f t="shared" si="1683"/>
        <v>0.70091224843374089</v>
      </c>
      <c r="DC52" s="28">
        <f t="shared" ref="DC52:DD52" si="1684">(DC49-DC51)/DC51</f>
        <v>0.93978648361160499</v>
      </c>
      <c r="DD52" s="28">
        <f t="shared" si="1684"/>
        <v>1.4185584226431927</v>
      </c>
      <c r="DE52" s="28">
        <f t="shared" ref="DE52:DF52" si="1685">(DE49-DE51)/DE51</f>
        <v>0.88232319740003795</v>
      </c>
      <c r="DF52" s="28">
        <f t="shared" si="1685"/>
        <v>1.0475610224534693</v>
      </c>
      <c r="DG52" s="28">
        <f t="shared" ref="DG52:DH52" si="1686">(DG49-DG51)/DG51</f>
        <v>1.258942105273295</v>
      </c>
      <c r="DH52" s="28">
        <f t="shared" si="1686"/>
        <v>1.0427985962845712</v>
      </c>
      <c r="DI52" s="28">
        <f t="shared" ref="DI52:DJ52" si="1687">(DI49-DI51)/DI51</f>
        <v>0.42980626829760371</v>
      </c>
      <c r="DJ52" s="28">
        <f t="shared" si="1687"/>
        <v>0.30225306860336598</v>
      </c>
      <c r="DK52" s="28">
        <f t="shared" ref="DK52:DL52" si="1688">(DK49-DK51)/DK51</f>
        <v>1.693122072820668</v>
      </c>
      <c r="DL52" s="28">
        <f t="shared" si="1688"/>
        <v>0.56743767952915647</v>
      </c>
      <c r="DM52" s="28">
        <f t="shared" ref="DM52:DN52" si="1689">(DM49-DM51)/DM51</f>
        <v>0.51021621592189859</v>
      </c>
      <c r="DN52" s="28">
        <f t="shared" si="1689"/>
        <v>0.99953713873285865</v>
      </c>
      <c r="DO52" s="28">
        <f t="shared" ref="DO52:DP52" si="1690">(DO49-DO51)/DO51</f>
        <v>1.0509414409387308</v>
      </c>
      <c r="DP52" s="28">
        <f t="shared" si="1690"/>
        <v>0.144951673821126</v>
      </c>
      <c r="DQ52" s="28">
        <f t="shared" ref="DQ52:DR52" si="1691">(DQ49-DQ51)/DQ51</f>
        <v>1.5305753441666277</v>
      </c>
      <c r="DR52" s="28">
        <f t="shared" si="1691"/>
        <v>1.1257183718785875</v>
      </c>
      <c r="DS52" s="28">
        <f t="shared" ref="DS52:DT52" si="1692">(DS49-DS51)/DS51</f>
        <v>0.56057032657835693</v>
      </c>
      <c r="DT52" s="28">
        <f t="shared" si="1692"/>
        <v>0.59658084855663929</v>
      </c>
      <c r="DU52" s="28">
        <f t="shared" ref="DU52:DV52" si="1693">(DU49-DU51)/DU51</f>
        <v>0.99055929455688729</v>
      </c>
      <c r="DV52" s="28">
        <f t="shared" si="1693"/>
        <v>1.0932427071487134</v>
      </c>
      <c r="DW52" s="28">
        <f t="shared" ref="DW52:DX52" si="1694">(DW49-DW51)/DW51</f>
        <v>0.69905212022968066</v>
      </c>
      <c r="DX52" s="28">
        <f t="shared" si="1694"/>
        <v>0.51152844194561731</v>
      </c>
      <c r="DY52" s="28">
        <f t="shared" ref="DY52:DZ52" si="1695">(DY49-DY51)/DY51</f>
        <v>0.26262278035663361</v>
      </c>
      <c r="DZ52" s="28">
        <f t="shared" si="1695"/>
        <v>0.37887298494799354</v>
      </c>
      <c r="EA52" s="28">
        <f t="shared" ref="EA52:EB52" si="1696">(EA49-EA51)/EA51</f>
        <v>0.22480396283859855</v>
      </c>
      <c r="EB52" s="28">
        <f t="shared" si="1696"/>
        <v>0.2197228498118878</v>
      </c>
      <c r="EC52" s="28">
        <f t="shared" ref="EC52:ED52" si="1697">(EC49-EC51)/EC51</f>
        <v>0.26053334928075594</v>
      </c>
      <c r="ED52" s="28">
        <f t="shared" si="1697"/>
        <v>0.19796362770282908</v>
      </c>
      <c r="EE52" s="28">
        <f t="shared" ref="EE52:EF52" si="1698">(EE49-EE51)/EE51</f>
        <v>0.2045658205586518</v>
      </c>
      <c r="EF52" s="28">
        <f t="shared" si="1698"/>
        <v>6.255422161439296E-2</v>
      </c>
      <c r="EG52" s="28">
        <f t="shared" ref="EG52:EH52" si="1699">(EG49-EG51)/EG51</f>
        <v>0.21837439620044782</v>
      </c>
      <c r="EH52" s="28">
        <f t="shared" si="1699"/>
        <v>0.26344445675047062</v>
      </c>
      <c r="EI52" s="28">
        <f t="shared" ref="EI52:EJ52" si="1700">(EI49-EI51)/EI51</f>
        <v>0.21553757566297246</v>
      </c>
      <c r="EJ52" s="28">
        <f t="shared" si="1700"/>
        <v>0.24188234432770803</v>
      </c>
      <c r="EK52" s="28">
        <f t="shared" ref="EK52:EL52" si="1701">(EK49-EK51)/EK51</f>
        <v>0.12030903388663652</v>
      </c>
      <c r="EL52" s="28">
        <f t="shared" si="1701"/>
        <v>0.25119887019980597</v>
      </c>
      <c r="EM52" s="28">
        <f t="shared" ref="EM52:EN52" si="1702">(EM49-EM51)/EM51</f>
        <v>0.37924706786062279</v>
      </c>
      <c r="EN52" s="28">
        <f t="shared" si="1702"/>
        <v>0.21977067456759022</v>
      </c>
      <c r="EO52" s="28">
        <f t="shared" ref="EO52:EP52" si="1703">(EO49-EO51)/EO51</f>
        <v>0.19259578471589422</v>
      </c>
      <c r="EP52" s="28">
        <f t="shared" si="1703"/>
        <v>0.27627656472444723</v>
      </c>
      <c r="EQ52" s="28">
        <f t="shared" ref="EQ52:ER52" si="1704">(EQ49-EQ51)/EQ51</f>
        <v>0.26459425071704318</v>
      </c>
      <c r="ER52" s="28">
        <f t="shared" si="1704"/>
        <v>-5.524362085711277E-2</v>
      </c>
      <c r="ES52" s="28">
        <f t="shared" ref="ES52:ET52" si="1705">(ES49-ES51)/ES51</f>
        <v>6.9932488517514255E-2</v>
      </c>
      <c r="ET52" s="28">
        <f t="shared" si="1705"/>
        <v>6.2573486184597127E-2</v>
      </c>
      <c r="EU52" s="28">
        <f t="shared" ref="EU52:EV52" si="1706">(EU49-EU51)/EU51</f>
        <v>0.11977629971758187</v>
      </c>
      <c r="EV52" s="28">
        <f t="shared" si="1706"/>
        <v>2.7395859530238129E-2</v>
      </c>
      <c r="EW52" s="28">
        <f t="shared" ref="EW52:EX52" si="1707">(EW49-EW51)/EW51</f>
        <v>0.13478981375559002</v>
      </c>
      <c r="EX52" s="28">
        <f t="shared" si="1707"/>
        <v>8.4065808008170609E-2</v>
      </c>
      <c r="EY52" s="28">
        <f t="shared" ref="EY52:EZ52" si="1708">(EY49-EY51)/EY51</f>
        <v>1.9103184981869359E-2</v>
      </c>
      <c r="EZ52" s="28">
        <f t="shared" si="1708"/>
        <v>0.14794292876586759</v>
      </c>
      <c r="FA52" s="28">
        <f t="shared" ref="FA52:FB52" si="1709">(FA49-FA51)/FA51</f>
        <v>0.11292684149827018</v>
      </c>
      <c r="FB52" s="28">
        <f t="shared" si="1709"/>
        <v>0.12105296187768216</v>
      </c>
      <c r="FC52" s="28">
        <f t="shared" ref="FC52:FD52" si="1710">(FC49-FC51)/FC51</f>
        <v>4.0359033105996055E-2</v>
      </c>
      <c r="FD52" s="28">
        <f t="shared" si="1710"/>
        <v>-7.0929067009813995E-2</v>
      </c>
      <c r="FE52" s="28">
        <f t="shared" ref="FE52:FF52" si="1711">(FE49-FE51)/FE51</f>
        <v>2.7344924887555192E-2</v>
      </c>
      <c r="FF52" s="28">
        <f t="shared" si="1711"/>
        <v>-4.6897465132557957E-2</v>
      </c>
      <c r="FG52" s="28">
        <f t="shared" ref="FG52:FH52" si="1712">(FG49-FG51)/FG51</f>
        <v>-7.4547361330781187E-2</v>
      </c>
      <c r="FH52" s="28">
        <f t="shared" si="1712"/>
        <v>-0.15379656103088976</v>
      </c>
      <c r="FI52" s="28">
        <f t="shared" ref="FI52:FJ52" si="1713">(FI49-FI51)/FI51</f>
        <v>-6.0466600502961203E-2</v>
      </c>
      <c r="FJ52" s="28">
        <f t="shared" si="1713"/>
        <v>5.5352513792942322E-2</v>
      </c>
      <c r="FK52" s="28">
        <f t="shared" ref="FK52:FL52" si="1714">(FK49-FK51)/FK51</f>
        <v>-8.5610583551065836E-2</v>
      </c>
      <c r="FL52" s="28">
        <f t="shared" si="1714"/>
        <v>-6.3749691631931851E-2</v>
      </c>
      <c r="FM52" s="28">
        <f t="shared" ref="FM52:FN52" si="1715">(FM49-FM51)/FM51</f>
        <v>1.4804329893338989E-2</v>
      </c>
      <c r="FN52" s="28">
        <f t="shared" si="1715"/>
        <v>0.25837560862690623</v>
      </c>
      <c r="FO52" s="28">
        <f t="shared" ref="FO52:FP52" si="1716">(FO49-FO51)/FO51</f>
        <v>-3.571717303632127E-2</v>
      </c>
      <c r="FP52" s="28">
        <f t="shared" si="1716"/>
        <v>-7.8513075345711725E-2</v>
      </c>
      <c r="FQ52" s="28">
        <f t="shared" ref="FQ52:FR52" si="1717">(FQ49-FQ51)/FQ51</f>
        <v>-0.14966804152164254</v>
      </c>
      <c r="FR52" s="28">
        <f t="shared" si="1717"/>
        <v>-0.18464839752555717</v>
      </c>
      <c r="FS52" s="28">
        <f t="shared" ref="FS52:FT52" si="1718">(FS49-FS51)/FS51</f>
        <v>-0.12583261753885561</v>
      </c>
      <c r="FT52" s="28">
        <f t="shared" si="1718"/>
        <v>7.2447784840697887E-2</v>
      </c>
      <c r="FU52" s="28">
        <f t="shared" ref="FU52:FV52" si="1719">(FU49-FU51)/FU51</f>
        <v>-7.8586839898740796E-2</v>
      </c>
      <c r="FV52" s="28">
        <f t="shared" si="1719"/>
        <v>-5.00950123566603E-2</v>
      </c>
      <c r="FW52" s="28">
        <f t="shared" ref="FW52:FX52" si="1720">(FW49-FW51)/FW51</f>
        <v>0.10247409587237653</v>
      </c>
      <c r="FX52" s="28">
        <f t="shared" si="1720"/>
        <v>8.0616662880827458E-2</v>
      </c>
      <c r="FY52" s="28">
        <f t="shared" ref="FY52:FZ52" si="1721">(FY49-FY51)/FY51</f>
        <v>0.12850522462955308</v>
      </c>
      <c r="FZ52" s="28">
        <f t="shared" si="1721"/>
        <v>9.5986485832058543E-2</v>
      </c>
      <c r="GA52" s="28">
        <f t="shared" ref="GA52:GB52" si="1722">(GA49-GA51)/GA51</f>
        <v>0.11277849935058447</v>
      </c>
      <c r="GB52" s="28">
        <f t="shared" si="1722"/>
        <v>0.19933040690345635</v>
      </c>
      <c r="GC52" s="28">
        <f t="shared" ref="GC52:GD52" si="1723">(GC49-GC51)/GC51</f>
        <v>-1.1775954688777309E-2</v>
      </c>
      <c r="GD52" s="28">
        <f t="shared" si="1723"/>
        <v>9.5519579649944966E-2</v>
      </c>
      <c r="GE52" s="28">
        <f t="shared" ref="GE52:GF52" si="1724">(GE49-GE51)/GE51</f>
        <v>-5.3513147949238171E-2</v>
      </c>
      <c r="GF52" s="28">
        <f t="shared" si="1724"/>
        <v>0.20444816828594356</v>
      </c>
      <c r="GG52" s="28">
        <f t="shared" ref="GG52:GH52" si="1725">(GG49-GG51)/GG51</f>
        <v>0.21148426812080515</v>
      </c>
      <c r="GH52" s="28">
        <f t="shared" si="1725"/>
        <v>-4.5309985237963354E-2</v>
      </c>
      <c r="GI52" s="28">
        <f t="shared" ref="GI52:GJ52" si="1726">(GI49-GI51)/GI51</f>
        <v>-2.7780849477593403E-3</v>
      </c>
      <c r="GJ52" s="28">
        <f t="shared" si="1726"/>
        <v>0.18888635057259515</v>
      </c>
      <c r="GK52" s="28">
        <f t="shared" ref="GK52:GL52" si="1727">(GK49-GK51)/GK51</f>
        <v>0.21893307296289727</v>
      </c>
      <c r="GL52" s="28">
        <f t="shared" si="1727"/>
        <v>-9.1363118329059592E-2</v>
      </c>
      <c r="GM52" s="28">
        <f>(GM49-GM51)/GM51</f>
        <v>3.4077958226488743E-2</v>
      </c>
      <c r="GN52" s="28">
        <f t="shared" ref="GN52" si="1728">(GN49-GN51)/GN51</f>
        <v>-1.7907569178724946E-2</v>
      </c>
      <c r="GO52" s="28">
        <f t="shared" ref="GO52:GP52" si="1729">(GO49-GO51)/GO51</f>
        <v>-0.22619146386430683</v>
      </c>
      <c r="GP52" s="28">
        <f t="shared" si="1729"/>
        <v>8.5368073791292493E-2</v>
      </c>
      <c r="GQ52" s="28">
        <f t="shared" ref="GQ52:GR52" si="1730">(GQ49-GQ51)/GQ51</f>
        <v>0.23943328826661583</v>
      </c>
      <c r="GR52" s="109">
        <f t="shared" si="1730"/>
        <v>-0.17305232731644518</v>
      </c>
      <c r="GS52" s="157"/>
      <c r="GT52" s="2" t="s">
        <v>94</v>
      </c>
      <c r="GU52" s="11"/>
      <c r="GV52" s="11"/>
      <c r="GW52" s="58"/>
      <c r="GX52" s="58"/>
      <c r="GY52" s="58"/>
      <c r="GZ52" s="58"/>
      <c r="HA52" s="58"/>
    </row>
    <row r="53" spans="1:209" s="2" customFormat="1" ht="7.5" customHeight="1" x14ac:dyDescent="0.3">
      <c r="A53" s="8"/>
      <c r="B53" s="29"/>
      <c r="C53" s="30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111"/>
      <c r="GS53" s="156"/>
      <c r="GT53" s="9"/>
      <c r="GU53" s="9"/>
      <c r="GV53" s="9"/>
    </row>
    <row r="54" spans="1:209" s="2" customFormat="1" ht="15" customHeight="1" x14ac:dyDescent="0.3">
      <c r="A54" s="168" t="s">
        <v>118</v>
      </c>
      <c r="B54" s="33" t="s">
        <v>118</v>
      </c>
      <c r="C54" s="17" t="s">
        <v>23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>
        <v>16212.05</v>
      </c>
      <c r="DU54" s="17">
        <v>18302.3</v>
      </c>
      <c r="DV54" s="17">
        <v>16397.900000000001</v>
      </c>
      <c r="DW54" s="17">
        <v>18828.150000000001</v>
      </c>
      <c r="DX54" s="17">
        <v>23238.15</v>
      </c>
      <c r="DY54" s="17">
        <v>20957.849999999999</v>
      </c>
      <c r="DZ54" s="17">
        <v>16878.75</v>
      </c>
      <c r="EA54" s="17">
        <v>11978.4</v>
      </c>
      <c r="EB54" s="17">
        <v>13193.5</v>
      </c>
      <c r="EC54" s="17">
        <v>11433.35</v>
      </c>
      <c r="ED54" s="17">
        <v>12191.85</v>
      </c>
      <c r="EE54" s="17">
        <v>12848.75</v>
      </c>
      <c r="EF54" s="17">
        <v>12532.2</v>
      </c>
      <c r="EG54" s="17">
        <v>14655.15</v>
      </c>
      <c r="EH54" s="17">
        <v>13955.05</v>
      </c>
      <c r="EI54" s="17">
        <v>13169.3</v>
      </c>
      <c r="EJ54" s="17">
        <v>14312.05</v>
      </c>
      <c r="EK54" s="17">
        <v>14952.35</v>
      </c>
      <c r="EL54" s="17">
        <v>13404.8</v>
      </c>
      <c r="EM54" s="17">
        <v>10372.9</v>
      </c>
      <c r="EN54" s="17">
        <v>10407.35</v>
      </c>
      <c r="EO54" s="17">
        <v>15031.25</v>
      </c>
      <c r="EP54" s="17">
        <v>11807.4</v>
      </c>
      <c r="EQ54" s="17">
        <v>10653.05</v>
      </c>
      <c r="ER54" s="17">
        <v>10565.55</v>
      </c>
      <c r="ES54" s="17">
        <v>10062.700000000001</v>
      </c>
      <c r="ET54" s="17">
        <v>10822.05</v>
      </c>
      <c r="EU54" s="17">
        <v>10649.75</v>
      </c>
      <c r="EV54" s="17">
        <v>10022.6</v>
      </c>
      <c r="EW54" s="17">
        <v>11926.8</v>
      </c>
      <c r="EX54" s="17">
        <v>9319.7999999999993</v>
      </c>
      <c r="EY54" s="17">
        <v>9869.2000000000007</v>
      </c>
      <c r="EZ54" s="17">
        <v>8547.85</v>
      </c>
      <c r="FA54" s="17">
        <v>7591</v>
      </c>
      <c r="FB54" s="17">
        <v>19525.349999999999</v>
      </c>
      <c r="FC54" s="17">
        <v>9128.9500000000007</v>
      </c>
      <c r="FD54" s="17">
        <v>9599.9500000000007</v>
      </c>
      <c r="FE54" s="17">
        <v>8581.75</v>
      </c>
      <c r="FF54" s="17">
        <v>8589.1</v>
      </c>
      <c r="FG54" s="17">
        <v>9643.5499999999993</v>
      </c>
      <c r="FH54" s="17">
        <v>9874.7000000000007</v>
      </c>
      <c r="FI54" s="17">
        <v>9468.5499999999993</v>
      </c>
      <c r="FJ54" s="17">
        <v>10189.700000000001</v>
      </c>
      <c r="FK54" s="17">
        <v>11588.7</v>
      </c>
      <c r="FL54" s="17">
        <v>10416.85</v>
      </c>
      <c r="FM54" s="17">
        <v>9335.9500000000007</v>
      </c>
      <c r="FN54" s="17">
        <v>11595.05</v>
      </c>
      <c r="FO54" s="17">
        <v>9570.2999999999993</v>
      </c>
      <c r="FP54" s="17">
        <v>11059.15</v>
      </c>
      <c r="FQ54" s="17">
        <v>10212.9</v>
      </c>
      <c r="FR54" s="17">
        <v>10024.950000000001</v>
      </c>
      <c r="FS54" s="17">
        <v>9996.9</v>
      </c>
      <c r="FT54" s="17">
        <v>11298.1</v>
      </c>
      <c r="FU54" s="17">
        <v>13340.4</v>
      </c>
      <c r="FV54" s="17">
        <v>12285.75</v>
      </c>
      <c r="FW54" s="17">
        <v>13343.15</v>
      </c>
      <c r="FX54" s="17">
        <v>17560.2</v>
      </c>
      <c r="FY54" s="17">
        <v>16634.3</v>
      </c>
      <c r="FZ54" s="17">
        <v>17151.849999999999</v>
      </c>
      <c r="GA54" s="17">
        <v>8699.65</v>
      </c>
      <c r="GB54" s="17">
        <v>9880.7999999999993</v>
      </c>
      <c r="GC54" s="17">
        <v>10503.7</v>
      </c>
      <c r="GD54" s="17">
        <v>10009.200000000001</v>
      </c>
      <c r="GE54" s="17">
        <v>11301.55</v>
      </c>
      <c r="GF54" s="17">
        <v>11225.35</v>
      </c>
      <c r="GG54" s="17">
        <v>13425.25</v>
      </c>
      <c r="GH54" s="17">
        <v>12165.35</v>
      </c>
      <c r="GI54" s="17">
        <v>9918.1</v>
      </c>
      <c r="GJ54" s="17">
        <v>12002.8</v>
      </c>
      <c r="GK54" s="17">
        <f>820.9+10712.03</f>
        <v>11532.93</v>
      </c>
      <c r="GL54" s="17">
        <v>10635.1</v>
      </c>
      <c r="GM54" s="17">
        <v>15458.1</v>
      </c>
      <c r="GN54" s="17">
        <v>10465.25</v>
      </c>
      <c r="GO54" s="17">
        <v>10871.85</v>
      </c>
      <c r="GP54" s="17">
        <v>9022.4500000000007</v>
      </c>
      <c r="GQ54" s="17">
        <v>10669.5</v>
      </c>
      <c r="GR54" s="107">
        <v>10375.450000000001</v>
      </c>
      <c r="GS54" s="153">
        <f>EQ54</f>
        <v>10653.05</v>
      </c>
      <c r="GT54" s="84" t="s">
        <v>23</v>
      </c>
      <c r="GU54" s="92" t="s">
        <v>369</v>
      </c>
      <c r="GV54" s="93"/>
      <c r="GW54" s="58"/>
      <c r="GX54" s="58"/>
      <c r="GY54" s="58"/>
      <c r="GZ54" s="58"/>
      <c r="HA54" s="58"/>
    </row>
    <row r="55" spans="1:209" s="2" customFormat="1" ht="15" customHeight="1" x14ac:dyDescent="0.3">
      <c r="A55" s="169"/>
      <c r="B55" s="34"/>
      <c r="C55" s="17" t="s">
        <v>24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>
        <v>7667.31</v>
      </c>
      <c r="DU55" s="17">
        <v>16402.5</v>
      </c>
      <c r="DV55" s="17">
        <v>15614.61</v>
      </c>
      <c r="DW55" s="17">
        <v>17027.25</v>
      </c>
      <c r="DX55" s="17">
        <v>20158</v>
      </c>
      <c r="DY55" s="17">
        <v>18263.25</v>
      </c>
      <c r="DZ55" s="17">
        <v>19847.5</v>
      </c>
      <c r="EA55" s="17">
        <v>13397.5</v>
      </c>
      <c r="EB55" s="17">
        <v>14479.75</v>
      </c>
      <c r="EC55" s="17">
        <v>12953.25</v>
      </c>
      <c r="ED55" s="17">
        <v>14203.5</v>
      </c>
      <c r="EE55" s="17">
        <v>14719.44</v>
      </c>
      <c r="EF55" s="17">
        <v>15594.25</v>
      </c>
      <c r="EG55" s="17">
        <v>17389.25</v>
      </c>
      <c r="EH55" s="17">
        <v>15546</v>
      </c>
      <c r="EI55" s="17">
        <v>14338.25</v>
      </c>
      <c r="EJ55" s="17">
        <v>13857</v>
      </c>
      <c r="EK55" s="17">
        <v>13135.25</v>
      </c>
      <c r="EL55" s="17">
        <v>16511.75</v>
      </c>
      <c r="EM55" s="17">
        <v>11106.75</v>
      </c>
      <c r="EN55" s="17">
        <v>12012.75</v>
      </c>
      <c r="EO55" s="17">
        <v>16434.5</v>
      </c>
      <c r="EP55" s="17">
        <v>13570.75</v>
      </c>
      <c r="EQ55" s="17">
        <v>10518.75</v>
      </c>
      <c r="ER55" s="17">
        <v>11233.25</v>
      </c>
      <c r="ES55" s="17">
        <v>11013.25</v>
      </c>
      <c r="ET55" s="17">
        <v>11156.75</v>
      </c>
      <c r="EU55" s="17">
        <v>11597.75</v>
      </c>
      <c r="EV55" s="17">
        <v>11442.25</v>
      </c>
      <c r="EW55" s="17">
        <v>13767</v>
      </c>
      <c r="EX55" s="17">
        <v>8724.75</v>
      </c>
      <c r="EY55" s="17">
        <v>9997.25</v>
      </c>
      <c r="EZ55" s="17">
        <v>11465</v>
      </c>
      <c r="FA55" s="17">
        <v>9343</v>
      </c>
      <c r="FB55" s="17">
        <v>15633.6</v>
      </c>
      <c r="FC55" s="17">
        <v>12183.25</v>
      </c>
      <c r="FD55" s="17">
        <v>10882.5</v>
      </c>
      <c r="FE55" s="17">
        <v>10194.5</v>
      </c>
      <c r="FF55" s="17">
        <v>10596.25</v>
      </c>
      <c r="FG55" s="17">
        <v>12134.5</v>
      </c>
      <c r="FH55" s="17">
        <v>13621</v>
      </c>
      <c r="FI55" s="17">
        <v>10965.5</v>
      </c>
      <c r="FJ55" s="17">
        <v>11227.75</v>
      </c>
      <c r="FK55" s="17">
        <v>12505</v>
      </c>
      <c r="FL55" s="17">
        <v>10834.5</v>
      </c>
      <c r="FM55" s="17">
        <v>10150.25</v>
      </c>
      <c r="FN55" s="17">
        <v>11921.75</v>
      </c>
      <c r="FO55" s="17">
        <v>10592.25</v>
      </c>
      <c r="FP55" s="17">
        <v>13102</v>
      </c>
      <c r="FQ55" s="17">
        <v>11801</v>
      </c>
      <c r="FR55" s="17">
        <v>11091.75</v>
      </c>
      <c r="FS55" s="17">
        <v>11331.25</v>
      </c>
      <c r="FT55" s="17">
        <v>12357</v>
      </c>
      <c r="FU55" s="17">
        <v>16177.25</v>
      </c>
      <c r="FV55" s="17">
        <v>13575.25</v>
      </c>
      <c r="FW55" s="17">
        <v>17020.75</v>
      </c>
      <c r="FX55" s="17">
        <v>17968.650000000001</v>
      </c>
      <c r="FY55" s="17">
        <v>16012.25</v>
      </c>
      <c r="FZ55" s="17">
        <v>22583.75</v>
      </c>
      <c r="GA55" s="17">
        <v>8891.75</v>
      </c>
      <c r="GB55" s="17">
        <v>11770.5</v>
      </c>
      <c r="GC55" s="17">
        <v>12198.25</v>
      </c>
      <c r="GD55" s="17">
        <v>12309</v>
      </c>
      <c r="GE55" s="17">
        <v>11834.5</v>
      </c>
      <c r="GF55" s="17">
        <v>13000.5</v>
      </c>
      <c r="GG55" s="17">
        <v>14946.25</v>
      </c>
      <c r="GH55" s="17">
        <v>12229.25</v>
      </c>
      <c r="GI55" s="17">
        <v>11623.25</v>
      </c>
      <c r="GJ55" s="17">
        <v>15147.5</v>
      </c>
      <c r="GK55" s="17">
        <f>577.5+11359.52</f>
        <v>11937.02</v>
      </c>
      <c r="GL55" s="17">
        <v>13156</v>
      </c>
      <c r="GM55" s="17">
        <v>15338.75</v>
      </c>
      <c r="GN55" s="17">
        <v>13158.25</v>
      </c>
      <c r="GO55" s="17">
        <v>13646.5</v>
      </c>
      <c r="GP55" s="17">
        <v>10344</v>
      </c>
      <c r="GQ55" s="17">
        <v>11062</v>
      </c>
      <c r="GR55" s="107">
        <v>11672.75</v>
      </c>
      <c r="GS55" s="153">
        <f>EQ55</f>
        <v>10518.75</v>
      </c>
      <c r="GT55" s="5" t="s">
        <v>24</v>
      </c>
      <c r="GU55" s="94" t="s">
        <v>367</v>
      </c>
      <c r="GV55" s="104">
        <f>DRY!AG27</f>
        <v>0.72999164721252496</v>
      </c>
      <c r="GW55" s="55"/>
      <c r="GX55" s="55"/>
      <c r="GY55" s="55"/>
      <c r="GZ55" s="55"/>
      <c r="HA55" s="55"/>
    </row>
    <row r="56" spans="1:209" s="2" customFormat="1" ht="15" customHeight="1" x14ac:dyDescent="0.3">
      <c r="A56" s="169"/>
      <c r="B56" s="19" t="s">
        <v>21</v>
      </c>
      <c r="C56" s="20"/>
      <c r="D56" s="20">
        <f>SUM(D54:D55)</f>
        <v>0</v>
      </c>
      <c r="E56" s="20">
        <f t="shared" ref="E56:BC56" si="1731">SUM(E54:E55)</f>
        <v>0</v>
      </c>
      <c r="F56" s="20">
        <f t="shared" si="1731"/>
        <v>0</v>
      </c>
      <c r="G56" s="20">
        <f t="shared" si="1731"/>
        <v>0</v>
      </c>
      <c r="H56" s="20">
        <f t="shared" si="1731"/>
        <v>0</v>
      </c>
      <c r="I56" s="20">
        <f t="shared" si="1731"/>
        <v>0</v>
      </c>
      <c r="J56" s="20">
        <f t="shared" si="1731"/>
        <v>0</v>
      </c>
      <c r="K56" s="20">
        <f t="shared" si="1731"/>
        <v>0</v>
      </c>
      <c r="L56" s="20">
        <f t="shared" si="1731"/>
        <v>0</v>
      </c>
      <c r="M56" s="20">
        <f t="shared" si="1731"/>
        <v>0</v>
      </c>
      <c r="N56" s="20">
        <f t="shared" si="1731"/>
        <v>0</v>
      </c>
      <c r="O56" s="20">
        <f t="shared" si="1731"/>
        <v>0</v>
      </c>
      <c r="P56" s="20">
        <f t="shared" si="1731"/>
        <v>0</v>
      </c>
      <c r="Q56" s="20">
        <f t="shared" si="1731"/>
        <v>0</v>
      </c>
      <c r="R56" s="20">
        <f t="shared" si="1731"/>
        <v>0</v>
      </c>
      <c r="S56" s="20">
        <f t="shared" si="1731"/>
        <v>0</v>
      </c>
      <c r="T56" s="20">
        <f t="shared" si="1731"/>
        <v>0</v>
      </c>
      <c r="U56" s="20">
        <f t="shared" si="1731"/>
        <v>0</v>
      </c>
      <c r="V56" s="20">
        <f t="shared" si="1731"/>
        <v>0</v>
      </c>
      <c r="W56" s="20">
        <f t="shared" si="1731"/>
        <v>0</v>
      </c>
      <c r="X56" s="20">
        <f t="shared" si="1731"/>
        <v>0</v>
      </c>
      <c r="Y56" s="20">
        <f t="shared" si="1731"/>
        <v>0</v>
      </c>
      <c r="Z56" s="20">
        <f t="shared" si="1731"/>
        <v>0</v>
      </c>
      <c r="AA56" s="20">
        <f t="shared" si="1731"/>
        <v>0</v>
      </c>
      <c r="AB56" s="20">
        <f t="shared" si="1731"/>
        <v>0</v>
      </c>
      <c r="AC56" s="20">
        <f t="shared" si="1731"/>
        <v>0</v>
      </c>
      <c r="AD56" s="20">
        <f t="shared" si="1731"/>
        <v>0</v>
      </c>
      <c r="AE56" s="20">
        <f t="shared" si="1731"/>
        <v>0</v>
      </c>
      <c r="AF56" s="20">
        <f t="shared" si="1731"/>
        <v>0</v>
      </c>
      <c r="AG56" s="20">
        <f t="shared" si="1731"/>
        <v>0</v>
      </c>
      <c r="AH56" s="20">
        <f t="shared" si="1731"/>
        <v>0</v>
      </c>
      <c r="AI56" s="20">
        <f t="shared" si="1731"/>
        <v>0</v>
      </c>
      <c r="AJ56" s="20">
        <f t="shared" si="1731"/>
        <v>0</v>
      </c>
      <c r="AK56" s="20">
        <f t="shared" si="1731"/>
        <v>0</v>
      </c>
      <c r="AL56" s="20">
        <f t="shared" si="1731"/>
        <v>0</v>
      </c>
      <c r="AM56" s="20">
        <f t="shared" si="1731"/>
        <v>0</v>
      </c>
      <c r="AN56" s="20">
        <f t="shared" si="1731"/>
        <v>0</v>
      </c>
      <c r="AO56" s="20">
        <f t="shared" si="1731"/>
        <v>0</v>
      </c>
      <c r="AP56" s="20">
        <f t="shared" si="1731"/>
        <v>0</v>
      </c>
      <c r="AQ56" s="20">
        <f t="shared" si="1731"/>
        <v>0</v>
      </c>
      <c r="AR56" s="20">
        <f t="shared" si="1731"/>
        <v>0</v>
      </c>
      <c r="AS56" s="20">
        <f t="shared" si="1731"/>
        <v>0</v>
      </c>
      <c r="AT56" s="20">
        <f t="shared" si="1731"/>
        <v>0</v>
      </c>
      <c r="AU56" s="20">
        <f t="shared" si="1731"/>
        <v>0</v>
      </c>
      <c r="AV56" s="20">
        <f t="shared" si="1731"/>
        <v>0</v>
      </c>
      <c r="AW56" s="20">
        <f t="shared" si="1731"/>
        <v>0</v>
      </c>
      <c r="AX56" s="20">
        <f t="shared" si="1731"/>
        <v>0</v>
      </c>
      <c r="AY56" s="20">
        <f t="shared" si="1731"/>
        <v>0</v>
      </c>
      <c r="AZ56" s="20">
        <f t="shared" si="1731"/>
        <v>0</v>
      </c>
      <c r="BA56" s="20">
        <f t="shared" si="1731"/>
        <v>0</v>
      </c>
      <c r="BB56" s="20">
        <f t="shared" si="1731"/>
        <v>0</v>
      </c>
      <c r="BC56" s="20">
        <f t="shared" si="1731"/>
        <v>0</v>
      </c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>
        <f t="shared" ref="DT56:EA56" si="1732">SUM(DT54:DT55)</f>
        <v>23879.360000000001</v>
      </c>
      <c r="DU56" s="20">
        <f t="shared" si="1732"/>
        <v>34704.800000000003</v>
      </c>
      <c r="DV56" s="20">
        <f t="shared" si="1732"/>
        <v>32012.510000000002</v>
      </c>
      <c r="DW56" s="20">
        <f t="shared" si="1732"/>
        <v>35855.4</v>
      </c>
      <c r="DX56" s="20">
        <f t="shared" si="1732"/>
        <v>43396.15</v>
      </c>
      <c r="DY56" s="20">
        <f t="shared" si="1732"/>
        <v>39221.1</v>
      </c>
      <c r="DZ56" s="20">
        <f t="shared" si="1732"/>
        <v>36726.25</v>
      </c>
      <c r="EA56" s="20">
        <f t="shared" si="1732"/>
        <v>25375.9</v>
      </c>
      <c r="EB56" s="20">
        <f t="shared" ref="EB56:EC56" si="1733">SUM(EB54:EB55)</f>
        <v>27673.25</v>
      </c>
      <c r="EC56" s="20">
        <f t="shared" si="1733"/>
        <v>24386.6</v>
      </c>
      <c r="ED56" s="20">
        <f t="shared" ref="ED56:EE56" si="1734">SUM(ED54:ED55)</f>
        <v>26395.35</v>
      </c>
      <c r="EE56" s="20">
        <f t="shared" si="1734"/>
        <v>27568.190000000002</v>
      </c>
      <c r="EF56" s="20">
        <f t="shared" ref="EF56:EG56" si="1735">SUM(EF54:EF55)</f>
        <v>28126.45</v>
      </c>
      <c r="EG56" s="20">
        <f t="shared" si="1735"/>
        <v>32044.400000000001</v>
      </c>
      <c r="EH56" s="20">
        <f t="shared" ref="EH56:EI56" si="1736">SUM(EH54:EH55)</f>
        <v>29501.05</v>
      </c>
      <c r="EI56" s="20">
        <f t="shared" si="1736"/>
        <v>27507.55</v>
      </c>
      <c r="EJ56" s="20">
        <f t="shared" ref="EJ56:EK56" si="1737">SUM(EJ54:EJ55)</f>
        <v>28169.05</v>
      </c>
      <c r="EK56" s="20">
        <f t="shared" si="1737"/>
        <v>28087.599999999999</v>
      </c>
      <c r="EL56" s="20">
        <f t="shared" ref="EL56:EM56" si="1738">SUM(EL54:EL55)</f>
        <v>29916.55</v>
      </c>
      <c r="EM56" s="20">
        <f t="shared" si="1738"/>
        <v>21479.65</v>
      </c>
      <c r="EN56" s="20">
        <f t="shared" ref="EN56:EO56" si="1739">SUM(EN54:EN55)</f>
        <v>22420.1</v>
      </c>
      <c r="EO56" s="20">
        <f t="shared" si="1739"/>
        <v>31465.75</v>
      </c>
      <c r="EP56" s="20">
        <f t="shared" ref="EP56:EQ56" si="1740">SUM(EP54:EP55)</f>
        <v>25378.15</v>
      </c>
      <c r="EQ56" s="20">
        <f t="shared" si="1740"/>
        <v>21171.8</v>
      </c>
      <c r="ER56" s="20">
        <f t="shared" ref="ER56:ES56" si="1741">SUM(ER54:ER55)</f>
        <v>21798.799999999999</v>
      </c>
      <c r="ES56" s="20">
        <f t="shared" si="1741"/>
        <v>21075.95</v>
      </c>
      <c r="ET56" s="20">
        <f t="shared" ref="ET56:EU56" si="1742">SUM(ET54:ET55)</f>
        <v>21978.799999999999</v>
      </c>
      <c r="EU56" s="20">
        <f t="shared" si="1742"/>
        <v>22247.5</v>
      </c>
      <c r="EV56" s="20">
        <f t="shared" ref="EV56:EW56" si="1743">SUM(EV54:EV55)</f>
        <v>21464.85</v>
      </c>
      <c r="EW56" s="20">
        <f t="shared" si="1743"/>
        <v>25693.8</v>
      </c>
      <c r="EX56" s="20">
        <f t="shared" ref="EX56:EY56" si="1744">SUM(EX54:EX55)</f>
        <v>18044.55</v>
      </c>
      <c r="EY56" s="20">
        <f t="shared" si="1744"/>
        <v>19866.45</v>
      </c>
      <c r="EZ56" s="20">
        <f t="shared" ref="EZ56:FA56" si="1745">SUM(EZ54:EZ55)</f>
        <v>20012.849999999999</v>
      </c>
      <c r="FA56" s="20">
        <f t="shared" si="1745"/>
        <v>16934</v>
      </c>
      <c r="FB56" s="20">
        <f t="shared" ref="FB56:FC56" si="1746">SUM(FB54:FB55)</f>
        <v>35158.949999999997</v>
      </c>
      <c r="FC56" s="20">
        <f t="shared" si="1746"/>
        <v>21312.2</v>
      </c>
      <c r="FD56" s="20">
        <f t="shared" ref="FD56:FE56" si="1747">SUM(FD54:FD55)</f>
        <v>20482.45</v>
      </c>
      <c r="FE56" s="20">
        <f t="shared" si="1747"/>
        <v>18776.25</v>
      </c>
      <c r="FF56" s="20">
        <f t="shared" ref="FF56:FH56" si="1748">SUM(FF54:FF55)</f>
        <v>19185.349999999999</v>
      </c>
      <c r="FG56" s="20">
        <f t="shared" si="1748"/>
        <v>21778.05</v>
      </c>
      <c r="FH56" s="20">
        <f t="shared" si="1748"/>
        <v>23495.7</v>
      </c>
      <c r="FI56" s="20">
        <f t="shared" ref="FI56:FJ56" si="1749">SUM(FI54:FI55)</f>
        <v>20434.05</v>
      </c>
      <c r="FJ56" s="20">
        <f t="shared" si="1749"/>
        <v>21417.45</v>
      </c>
      <c r="FK56" s="20">
        <f t="shared" ref="FK56:FL56" si="1750">SUM(FK54:FK55)</f>
        <v>24093.7</v>
      </c>
      <c r="FL56" s="20">
        <f t="shared" si="1750"/>
        <v>21251.35</v>
      </c>
      <c r="FM56" s="20">
        <f t="shared" ref="FM56:FN56" si="1751">SUM(FM54:FM55)</f>
        <v>19486.2</v>
      </c>
      <c r="FN56" s="20">
        <f t="shared" si="1751"/>
        <v>23516.799999999999</v>
      </c>
      <c r="FO56" s="20">
        <f t="shared" ref="FO56:FP56" si="1752">SUM(FO54:FO55)</f>
        <v>20162.55</v>
      </c>
      <c r="FP56" s="20">
        <f t="shared" si="1752"/>
        <v>24161.15</v>
      </c>
      <c r="FQ56" s="20">
        <f t="shared" ref="FQ56:FR56" si="1753">SUM(FQ54:FQ55)</f>
        <v>22013.9</v>
      </c>
      <c r="FR56" s="20">
        <f t="shared" si="1753"/>
        <v>21116.7</v>
      </c>
      <c r="FS56" s="20">
        <f t="shared" ref="FS56:FT56" si="1754">SUM(FS54:FS55)</f>
        <v>21328.15</v>
      </c>
      <c r="FT56" s="20">
        <f t="shared" si="1754"/>
        <v>23655.1</v>
      </c>
      <c r="FU56" s="20">
        <f t="shared" ref="FU56:FV56" si="1755">SUM(FU54:FU55)</f>
        <v>29517.65</v>
      </c>
      <c r="FV56" s="20">
        <f t="shared" si="1755"/>
        <v>25861</v>
      </c>
      <c r="FW56" s="20">
        <f t="shared" ref="FW56:FX56" si="1756">SUM(FW54:FW55)</f>
        <v>30363.9</v>
      </c>
      <c r="FX56" s="20">
        <f t="shared" si="1756"/>
        <v>35528.850000000006</v>
      </c>
      <c r="FY56" s="20">
        <f t="shared" ref="FY56:FZ56" si="1757">SUM(FY54:FY55)</f>
        <v>32646.55</v>
      </c>
      <c r="FZ56" s="20">
        <f t="shared" si="1757"/>
        <v>39735.599999999999</v>
      </c>
      <c r="GA56" s="20">
        <f t="shared" ref="GA56:GB56" si="1758">SUM(GA54:GA55)</f>
        <v>17591.400000000001</v>
      </c>
      <c r="GB56" s="20">
        <f t="shared" si="1758"/>
        <v>21651.3</v>
      </c>
      <c r="GC56" s="20">
        <f t="shared" ref="GC56:GD56" si="1759">SUM(GC54:GC55)</f>
        <v>22701.95</v>
      </c>
      <c r="GD56" s="20">
        <f t="shared" si="1759"/>
        <v>22318.2</v>
      </c>
      <c r="GE56" s="20">
        <f t="shared" ref="GE56:GF56" si="1760">SUM(GE54:GE55)</f>
        <v>23136.05</v>
      </c>
      <c r="GF56" s="20">
        <f t="shared" si="1760"/>
        <v>24225.85</v>
      </c>
      <c r="GG56" s="20">
        <f t="shared" ref="GG56:GH56" si="1761">SUM(GG54:GG55)</f>
        <v>28371.5</v>
      </c>
      <c r="GH56" s="20">
        <f t="shared" si="1761"/>
        <v>24394.6</v>
      </c>
      <c r="GI56" s="20">
        <f t="shared" ref="GI56:GJ56" si="1762">SUM(GI54:GI55)</f>
        <v>21541.35</v>
      </c>
      <c r="GJ56" s="20">
        <f t="shared" si="1762"/>
        <v>27150.3</v>
      </c>
      <c r="GK56" s="20">
        <f t="shared" ref="GK56:GL56" si="1763">SUM(GK54:GK55)</f>
        <v>23469.95</v>
      </c>
      <c r="GL56" s="20">
        <f t="shared" si="1763"/>
        <v>23791.1</v>
      </c>
      <c r="GM56" s="20">
        <f t="shared" ref="GM56:GN56" si="1764">SUM(GM54:GM55)</f>
        <v>30796.85</v>
      </c>
      <c r="GN56" s="20">
        <f t="shared" si="1764"/>
        <v>23623.5</v>
      </c>
      <c r="GO56" s="20">
        <f t="shared" ref="GO56:GP56" si="1765">SUM(GO54:GO55)</f>
        <v>24518.35</v>
      </c>
      <c r="GP56" s="20">
        <f t="shared" si="1765"/>
        <v>19366.45</v>
      </c>
      <c r="GQ56" s="20">
        <f t="shared" ref="GQ56:GR56" si="1766">SUM(GQ54:GQ55)</f>
        <v>21731.5</v>
      </c>
      <c r="GR56" s="108">
        <f t="shared" si="1766"/>
        <v>22048.2</v>
      </c>
      <c r="GS56" s="154">
        <f t="shared" ref="GS56" si="1767">SUM(GS54+GS55)</f>
        <v>21171.8</v>
      </c>
      <c r="GT56" s="10" t="str">
        <f>B54</f>
        <v>KINGS ARMS</v>
      </c>
      <c r="GU56" s="139" t="s">
        <v>398</v>
      </c>
      <c r="GV56" s="140">
        <f>DRY!AH27</f>
        <v>0.72009151101722513</v>
      </c>
      <c r="GW56" s="56">
        <f>AVERAGE(ES56:GR56)</f>
        <v>23581.28365384616</v>
      </c>
      <c r="GX56" s="56">
        <f>AVERAGE(FS56:GR56)</f>
        <v>25425.584615384611</v>
      </c>
      <c r="GY56" s="56">
        <f>AVERAGE(GF56:GR56)</f>
        <v>24233.038461538461</v>
      </c>
      <c r="GZ56" s="56">
        <f>AVERAGE(GN56:GR56)</f>
        <v>22257.599999999999</v>
      </c>
      <c r="HA56" s="56">
        <f>MAX(D56:GR56)</f>
        <v>43396.15</v>
      </c>
    </row>
    <row r="57" spans="1:209" s="2" customFormat="1" ht="15" customHeight="1" x14ac:dyDescent="0.3">
      <c r="A57" s="169"/>
      <c r="B57" s="35" t="s">
        <v>365</v>
      </c>
      <c r="C57" s="21"/>
      <c r="D57" s="21"/>
      <c r="E57" s="21">
        <f>SUM(E56-D56)</f>
        <v>0</v>
      </c>
      <c r="F57" s="21">
        <f t="shared" ref="F57" si="1768">SUM(F56-E56)</f>
        <v>0</v>
      </c>
      <c r="G57" s="21">
        <f t="shared" ref="G57" si="1769">SUM(G56-F56)</f>
        <v>0</v>
      </c>
      <c r="H57" s="21">
        <f t="shared" ref="H57" si="1770">SUM(H56-G56)</f>
        <v>0</v>
      </c>
      <c r="I57" s="21">
        <f t="shared" ref="I57" si="1771">SUM(I56-H56)</f>
        <v>0</v>
      </c>
      <c r="J57" s="21">
        <f t="shared" ref="J57" si="1772">SUM(J56-I56)</f>
        <v>0</v>
      </c>
      <c r="K57" s="21">
        <f t="shared" ref="K57" si="1773">SUM(K56-J56)</f>
        <v>0</v>
      </c>
      <c r="L57" s="21">
        <f t="shared" ref="L57" si="1774">SUM(L56-K56)</f>
        <v>0</v>
      </c>
      <c r="M57" s="21">
        <f t="shared" ref="M57" si="1775">SUM(M56-L56)</f>
        <v>0</v>
      </c>
      <c r="N57" s="21">
        <f t="shared" ref="N57" si="1776">SUM(N56-M56)</f>
        <v>0</v>
      </c>
      <c r="O57" s="21">
        <f t="shared" ref="O57" si="1777">SUM(O56-N56)</f>
        <v>0</v>
      </c>
      <c r="P57" s="21">
        <f t="shared" ref="P57" si="1778">SUM(P56-O56)</f>
        <v>0</v>
      </c>
      <c r="Q57" s="21">
        <f t="shared" ref="Q57" si="1779">SUM(Q56-P56)</f>
        <v>0</v>
      </c>
      <c r="R57" s="21">
        <f t="shared" ref="R57" si="1780">SUM(R56-Q56)</f>
        <v>0</v>
      </c>
      <c r="S57" s="21">
        <f t="shared" ref="S57" si="1781">SUM(S56-R56)</f>
        <v>0</v>
      </c>
      <c r="T57" s="21">
        <f t="shared" ref="T57" si="1782">SUM(T56-S56)</f>
        <v>0</v>
      </c>
      <c r="U57" s="21">
        <f t="shared" ref="U57" si="1783">SUM(U56-T56)</f>
        <v>0</v>
      </c>
      <c r="V57" s="21">
        <f t="shared" ref="V57" si="1784">SUM(V56-U56)</f>
        <v>0</v>
      </c>
      <c r="W57" s="21">
        <f t="shared" ref="W57" si="1785">SUM(W56-V56)</f>
        <v>0</v>
      </c>
      <c r="X57" s="21">
        <f t="shared" ref="X57" si="1786">SUM(X56-W56)</f>
        <v>0</v>
      </c>
      <c r="Y57" s="21">
        <f t="shared" ref="Y57" si="1787">SUM(Y56-X56)</f>
        <v>0</v>
      </c>
      <c r="Z57" s="21">
        <f t="shared" ref="Z57" si="1788">SUM(Z56-Y56)</f>
        <v>0</v>
      </c>
      <c r="AA57" s="21">
        <f t="shared" ref="AA57" si="1789">SUM(AA56-Z56)</f>
        <v>0</v>
      </c>
      <c r="AB57" s="21">
        <f t="shared" ref="AB57" si="1790">SUM(AB56-AA56)</f>
        <v>0</v>
      </c>
      <c r="AC57" s="21">
        <f t="shared" ref="AC57" si="1791">SUM(AC56-AB56)</f>
        <v>0</v>
      </c>
      <c r="AD57" s="21">
        <f t="shared" ref="AD57" si="1792">SUM(AD56-AC56)</f>
        <v>0</v>
      </c>
      <c r="AE57" s="21">
        <f t="shared" ref="AE57" si="1793">SUM(AE56-AD56)</f>
        <v>0</v>
      </c>
      <c r="AF57" s="21">
        <f t="shared" ref="AF57" si="1794">SUM(AF56-AE56)</f>
        <v>0</v>
      </c>
      <c r="AG57" s="21">
        <f t="shared" ref="AG57" si="1795">SUM(AG56-AF56)</f>
        <v>0</v>
      </c>
      <c r="AH57" s="21">
        <f t="shared" ref="AH57" si="1796">SUM(AH56-AG56)</f>
        <v>0</v>
      </c>
      <c r="AI57" s="21">
        <f t="shared" ref="AI57" si="1797">SUM(AI56-AH56)</f>
        <v>0</v>
      </c>
      <c r="AJ57" s="21">
        <f t="shared" ref="AJ57" si="1798">SUM(AJ56-AI56)</f>
        <v>0</v>
      </c>
      <c r="AK57" s="21">
        <f t="shared" ref="AK57" si="1799">SUM(AK56-AJ56)</f>
        <v>0</v>
      </c>
      <c r="AL57" s="21">
        <f t="shared" ref="AL57" si="1800">SUM(AL56-AK56)</f>
        <v>0</v>
      </c>
      <c r="AM57" s="21">
        <f t="shared" ref="AM57" si="1801">SUM(AM56-AL56)</f>
        <v>0</v>
      </c>
      <c r="AN57" s="21">
        <f t="shared" ref="AN57" si="1802">SUM(AN56-AM56)</f>
        <v>0</v>
      </c>
      <c r="AO57" s="21">
        <f t="shared" ref="AO57" si="1803">SUM(AO56-AN56)</f>
        <v>0</v>
      </c>
      <c r="AP57" s="21">
        <f t="shared" ref="AP57" si="1804">SUM(AP56-AO56)</f>
        <v>0</v>
      </c>
      <c r="AQ57" s="21">
        <f t="shared" ref="AQ57" si="1805">SUM(AQ56-AP56)</f>
        <v>0</v>
      </c>
      <c r="AR57" s="21">
        <f t="shared" ref="AR57" si="1806">SUM(AR56-AQ56)</f>
        <v>0</v>
      </c>
      <c r="AS57" s="21">
        <f t="shared" ref="AS57" si="1807">SUM(AS56-AR56)</f>
        <v>0</v>
      </c>
      <c r="AT57" s="21">
        <f t="shared" ref="AT57" si="1808">SUM(AT56-AS56)</f>
        <v>0</v>
      </c>
      <c r="AU57" s="21">
        <f t="shared" ref="AU57" si="1809">SUM(AU56-AT56)</f>
        <v>0</v>
      </c>
      <c r="AV57" s="21">
        <f t="shared" ref="AV57" si="1810">SUM(AV56-AU56)</f>
        <v>0</v>
      </c>
      <c r="AW57" s="21">
        <f t="shared" ref="AW57" si="1811">SUM(AW56-AV56)</f>
        <v>0</v>
      </c>
      <c r="AX57" s="21">
        <f t="shared" ref="AX57" si="1812">SUM(AX56-AW56)</f>
        <v>0</v>
      </c>
      <c r="AY57" s="21">
        <f t="shared" ref="AY57" si="1813">SUM(AY56-AX56)</f>
        <v>0</v>
      </c>
      <c r="AZ57" s="21">
        <f t="shared" ref="AZ57" si="1814">SUM(AZ56-AY56)</f>
        <v>0</v>
      </c>
      <c r="BA57" s="21">
        <f t="shared" ref="BA57" si="1815">SUM(BA56-AZ56)</f>
        <v>0</v>
      </c>
      <c r="BB57" s="21">
        <f>SUM(BB56-BA56)</f>
        <v>0</v>
      </c>
      <c r="BC57" s="21">
        <f t="shared" ref="BC57" si="1816">SUM(BC56-BB56)</f>
        <v>0</v>
      </c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>
        <f t="shared" ref="DU57" si="1817">SUM(DU56-DT56)/DT56</f>
        <v>0.45333878294895685</v>
      </c>
      <c r="DV57" s="28">
        <f t="shared" ref="DV57" si="1818">SUM(DV56-DU56)/DU56</f>
        <v>-7.7576876973790385E-2</v>
      </c>
      <c r="DW57" s="28">
        <f t="shared" ref="DW57" si="1819">SUM(DW56-DV56)/DV56</f>
        <v>0.1200433830399428</v>
      </c>
      <c r="DX57" s="28">
        <f t="shared" ref="DX57" si="1820">SUM(DX56-DW56)/DW56</f>
        <v>0.2103100230369763</v>
      </c>
      <c r="DY57" s="28">
        <f t="shared" ref="DY57" si="1821">SUM(DY56-DX56)/DX56</f>
        <v>-9.6207843322506786E-2</v>
      </c>
      <c r="DZ57" s="28">
        <f t="shared" ref="DZ57" si="1822">SUM(DZ56-DY56)/DY56</f>
        <v>-6.3609893654181002E-2</v>
      </c>
      <c r="EA57" s="28">
        <f t="shared" ref="EA57" si="1823">SUM(EA56-DZ56)/DZ56</f>
        <v>-0.3090527892175215</v>
      </c>
      <c r="EB57" s="28">
        <f t="shared" ref="EB57" si="1824">SUM(EB56-EA56)/EA56</f>
        <v>9.0532749577354826E-2</v>
      </c>
      <c r="EC57" s="28">
        <f t="shared" ref="EC57" si="1825">SUM(EC56-EB56)/EB56</f>
        <v>-0.11876631765332953</v>
      </c>
      <c r="ED57" s="28">
        <f t="shared" ref="ED57" si="1826">SUM(ED56-EC56)/EC56</f>
        <v>8.237105623580164E-2</v>
      </c>
      <c r="EE57" s="28">
        <f t="shared" ref="EE57" si="1827">SUM(EE56-ED56)/ED56</f>
        <v>4.4433583945657239E-2</v>
      </c>
      <c r="EF57" s="28">
        <f t="shared" ref="EF57" si="1828">SUM(EF56-EE56)/EE56</f>
        <v>2.0250150626500991E-2</v>
      </c>
      <c r="EG57" s="28">
        <f t="shared" ref="EG57" si="1829">SUM(EG56-EF56)/EF56</f>
        <v>0.13929770731820051</v>
      </c>
      <c r="EH57" s="28">
        <f t="shared" ref="EH57" si="1830">SUM(EH56-EG56)/EG56</f>
        <v>-7.9369562232402602E-2</v>
      </c>
      <c r="EI57" s="28">
        <f t="shared" ref="EI57" si="1831">SUM(EI56-EH56)/EH56</f>
        <v>-6.757386601493845E-2</v>
      </c>
      <c r="EJ57" s="28">
        <f t="shared" ref="EJ57" si="1832">SUM(EJ56-EI56)/EI56</f>
        <v>2.404794320104844E-2</v>
      </c>
      <c r="EK57" s="28">
        <f t="shared" ref="EK57" si="1833">SUM(EK56-EJ56)/EJ56</f>
        <v>-2.8914713133741015E-3</v>
      </c>
      <c r="EL57" s="28">
        <f t="shared" ref="EL57" si="1834">SUM(EL56-EK56)/EK56</f>
        <v>6.5115923040772475E-2</v>
      </c>
      <c r="EM57" s="28">
        <f t="shared" ref="EM57" si="1835">SUM(EM56-EL56)/EL56</f>
        <v>-0.28201447025141596</v>
      </c>
      <c r="EN57" s="28">
        <f t="shared" ref="EN57" si="1836">SUM(EN56-EM56)/EM56</f>
        <v>4.3783301869443729E-2</v>
      </c>
      <c r="EO57" s="28">
        <f t="shared" ref="EO57" si="1837">SUM(EO56-EN56)/EN56</f>
        <v>0.40346162595171309</v>
      </c>
      <c r="EP57" s="28">
        <f t="shared" ref="EP57" si="1838">SUM(EP56-EO56)/EO56</f>
        <v>-0.19346750037739444</v>
      </c>
      <c r="EQ57" s="28">
        <f t="shared" ref="EQ57" si="1839">SUM(EQ56-EP56)/EP56</f>
        <v>-0.16574691220597254</v>
      </c>
      <c r="ER57" s="28">
        <f t="shared" ref="ER57" si="1840">SUM(ER56-EQ56)/EQ56</f>
        <v>2.9614865056348541E-2</v>
      </c>
      <c r="ES57" s="28">
        <f t="shared" ref="ES57" si="1841">SUM(ES56-ER56)/ER56</f>
        <v>-3.3160082206359916E-2</v>
      </c>
      <c r="ET57" s="28">
        <f t="shared" ref="ET57" si="1842">SUM(ET56-ES56)/ES56</f>
        <v>4.2837926641503633E-2</v>
      </c>
      <c r="EU57" s="28">
        <f t="shared" ref="EU57" si="1843">SUM(EU56-ET56)/ET56</f>
        <v>1.2225417220230437E-2</v>
      </c>
      <c r="EV57" s="28">
        <f t="shared" ref="EV57" si="1844">SUM(EV56-EU56)/EU56</f>
        <v>-3.5179233621755318E-2</v>
      </c>
      <c r="EW57" s="28">
        <f t="shared" ref="EW57" si="1845">SUM(EW56-EV56)/EV56</f>
        <v>0.19701744945806754</v>
      </c>
      <c r="EX57" s="28">
        <f t="shared" ref="EX57" si="1846">SUM(EX56-EW56)/EW56</f>
        <v>-0.2977080073792121</v>
      </c>
      <c r="EY57" s="28">
        <f t="shared" ref="EY57" si="1847">SUM(EY56-EX56)/EX56</f>
        <v>0.10096677390126113</v>
      </c>
      <c r="EZ57" s="28">
        <f t="shared" ref="EZ57" si="1848">SUM(EZ56-EY56)/EY56</f>
        <v>7.3692078856563608E-3</v>
      </c>
      <c r="FA57" s="28">
        <f t="shared" ref="FA57" si="1849">SUM(FA56-EZ56)/EZ56</f>
        <v>-0.15384365545137244</v>
      </c>
      <c r="FB57" s="28">
        <f t="shared" ref="FB57" si="1850">SUM(FB56-FA56)/FA56</f>
        <v>1.0762342033778196</v>
      </c>
      <c r="FC57" s="28">
        <f t="shared" ref="FC57" si="1851">SUM(FC56-FB56)/FB56</f>
        <v>-0.39383286474709844</v>
      </c>
      <c r="FD57" s="28">
        <f t="shared" ref="FD57" si="1852">SUM(FD56-FC56)/FC56</f>
        <v>-3.8933099351545125E-2</v>
      </c>
      <c r="FE57" s="28">
        <f t="shared" ref="FE57" si="1853">SUM(FE56-FD56)/FD56</f>
        <v>-8.3300581717519182E-2</v>
      </c>
      <c r="FF57" s="28">
        <f t="shared" ref="FF57" si="1854">SUM(FF56-FE56)/FE56</f>
        <v>2.1788163238133203E-2</v>
      </c>
      <c r="FG57" s="28">
        <f t="shared" ref="FG57" si="1855">SUM(FG56-FF56)/FF56</f>
        <v>0.13513957264266749</v>
      </c>
      <c r="FH57" s="28">
        <f t="shared" ref="FH57" si="1856">SUM(FH56-FG56)/FG56</f>
        <v>7.8870697789747091E-2</v>
      </c>
      <c r="FI57" s="28">
        <f t="shared" ref="FI57" si="1857">SUM(FI56-FH56)/FH56</f>
        <v>-0.13030682209936292</v>
      </c>
      <c r="FJ57" s="28">
        <f t="shared" ref="FJ57" si="1858">SUM(FJ56-FI56)/FI56</f>
        <v>4.8125555139583269E-2</v>
      </c>
      <c r="FK57" s="28">
        <f t="shared" ref="FK57" si="1859">SUM(FK56-FJ56)/FJ56</f>
        <v>0.1249565191000796</v>
      </c>
      <c r="FL57" s="28">
        <f t="shared" ref="FL57" si="1860">SUM(FL56-FK56)/FK56</f>
        <v>-0.11797067283148716</v>
      </c>
      <c r="FM57" s="28">
        <f t="shared" ref="FM57:GK57" si="1861">SUM(FM56-FL56)/FL56</f>
        <v>-8.306060556152893E-2</v>
      </c>
      <c r="FN57" s="28">
        <f t="shared" si="1861"/>
        <v>0.20684381767609891</v>
      </c>
      <c r="FO57" s="28">
        <f t="shared" si="1861"/>
        <v>-0.14263207579262485</v>
      </c>
      <c r="FP57" s="28">
        <f t="shared" si="1861"/>
        <v>0.19831816908079594</v>
      </c>
      <c r="FQ57" s="28">
        <f t="shared" si="1861"/>
        <v>-8.8872011472963822E-2</v>
      </c>
      <c r="FR57" s="28">
        <f t="shared" si="1861"/>
        <v>-4.0756067757189804E-2</v>
      </c>
      <c r="FS57" s="28">
        <f t="shared" si="1861"/>
        <v>1.001340171523016E-2</v>
      </c>
      <c r="FT57" s="28">
        <f t="shared" si="1861"/>
        <v>0.10910228969694966</v>
      </c>
      <c r="FU57" s="28">
        <f t="shared" si="1861"/>
        <v>0.24783450503274149</v>
      </c>
      <c r="FV57" s="28">
        <f t="shared" si="1861"/>
        <v>-0.12388011918292959</v>
      </c>
      <c r="FW57" s="28">
        <f t="shared" si="1861"/>
        <v>0.17411933026565105</v>
      </c>
      <c r="FX57" s="28">
        <f t="shared" si="1861"/>
        <v>0.17010166678193525</v>
      </c>
      <c r="FY57" s="28">
        <f t="shared" si="1861"/>
        <v>-8.1125620446482402E-2</v>
      </c>
      <c r="FZ57" s="28">
        <f t="shared" si="1861"/>
        <v>0.21714545641116748</v>
      </c>
      <c r="GA57" s="28">
        <f t="shared" si="1861"/>
        <v>-0.55728867816265515</v>
      </c>
      <c r="GB57" s="28">
        <f t="shared" si="1861"/>
        <v>0.23078890821651474</v>
      </c>
      <c r="GC57" s="28">
        <f t="shared" si="1861"/>
        <v>4.8525954561619927E-2</v>
      </c>
      <c r="GD57" s="28">
        <f t="shared" si="1861"/>
        <v>-1.6903834252123717E-2</v>
      </c>
      <c r="GE57" s="28">
        <f t="shared" si="1861"/>
        <v>3.6644980329954856E-2</v>
      </c>
      <c r="GF57" s="28">
        <f t="shared" si="1861"/>
        <v>4.7103978423283115E-2</v>
      </c>
      <c r="GG57" s="28">
        <f t="shared" si="1861"/>
        <v>0.17112505856347668</v>
      </c>
      <c r="GH57" s="28">
        <f t="shared" si="1861"/>
        <v>-0.14017235606154069</v>
      </c>
      <c r="GI57" s="28">
        <f t="shared" si="1861"/>
        <v>-0.1169623605224107</v>
      </c>
      <c r="GJ57" s="28">
        <f t="shared" si="1861"/>
        <v>0.2603806168137095</v>
      </c>
      <c r="GK57" s="28">
        <f t="shared" si="1861"/>
        <v>-0.13555467158742257</v>
      </c>
      <c r="GL57" s="28">
        <f t="shared" ref="GL57" si="1862">(GL56-GK56)/GK56</f>
        <v>1.3683454800713158E-2</v>
      </c>
      <c r="GM57" s="28">
        <f t="shared" ref="GM57" si="1863">(GM56-GL56)/GL56</f>
        <v>0.29446936039107063</v>
      </c>
      <c r="GN57" s="28">
        <f t="shared" ref="GN57" si="1864">(GN56-GM56)/GM56</f>
        <v>-0.2329247958800981</v>
      </c>
      <c r="GO57" s="28">
        <f t="shared" ref="GO57:GR57" si="1865">(GO56-GN56)/GN56</f>
        <v>3.7879653734628593E-2</v>
      </c>
      <c r="GP57" s="28">
        <f t="shared" si="1865"/>
        <v>-0.21012425387515873</v>
      </c>
      <c r="GQ57" s="28">
        <f t="shared" si="1865"/>
        <v>0.1221209875841984</v>
      </c>
      <c r="GR57" s="165">
        <f t="shared" si="1865"/>
        <v>1.4573315233647044E-2</v>
      </c>
      <c r="GS57" s="157"/>
      <c r="GT57" s="11"/>
      <c r="GU57" s="95" t="s">
        <v>368</v>
      </c>
      <c r="GV57" s="105">
        <f>LABOUR!AG32</f>
        <v>0.38609954554113263</v>
      </c>
      <c r="GW57" s="58"/>
      <c r="GX57" s="58"/>
      <c r="GY57" s="58"/>
      <c r="GZ57" s="58"/>
      <c r="HA57" s="58"/>
    </row>
    <row r="58" spans="1:209" s="2" customFormat="1" ht="15" customHeight="1" x14ac:dyDescent="0.3">
      <c r="A58" s="169"/>
      <c r="B58" s="22" t="s">
        <v>91</v>
      </c>
      <c r="C58" s="23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>
        <f t="shared" ref="DT58:FR58" si="1866">BU56</f>
        <v>0</v>
      </c>
      <c r="DU58" s="25">
        <f t="shared" si="1866"/>
        <v>0</v>
      </c>
      <c r="DV58" s="25">
        <f t="shared" si="1866"/>
        <v>0</v>
      </c>
      <c r="DW58" s="25">
        <f t="shared" si="1866"/>
        <v>0</v>
      </c>
      <c r="DX58" s="25">
        <f t="shared" si="1866"/>
        <v>0</v>
      </c>
      <c r="DY58" s="25">
        <f t="shared" si="1866"/>
        <v>0</v>
      </c>
      <c r="DZ58" s="25">
        <f t="shared" si="1866"/>
        <v>0</v>
      </c>
      <c r="EA58" s="25">
        <f t="shared" si="1866"/>
        <v>0</v>
      </c>
      <c r="EB58" s="25">
        <f t="shared" si="1866"/>
        <v>0</v>
      </c>
      <c r="EC58" s="25">
        <f t="shared" si="1866"/>
        <v>0</v>
      </c>
      <c r="ED58" s="25">
        <f t="shared" si="1866"/>
        <v>0</v>
      </c>
      <c r="EE58" s="25">
        <f t="shared" si="1866"/>
        <v>0</v>
      </c>
      <c r="EF58" s="25">
        <f t="shared" si="1866"/>
        <v>0</v>
      </c>
      <c r="EG58" s="25">
        <f t="shared" si="1866"/>
        <v>0</v>
      </c>
      <c r="EH58" s="25">
        <f t="shared" si="1866"/>
        <v>0</v>
      </c>
      <c r="EI58" s="25">
        <f t="shared" si="1866"/>
        <v>0</v>
      </c>
      <c r="EJ58" s="25">
        <f t="shared" si="1866"/>
        <v>0</v>
      </c>
      <c r="EK58" s="25">
        <f t="shared" si="1866"/>
        <v>0</v>
      </c>
      <c r="EL58" s="25">
        <f t="shared" si="1866"/>
        <v>0</v>
      </c>
      <c r="EM58" s="25">
        <f t="shared" si="1866"/>
        <v>0</v>
      </c>
      <c r="EN58" s="25">
        <f t="shared" si="1866"/>
        <v>0</v>
      </c>
      <c r="EO58" s="25">
        <f t="shared" si="1866"/>
        <v>0</v>
      </c>
      <c r="EP58" s="25">
        <f t="shared" si="1866"/>
        <v>0</v>
      </c>
      <c r="EQ58" s="25">
        <f t="shared" si="1866"/>
        <v>0</v>
      </c>
      <c r="ER58" s="25">
        <f t="shared" si="1866"/>
        <v>0</v>
      </c>
      <c r="ES58" s="25">
        <f t="shared" si="1866"/>
        <v>0</v>
      </c>
      <c r="ET58" s="25">
        <f t="shared" si="1866"/>
        <v>0</v>
      </c>
      <c r="EU58" s="25">
        <f t="shared" si="1866"/>
        <v>0</v>
      </c>
      <c r="EV58" s="25">
        <f t="shared" si="1866"/>
        <v>0</v>
      </c>
      <c r="EW58" s="25">
        <f t="shared" si="1866"/>
        <v>0</v>
      </c>
      <c r="EX58" s="25">
        <f t="shared" si="1866"/>
        <v>0</v>
      </c>
      <c r="EY58" s="25">
        <f t="shared" si="1866"/>
        <v>0</v>
      </c>
      <c r="EZ58" s="25">
        <f t="shared" si="1866"/>
        <v>0</v>
      </c>
      <c r="FA58" s="25">
        <f t="shared" si="1866"/>
        <v>0</v>
      </c>
      <c r="FB58" s="25">
        <f t="shared" si="1866"/>
        <v>0</v>
      </c>
      <c r="FC58" s="25">
        <f t="shared" si="1866"/>
        <v>0</v>
      </c>
      <c r="FD58" s="25">
        <f t="shared" si="1866"/>
        <v>0</v>
      </c>
      <c r="FE58" s="25">
        <f t="shared" si="1866"/>
        <v>0</v>
      </c>
      <c r="FF58" s="25">
        <f t="shared" si="1866"/>
        <v>0</v>
      </c>
      <c r="FG58" s="25">
        <f t="shared" si="1866"/>
        <v>0</v>
      </c>
      <c r="FH58" s="25">
        <f t="shared" si="1866"/>
        <v>0</v>
      </c>
      <c r="FI58" s="25">
        <f t="shared" si="1866"/>
        <v>0</v>
      </c>
      <c r="FJ58" s="25">
        <f t="shared" si="1866"/>
        <v>0</v>
      </c>
      <c r="FK58" s="25">
        <f t="shared" si="1866"/>
        <v>0</v>
      </c>
      <c r="FL58" s="25">
        <f t="shared" si="1866"/>
        <v>0</v>
      </c>
      <c r="FM58" s="25">
        <f t="shared" si="1866"/>
        <v>0</v>
      </c>
      <c r="FN58" s="25">
        <f t="shared" si="1866"/>
        <v>0</v>
      </c>
      <c r="FO58" s="25">
        <f t="shared" si="1866"/>
        <v>0</v>
      </c>
      <c r="FP58" s="25">
        <f t="shared" si="1866"/>
        <v>0</v>
      </c>
      <c r="FQ58" s="25">
        <f t="shared" si="1866"/>
        <v>0</v>
      </c>
      <c r="FR58" s="25">
        <f t="shared" si="1866"/>
        <v>0</v>
      </c>
      <c r="FS58" s="25">
        <f t="shared" ref="FS58:GL58" si="1867">DS56</f>
        <v>0</v>
      </c>
      <c r="FT58" s="25">
        <f t="shared" si="1867"/>
        <v>23879.360000000001</v>
      </c>
      <c r="FU58" s="25">
        <f t="shared" si="1867"/>
        <v>34704.800000000003</v>
      </c>
      <c r="FV58" s="25">
        <f t="shared" si="1867"/>
        <v>32012.510000000002</v>
      </c>
      <c r="FW58" s="25">
        <f t="shared" si="1867"/>
        <v>35855.4</v>
      </c>
      <c r="FX58" s="25">
        <f t="shared" si="1867"/>
        <v>43396.15</v>
      </c>
      <c r="FY58" s="25">
        <f t="shared" si="1867"/>
        <v>39221.1</v>
      </c>
      <c r="FZ58" s="25">
        <f t="shared" si="1867"/>
        <v>36726.25</v>
      </c>
      <c r="GA58" s="25">
        <f t="shared" si="1867"/>
        <v>25375.9</v>
      </c>
      <c r="GB58" s="25">
        <f t="shared" si="1867"/>
        <v>27673.25</v>
      </c>
      <c r="GC58" s="25">
        <f t="shared" si="1867"/>
        <v>24386.6</v>
      </c>
      <c r="GD58" s="25">
        <f t="shared" si="1867"/>
        <v>26395.35</v>
      </c>
      <c r="GE58" s="25">
        <f t="shared" si="1867"/>
        <v>27568.190000000002</v>
      </c>
      <c r="GF58" s="25">
        <f t="shared" si="1867"/>
        <v>28126.45</v>
      </c>
      <c r="GG58" s="25">
        <f t="shared" si="1867"/>
        <v>32044.400000000001</v>
      </c>
      <c r="GH58" s="25">
        <f t="shared" si="1867"/>
        <v>29501.05</v>
      </c>
      <c r="GI58" s="25">
        <f t="shared" si="1867"/>
        <v>27507.55</v>
      </c>
      <c r="GJ58" s="25">
        <f t="shared" si="1867"/>
        <v>28169.05</v>
      </c>
      <c r="GK58" s="25">
        <f t="shared" si="1867"/>
        <v>28087.599999999999</v>
      </c>
      <c r="GL58" s="25">
        <f t="shared" si="1867"/>
        <v>29916.55</v>
      </c>
      <c r="GM58" s="25">
        <f t="shared" ref="GM58:GR58" si="1868">EL56</f>
        <v>29916.55</v>
      </c>
      <c r="GN58" s="25">
        <f t="shared" si="1868"/>
        <v>21479.65</v>
      </c>
      <c r="GO58" s="25">
        <f t="shared" si="1868"/>
        <v>22420.1</v>
      </c>
      <c r="GP58" s="25">
        <f t="shared" si="1868"/>
        <v>31465.75</v>
      </c>
      <c r="GQ58" s="25">
        <f t="shared" si="1868"/>
        <v>25378.15</v>
      </c>
      <c r="GR58" s="110">
        <f t="shared" si="1868"/>
        <v>21171.8</v>
      </c>
      <c r="GS58" s="157"/>
      <c r="GT58" s="3" t="s">
        <v>91</v>
      </c>
      <c r="GU58" s="3"/>
      <c r="GV58" s="3"/>
      <c r="GW58" s="58"/>
      <c r="GX58" s="58"/>
      <c r="GY58" s="58"/>
      <c r="GZ58" s="58"/>
      <c r="HA58" s="58"/>
    </row>
    <row r="59" spans="1:209" s="2" customFormat="1" ht="15" customHeight="1" x14ac:dyDescent="0.3">
      <c r="A59" s="169"/>
      <c r="B59" s="38" t="s">
        <v>92</v>
      </c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8"/>
      <c r="FG59" s="28"/>
      <c r="FH59" s="28"/>
      <c r="FI59" s="28"/>
      <c r="FJ59" s="28"/>
      <c r="FK59" s="28"/>
      <c r="FL59" s="28"/>
      <c r="FM59" s="28"/>
      <c r="FN59" s="28"/>
      <c r="FO59" s="28"/>
      <c r="FP59" s="28"/>
      <c r="FQ59" s="28"/>
      <c r="FR59" s="28"/>
      <c r="FS59" s="28"/>
      <c r="FT59" s="28">
        <f t="shared" ref="FT59:FU59" si="1869">(FT56-FT58)/FT58</f>
        <v>-9.3913739731718952E-3</v>
      </c>
      <c r="FU59" s="28">
        <f t="shared" si="1869"/>
        <v>-0.14946491551600935</v>
      </c>
      <c r="FV59" s="28">
        <f t="shared" ref="FV59:FW59" si="1870">(FV56-FV58)/FV58</f>
        <v>-0.19215956512001095</v>
      </c>
      <c r="FW59" s="28">
        <f t="shared" si="1870"/>
        <v>-0.15315684666744758</v>
      </c>
      <c r="FX59" s="28">
        <f t="shared" ref="FX59:FY59" si="1871">(FX56-FX58)/FX58</f>
        <v>-0.18129027575026807</v>
      </c>
      <c r="FY59" s="28">
        <f t="shared" si="1871"/>
        <v>-0.16762788397061784</v>
      </c>
      <c r="FZ59" s="28">
        <f t="shared" ref="FZ59:GA59" si="1872">(FZ56-FZ58)/FZ58</f>
        <v>8.1940029270617026E-2</v>
      </c>
      <c r="GA59" s="28">
        <f t="shared" si="1872"/>
        <v>-0.30676744470146872</v>
      </c>
      <c r="GB59" s="28">
        <f t="shared" ref="GB59:GC59" si="1873">(GB56-GB58)/GB58</f>
        <v>-0.21760906290370668</v>
      </c>
      <c r="GC59" s="28">
        <f t="shared" si="1873"/>
        <v>-6.9080970697022057E-2</v>
      </c>
      <c r="GD59" s="28">
        <f t="shared" ref="GD59:GE59" si="1874">(GD56-GD58)/GD58</f>
        <v>-0.15446470685177496</v>
      </c>
      <c r="GE59" s="28">
        <f t="shared" si="1874"/>
        <v>-0.16077007594622653</v>
      </c>
      <c r="GF59" s="28">
        <f t="shared" ref="GF59:GG59" si="1875">(GF56-GF58)/GF58</f>
        <v>-0.13868085023172147</v>
      </c>
      <c r="GG59" s="28">
        <f t="shared" si="1875"/>
        <v>-0.11461909101122197</v>
      </c>
      <c r="GH59" s="28">
        <f t="shared" ref="GH59:GI59" si="1876">(GH56-GH58)/GH58</f>
        <v>-0.173093839032848</v>
      </c>
      <c r="GI59" s="28">
        <f t="shared" si="1876"/>
        <v>-0.21689318023597162</v>
      </c>
      <c r="GJ59" s="28">
        <f t="shared" ref="GJ59:GK59" si="1877">(GJ56-GJ58)/GJ58</f>
        <v>-3.6165578888886919E-2</v>
      </c>
      <c r="GK59" s="28">
        <f t="shared" si="1877"/>
        <v>-0.16440172887679966</v>
      </c>
      <c r="GL59" s="28">
        <f t="shared" ref="GL59:GN59" si="1878">(GL56-GL58)/GL58</f>
        <v>-0.20475121630000789</v>
      </c>
      <c r="GM59" s="28">
        <f t="shared" ref="GM59" si="1879">(GM56-GM58)/GM58</f>
        <v>2.9425184387905666E-2</v>
      </c>
      <c r="GN59" s="28">
        <f t="shared" si="1878"/>
        <v>9.9808423321608983E-2</v>
      </c>
      <c r="GO59" s="28">
        <f t="shared" ref="GO59:GP59" si="1880">(GO56-GO58)/GO58</f>
        <v>9.3587896574948384E-2</v>
      </c>
      <c r="GP59" s="28">
        <f t="shared" si="1880"/>
        <v>-0.38452285421450305</v>
      </c>
      <c r="GQ59" s="28">
        <f t="shared" ref="GQ59:GR59" si="1881">(GQ56-GQ58)/GQ58</f>
        <v>-0.14369250713704509</v>
      </c>
      <c r="GR59" s="109">
        <f t="shared" si="1881"/>
        <v>4.1394685383387406E-2</v>
      </c>
      <c r="GS59" s="157"/>
      <c r="GT59" s="2" t="s">
        <v>94</v>
      </c>
      <c r="GW59" s="58"/>
      <c r="GX59" s="58"/>
      <c r="GY59" s="58"/>
      <c r="GZ59" s="58"/>
      <c r="HA59" s="58"/>
    </row>
    <row r="60" spans="1:209" s="2" customFormat="1" ht="7.5" customHeight="1" x14ac:dyDescent="0.3">
      <c r="A60" s="8"/>
      <c r="B60" s="29"/>
      <c r="C60" s="30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111"/>
      <c r="GS60" s="156"/>
      <c r="GT60" s="9"/>
      <c r="GU60" s="9"/>
      <c r="GV60" s="9"/>
    </row>
    <row r="61" spans="1:209" s="2" customFormat="1" ht="15" customHeight="1" x14ac:dyDescent="0.3">
      <c r="A61" s="168" t="s">
        <v>127</v>
      </c>
      <c r="B61" s="33" t="s">
        <v>127</v>
      </c>
      <c r="C61" s="17" t="s">
        <v>23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>
        <v>15442.35</v>
      </c>
      <c r="EE61" s="17">
        <v>10346.69</v>
      </c>
      <c r="EF61" s="17">
        <v>11338.72</v>
      </c>
      <c r="EG61" s="17">
        <v>10883.79</v>
      </c>
      <c r="EH61" s="17">
        <v>10459.99</v>
      </c>
      <c r="EI61" s="17">
        <v>10579.15</v>
      </c>
      <c r="EJ61" s="17">
        <v>9839.93</v>
      </c>
      <c r="EK61" s="17">
        <v>12720.3</v>
      </c>
      <c r="EL61" s="17">
        <v>10283.200000000001</v>
      </c>
      <c r="EM61" s="17">
        <v>12097.8</v>
      </c>
      <c r="EN61" s="17">
        <v>10277.950000000001</v>
      </c>
      <c r="EO61" s="17">
        <v>12228.7</v>
      </c>
      <c r="EP61" s="17">
        <v>11141.6</v>
      </c>
      <c r="EQ61" s="17">
        <v>11367.85</v>
      </c>
      <c r="ER61" s="17">
        <v>12995.15</v>
      </c>
      <c r="ES61" s="17">
        <v>11527.1</v>
      </c>
      <c r="ET61" s="17">
        <v>10786.7</v>
      </c>
      <c r="EU61" s="17">
        <v>11150.1</v>
      </c>
      <c r="EV61" s="17">
        <v>9567.9</v>
      </c>
      <c r="EW61" s="17">
        <v>12852.95</v>
      </c>
      <c r="EX61" s="17">
        <v>9946.9500000000007</v>
      </c>
      <c r="EY61" s="17">
        <v>8692.4500000000007</v>
      </c>
      <c r="EZ61" s="17">
        <v>11563.95</v>
      </c>
      <c r="FA61" s="17">
        <v>9917.2000000000007</v>
      </c>
      <c r="FB61" s="17">
        <v>9572.5</v>
      </c>
      <c r="FC61" s="17">
        <v>10210.9</v>
      </c>
      <c r="FD61" s="17">
        <v>11210.45</v>
      </c>
      <c r="FE61" s="17">
        <v>10780.1</v>
      </c>
      <c r="FF61" s="17">
        <v>11141.7</v>
      </c>
      <c r="FG61" s="17">
        <v>9003.2000000000007</v>
      </c>
      <c r="FH61" s="17">
        <v>9392.65</v>
      </c>
      <c r="FI61" s="17">
        <v>9980.9500000000007</v>
      </c>
      <c r="FJ61" s="17">
        <v>7554.4</v>
      </c>
      <c r="FK61" s="17">
        <v>9008.4500000000007</v>
      </c>
      <c r="FL61" s="17">
        <v>8031.4</v>
      </c>
      <c r="FM61" s="17">
        <v>8254.65</v>
      </c>
      <c r="FN61" s="17">
        <v>7672.8</v>
      </c>
      <c r="FO61" s="17">
        <v>7520.55</v>
      </c>
      <c r="FP61" s="17">
        <v>8224.9500000000007</v>
      </c>
      <c r="FQ61" s="17">
        <v>9960.65</v>
      </c>
      <c r="FR61" s="17">
        <v>9327.0499999999993</v>
      </c>
      <c r="FS61" s="17">
        <v>8389.65</v>
      </c>
      <c r="FT61" s="17">
        <v>8874.2999999999993</v>
      </c>
      <c r="FU61" s="17">
        <v>7447.3</v>
      </c>
      <c r="FV61" s="17">
        <v>9770.25</v>
      </c>
      <c r="FW61" s="17">
        <v>9614.85</v>
      </c>
      <c r="FX61" s="17">
        <v>8148.5</v>
      </c>
      <c r="FY61" s="17">
        <v>11665.3</v>
      </c>
      <c r="FZ61" s="17">
        <v>13357.3</v>
      </c>
      <c r="GA61" s="17">
        <v>7515.9</v>
      </c>
      <c r="GB61" s="17">
        <v>8474.4500000000007</v>
      </c>
      <c r="GC61" s="17">
        <v>7229.9</v>
      </c>
      <c r="GD61" s="17">
        <v>8756.15</v>
      </c>
      <c r="GE61" s="17">
        <v>8902.1</v>
      </c>
      <c r="GF61" s="17">
        <v>10647.55</v>
      </c>
      <c r="GG61" s="17">
        <v>9901.7000000000007</v>
      </c>
      <c r="GH61" s="17">
        <v>10774.1</v>
      </c>
      <c r="GI61" s="17">
        <v>8644.5499999999993</v>
      </c>
      <c r="GJ61" s="17">
        <v>10639.73</v>
      </c>
      <c r="GK61" s="17">
        <v>10639.87</v>
      </c>
      <c r="GL61" s="17">
        <v>8966.65</v>
      </c>
      <c r="GM61" s="17">
        <v>12610.2</v>
      </c>
      <c r="GN61" s="17">
        <v>11112.4</v>
      </c>
      <c r="GO61" s="17">
        <v>10191.83</v>
      </c>
      <c r="GP61" s="17">
        <v>11671.8</v>
      </c>
      <c r="GQ61" s="17">
        <v>10224.75</v>
      </c>
      <c r="GR61" s="107">
        <v>10951.2</v>
      </c>
      <c r="GS61" s="153">
        <f>EQ61</f>
        <v>11367.85</v>
      </c>
      <c r="GT61" s="84" t="s">
        <v>23</v>
      </c>
      <c r="GU61" s="92" t="s">
        <v>369</v>
      </c>
      <c r="GV61" s="93"/>
      <c r="GW61" s="58"/>
      <c r="GX61" s="58"/>
      <c r="GY61" s="58"/>
      <c r="GZ61" s="58"/>
      <c r="HA61" s="58"/>
    </row>
    <row r="62" spans="1:209" s="2" customFormat="1" ht="15" customHeight="1" x14ac:dyDescent="0.3">
      <c r="A62" s="169"/>
      <c r="B62" s="34"/>
      <c r="C62" s="17" t="s">
        <v>24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>
        <v>15024.3</v>
      </c>
      <c r="EE62" s="17">
        <v>17224.25</v>
      </c>
      <c r="EF62" s="17">
        <v>19817.5</v>
      </c>
      <c r="EG62" s="17">
        <v>19115.5</v>
      </c>
      <c r="EH62" s="17">
        <v>16771.3</v>
      </c>
      <c r="EI62" s="17">
        <v>15283.75</v>
      </c>
      <c r="EJ62" s="17">
        <v>16738.439999999999</v>
      </c>
      <c r="EK62" s="17">
        <v>18160.25</v>
      </c>
      <c r="EL62" s="17">
        <v>17080.25</v>
      </c>
      <c r="EM62" s="17">
        <v>15955.25</v>
      </c>
      <c r="EN62" s="17">
        <v>16334</v>
      </c>
      <c r="EO62" s="17">
        <v>18909.25</v>
      </c>
      <c r="EP62" s="17">
        <v>17468.25</v>
      </c>
      <c r="EQ62" s="17">
        <v>16473.75</v>
      </c>
      <c r="ER62" s="17">
        <v>15522.25</v>
      </c>
      <c r="ES62" s="17">
        <v>14671</v>
      </c>
      <c r="ET62" s="17">
        <v>16806.5</v>
      </c>
      <c r="EU62" s="17">
        <v>20150.599999999999</v>
      </c>
      <c r="EV62" s="17">
        <v>16282.5</v>
      </c>
      <c r="EW62" s="17">
        <v>18823.05</v>
      </c>
      <c r="EX62" s="17">
        <v>15005.5</v>
      </c>
      <c r="EY62" s="17">
        <v>11706.5</v>
      </c>
      <c r="EZ62" s="17">
        <v>16362.5</v>
      </c>
      <c r="FA62" s="17">
        <v>13933.5</v>
      </c>
      <c r="FB62" s="17">
        <v>16351.75</v>
      </c>
      <c r="FC62" s="17">
        <v>17747.25</v>
      </c>
      <c r="FD62" s="17">
        <v>18751</v>
      </c>
      <c r="FE62" s="17">
        <v>15116.25</v>
      </c>
      <c r="FF62" s="17">
        <v>15957.12</v>
      </c>
      <c r="FG62" s="17">
        <v>13421.2</v>
      </c>
      <c r="FH62" s="17">
        <v>15960</v>
      </c>
      <c r="FI62" s="17">
        <v>14206.5</v>
      </c>
      <c r="FJ62" s="17">
        <v>12127.07</v>
      </c>
      <c r="FK62" s="17">
        <v>14079</v>
      </c>
      <c r="FL62" s="17">
        <v>13394.75</v>
      </c>
      <c r="FM62" s="17">
        <v>14588.25</v>
      </c>
      <c r="FN62" s="17">
        <v>13467.25</v>
      </c>
      <c r="FO62" s="17">
        <v>13138.51</v>
      </c>
      <c r="FP62" s="17">
        <v>13239.95</v>
      </c>
      <c r="FQ62" s="17">
        <v>14239.75</v>
      </c>
      <c r="FR62" s="17">
        <v>14807.5</v>
      </c>
      <c r="FS62" s="17">
        <v>14565.65</v>
      </c>
      <c r="FT62" s="17">
        <v>13565</v>
      </c>
      <c r="FU62" s="17">
        <v>14077.75</v>
      </c>
      <c r="FV62" s="17">
        <v>15963.25</v>
      </c>
      <c r="FW62" s="17">
        <v>17890.5</v>
      </c>
      <c r="FX62" s="17">
        <v>15724.5</v>
      </c>
      <c r="FY62" s="17">
        <v>16272.75</v>
      </c>
      <c r="FZ62" s="17">
        <v>24088.85</v>
      </c>
      <c r="GA62" s="17">
        <v>12180</v>
      </c>
      <c r="GB62" s="17">
        <v>12881.12</v>
      </c>
      <c r="GC62" s="17">
        <v>11789.25</v>
      </c>
      <c r="GD62" s="17">
        <v>13990</v>
      </c>
      <c r="GE62" s="17">
        <v>13036</v>
      </c>
      <c r="GF62" s="17">
        <v>16989.25</v>
      </c>
      <c r="GG62" s="17">
        <v>14384</v>
      </c>
      <c r="GH62" s="17">
        <v>16520</v>
      </c>
      <c r="GI62" s="17">
        <v>14630</v>
      </c>
      <c r="GJ62" s="17">
        <v>19989.82</v>
      </c>
      <c r="GK62" s="17">
        <v>15650</v>
      </c>
      <c r="GL62" s="17">
        <v>14780.75</v>
      </c>
      <c r="GM62" s="17">
        <v>21199.25</v>
      </c>
      <c r="GN62" s="17">
        <v>17146.75</v>
      </c>
      <c r="GO62" s="17">
        <v>15530.82</v>
      </c>
      <c r="GP62" s="17">
        <v>16167.75</v>
      </c>
      <c r="GQ62" s="17">
        <v>17152.5</v>
      </c>
      <c r="GR62" s="107">
        <v>16034.45</v>
      </c>
      <c r="GS62" s="153">
        <f>EQ62</f>
        <v>16473.75</v>
      </c>
      <c r="GT62" s="5" t="s">
        <v>24</v>
      </c>
      <c r="GU62" s="94" t="s">
        <v>367</v>
      </c>
      <c r="GV62" s="104">
        <f>DRY!AG32</f>
        <v>0.74162780762670366</v>
      </c>
      <c r="GW62" s="55"/>
      <c r="GX62" s="55"/>
      <c r="GY62" s="55"/>
      <c r="GZ62" s="55"/>
      <c r="HA62" s="55"/>
    </row>
    <row r="63" spans="1:209" s="2" customFormat="1" ht="15" customHeight="1" x14ac:dyDescent="0.3">
      <c r="A63" s="169"/>
      <c r="B63" s="19" t="s">
        <v>21</v>
      </c>
      <c r="C63" s="20"/>
      <c r="D63" s="20">
        <f>SUM(D61:D62)</f>
        <v>0</v>
      </c>
      <c r="E63" s="20">
        <f t="shared" ref="E63:BC63" si="1882">SUM(E61:E62)</f>
        <v>0</v>
      </c>
      <c r="F63" s="20">
        <f t="shared" si="1882"/>
        <v>0</v>
      </c>
      <c r="G63" s="20">
        <f t="shared" si="1882"/>
        <v>0</v>
      </c>
      <c r="H63" s="20">
        <f t="shared" si="1882"/>
        <v>0</v>
      </c>
      <c r="I63" s="20">
        <f t="shared" si="1882"/>
        <v>0</v>
      </c>
      <c r="J63" s="20">
        <f t="shared" si="1882"/>
        <v>0</v>
      </c>
      <c r="K63" s="20">
        <f t="shared" si="1882"/>
        <v>0</v>
      </c>
      <c r="L63" s="20">
        <f t="shared" si="1882"/>
        <v>0</v>
      </c>
      <c r="M63" s="20">
        <f t="shared" si="1882"/>
        <v>0</v>
      </c>
      <c r="N63" s="20">
        <f t="shared" si="1882"/>
        <v>0</v>
      </c>
      <c r="O63" s="20">
        <f t="shared" si="1882"/>
        <v>0</v>
      </c>
      <c r="P63" s="20">
        <f t="shared" si="1882"/>
        <v>0</v>
      </c>
      <c r="Q63" s="20">
        <f t="shared" si="1882"/>
        <v>0</v>
      </c>
      <c r="R63" s="20">
        <f t="shared" si="1882"/>
        <v>0</v>
      </c>
      <c r="S63" s="20">
        <f t="shared" si="1882"/>
        <v>0</v>
      </c>
      <c r="T63" s="20">
        <f t="shared" si="1882"/>
        <v>0</v>
      </c>
      <c r="U63" s="20">
        <f t="shared" si="1882"/>
        <v>0</v>
      </c>
      <c r="V63" s="20">
        <f t="shared" si="1882"/>
        <v>0</v>
      </c>
      <c r="W63" s="20">
        <f t="shared" si="1882"/>
        <v>0</v>
      </c>
      <c r="X63" s="20">
        <f t="shared" si="1882"/>
        <v>0</v>
      </c>
      <c r="Y63" s="20">
        <f t="shared" si="1882"/>
        <v>0</v>
      </c>
      <c r="Z63" s="20">
        <f t="shared" si="1882"/>
        <v>0</v>
      </c>
      <c r="AA63" s="20">
        <f t="shared" si="1882"/>
        <v>0</v>
      </c>
      <c r="AB63" s="20">
        <f t="shared" si="1882"/>
        <v>0</v>
      </c>
      <c r="AC63" s="20">
        <f t="shared" si="1882"/>
        <v>0</v>
      </c>
      <c r="AD63" s="20">
        <f t="shared" si="1882"/>
        <v>0</v>
      </c>
      <c r="AE63" s="20">
        <f t="shared" si="1882"/>
        <v>0</v>
      </c>
      <c r="AF63" s="20">
        <f t="shared" si="1882"/>
        <v>0</v>
      </c>
      <c r="AG63" s="20">
        <f t="shared" si="1882"/>
        <v>0</v>
      </c>
      <c r="AH63" s="20">
        <f t="shared" si="1882"/>
        <v>0</v>
      </c>
      <c r="AI63" s="20">
        <f t="shared" si="1882"/>
        <v>0</v>
      </c>
      <c r="AJ63" s="20">
        <f t="shared" si="1882"/>
        <v>0</v>
      </c>
      <c r="AK63" s="20">
        <f t="shared" si="1882"/>
        <v>0</v>
      </c>
      <c r="AL63" s="20">
        <f t="shared" si="1882"/>
        <v>0</v>
      </c>
      <c r="AM63" s="20">
        <f t="shared" si="1882"/>
        <v>0</v>
      </c>
      <c r="AN63" s="20">
        <f t="shared" si="1882"/>
        <v>0</v>
      </c>
      <c r="AO63" s="20">
        <f t="shared" si="1882"/>
        <v>0</v>
      </c>
      <c r="AP63" s="20">
        <f t="shared" si="1882"/>
        <v>0</v>
      </c>
      <c r="AQ63" s="20">
        <f t="shared" si="1882"/>
        <v>0</v>
      </c>
      <c r="AR63" s="20">
        <f t="shared" si="1882"/>
        <v>0</v>
      </c>
      <c r="AS63" s="20">
        <f t="shared" si="1882"/>
        <v>0</v>
      </c>
      <c r="AT63" s="20">
        <f t="shared" si="1882"/>
        <v>0</v>
      </c>
      <c r="AU63" s="20">
        <f t="shared" si="1882"/>
        <v>0</v>
      </c>
      <c r="AV63" s="20">
        <f t="shared" si="1882"/>
        <v>0</v>
      </c>
      <c r="AW63" s="20">
        <f t="shared" si="1882"/>
        <v>0</v>
      </c>
      <c r="AX63" s="20">
        <f t="shared" si="1882"/>
        <v>0</v>
      </c>
      <c r="AY63" s="20">
        <f t="shared" si="1882"/>
        <v>0</v>
      </c>
      <c r="AZ63" s="20">
        <f t="shared" si="1882"/>
        <v>0</v>
      </c>
      <c r="BA63" s="20">
        <f t="shared" si="1882"/>
        <v>0</v>
      </c>
      <c r="BB63" s="20">
        <f t="shared" si="1882"/>
        <v>0</v>
      </c>
      <c r="BC63" s="20">
        <f t="shared" si="1882"/>
        <v>0</v>
      </c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>
        <f t="shared" ref="ED63:EE63" si="1883">SUM(ED61:ED62)</f>
        <v>30466.65</v>
      </c>
      <c r="EE63" s="20">
        <f t="shared" si="1883"/>
        <v>27570.940000000002</v>
      </c>
      <c r="EF63" s="20">
        <f t="shared" ref="EF63:EG63" si="1884">SUM(EF61:EF62)</f>
        <v>31156.22</v>
      </c>
      <c r="EG63" s="20">
        <f t="shared" si="1884"/>
        <v>29999.29</v>
      </c>
      <c r="EH63" s="20">
        <f t="shared" ref="EH63:EI63" si="1885">SUM(EH61:EH62)</f>
        <v>27231.29</v>
      </c>
      <c r="EI63" s="20">
        <f t="shared" si="1885"/>
        <v>25862.9</v>
      </c>
      <c r="EJ63" s="20">
        <f t="shared" ref="EJ63:EK63" si="1886">SUM(EJ61:EJ62)</f>
        <v>26578.37</v>
      </c>
      <c r="EK63" s="20">
        <f t="shared" si="1886"/>
        <v>30880.55</v>
      </c>
      <c r="EL63" s="20">
        <f t="shared" ref="EL63:EM63" si="1887">SUM(EL61:EL62)</f>
        <v>27363.45</v>
      </c>
      <c r="EM63" s="20">
        <f t="shared" si="1887"/>
        <v>28053.05</v>
      </c>
      <c r="EN63" s="20">
        <f t="shared" ref="EN63:EO63" si="1888">SUM(EN61:EN62)</f>
        <v>26611.95</v>
      </c>
      <c r="EO63" s="20">
        <f t="shared" si="1888"/>
        <v>31137.95</v>
      </c>
      <c r="EP63" s="20">
        <f t="shared" ref="EP63:EQ63" si="1889">SUM(EP61:EP62)</f>
        <v>28609.85</v>
      </c>
      <c r="EQ63" s="20">
        <f t="shared" si="1889"/>
        <v>27841.599999999999</v>
      </c>
      <c r="ER63" s="20">
        <f t="shared" ref="ER63:ES63" si="1890">SUM(ER61:ER62)</f>
        <v>28517.4</v>
      </c>
      <c r="ES63" s="20">
        <f t="shared" si="1890"/>
        <v>26198.1</v>
      </c>
      <c r="ET63" s="20">
        <f t="shared" ref="ET63:EU63" si="1891">SUM(ET61:ET62)</f>
        <v>27593.200000000001</v>
      </c>
      <c r="EU63" s="20">
        <f t="shared" si="1891"/>
        <v>31300.699999999997</v>
      </c>
      <c r="EV63" s="20">
        <f t="shared" ref="EV63:EW63" si="1892">SUM(EV61:EV62)</f>
        <v>25850.400000000001</v>
      </c>
      <c r="EW63" s="20">
        <f t="shared" si="1892"/>
        <v>31676</v>
      </c>
      <c r="EX63" s="20">
        <f t="shared" ref="EX63:EY63" si="1893">SUM(EX61:EX62)</f>
        <v>24952.45</v>
      </c>
      <c r="EY63" s="20">
        <f t="shared" si="1893"/>
        <v>20398.95</v>
      </c>
      <c r="EZ63" s="20">
        <f t="shared" ref="EZ63:FA63" si="1894">SUM(EZ61:EZ62)</f>
        <v>27926.45</v>
      </c>
      <c r="FA63" s="20">
        <f t="shared" si="1894"/>
        <v>23850.7</v>
      </c>
      <c r="FB63" s="20">
        <f t="shared" ref="FB63:FC63" si="1895">SUM(FB61:FB62)</f>
        <v>25924.25</v>
      </c>
      <c r="FC63" s="20">
        <f t="shared" si="1895"/>
        <v>27958.15</v>
      </c>
      <c r="FD63" s="20">
        <f t="shared" ref="FD63:FE63" si="1896">SUM(FD61:FD62)</f>
        <v>29961.45</v>
      </c>
      <c r="FE63" s="20">
        <f t="shared" si="1896"/>
        <v>25896.35</v>
      </c>
      <c r="FF63" s="20">
        <f t="shared" ref="FF63:FI63" si="1897">SUM(FF61:FF62)</f>
        <v>27098.82</v>
      </c>
      <c r="FG63" s="20">
        <f t="shared" si="1897"/>
        <v>22424.400000000001</v>
      </c>
      <c r="FH63" s="20">
        <f t="shared" si="1897"/>
        <v>25352.65</v>
      </c>
      <c r="FI63" s="20">
        <f t="shared" si="1897"/>
        <v>24187.45</v>
      </c>
      <c r="FJ63" s="20">
        <f t="shared" ref="FJ63:FK63" si="1898">SUM(FJ61:FJ62)</f>
        <v>19681.47</v>
      </c>
      <c r="FK63" s="20">
        <f t="shared" si="1898"/>
        <v>23087.45</v>
      </c>
      <c r="FL63" s="20">
        <f t="shared" ref="FL63:FM63" si="1899">SUM(FL61:FL62)</f>
        <v>21426.15</v>
      </c>
      <c r="FM63" s="20">
        <f t="shared" si="1899"/>
        <v>22842.9</v>
      </c>
      <c r="FN63" s="20">
        <f t="shared" ref="FN63:FO63" si="1900">SUM(FN61:FN62)</f>
        <v>21140.05</v>
      </c>
      <c r="FO63" s="20">
        <f t="shared" si="1900"/>
        <v>20659.060000000001</v>
      </c>
      <c r="FP63" s="20">
        <f t="shared" ref="FP63:FQ63" si="1901">SUM(FP61:FP62)</f>
        <v>21464.9</v>
      </c>
      <c r="FQ63" s="20">
        <f t="shared" si="1901"/>
        <v>24200.400000000001</v>
      </c>
      <c r="FR63" s="20">
        <f t="shared" ref="FR63:FS63" si="1902">SUM(FR61:FR62)</f>
        <v>24134.55</v>
      </c>
      <c r="FS63" s="20">
        <f t="shared" si="1902"/>
        <v>22955.3</v>
      </c>
      <c r="FT63" s="20">
        <f t="shared" ref="FT63:FU63" si="1903">SUM(FT61:FT62)</f>
        <v>22439.3</v>
      </c>
      <c r="FU63" s="20">
        <f t="shared" si="1903"/>
        <v>21525.05</v>
      </c>
      <c r="FV63" s="20">
        <f t="shared" ref="FV63:FW63" si="1904">SUM(FV61:FV62)</f>
        <v>25733.5</v>
      </c>
      <c r="FW63" s="20">
        <f t="shared" si="1904"/>
        <v>27505.35</v>
      </c>
      <c r="FX63" s="20">
        <f t="shared" ref="FX63:FY63" si="1905">SUM(FX61:FX62)</f>
        <v>23873</v>
      </c>
      <c r="FY63" s="20">
        <f t="shared" si="1905"/>
        <v>27938.05</v>
      </c>
      <c r="FZ63" s="20">
        <f t="shared" ref="FZ63:GA63" si="1906">SUM(FZ61:FZ62)</f>
        <v>37446.149999999994</v>
      </c>
      <c r="GA63" s="20">
        <f t="shared" si="1906"/>
        <v>19695.900000000001</v>
      </c>
      <c r="GB63" s="20">
        <f t="shared" ref="GB63:GC63" si="1907">SUM(GB61:GB62)</f>
        <v>21355.57</v>
      </c>
      <c r="GC63" s="20">
        <f t="shared" si="1907"/>
        <v>19019.150000000001</v>
      </c>
      <c r="GD63" s="20">
        <f t="shared" ref="GD63:GE63" si="1908">SUM(GD61:GD62)</f>
        <v>22746.15</v>
      </c>
      <c r="GE63" s="20">
        <f t="shared" si="1908"/>
        <v>21938.1</v>
      </c>
      <c r="GF63" s="20">
        <f t="shared" ref="GF63:GG63" si="1909">SUM(GF61:GF62)</f>
        <v>27636.799999999999</v>
      </c>
      <c r="GG63" s="20">
        <f t="shared" si="1909"/>
        <v>24285.7</v>
      </c>
      <c r="GH63" s="20">
        <f t="shared" ref="GH63:GI63" si="1910">SUM(GH61:GH62)</f>
        <v>27294.1</v>
      </c>
      <c r="GI63" s="20">
        <f t="shared" si="1910"/>
        <v>23274.55</v>
      </c>
      <c r="GJ63" s="20">
        <f t="shared" ref="GJ63:GK63" si="1911">SUM(GJ61:GJ62)</f>
        <v>30629.55</v>
      </c>
      <c r="GK63" s="20">
        <f t="shared" si="1911"/>
        <v>26289.870000000003</v>
      </c>
      <c r="GL63" s="20">
        <f t="shared" ref="GL63:GN63" si="1912">SUM(GL61:GL62)</f>
        <v>23747.4</v>
      </c>
      <c r="GM63" s="20">
        <f t="shared" ref="GM63" si="1913">SUM(GM61:GM62)</f>
        <v>33809.449999999997</v>
      </c>
      <c r="GN63" s="20">
        <f t="shared" si="1912"/>
        <v>28259.15</v>
      </c>
      <c r="GO63" s="20">
        <f t="shared" ref="GO63:GP63" si="1914">SUM(GO61:GO62)</f>
        <v>25722.65</v>
      </c>
      <c r="GP63" s="20">
        <f t="shared" si="1914"/>
        <v>27839.55</v>
      </c>
      <c r="GQ63" s="20">
        <f t="shared" ref="GQ63:GR63" si="1915">SUM(GQ61:GQ62)</f>
        <v>27377.25</v>
      </c>
      <c r="GR63" s="108">
        <f t="shared" si="1915"/>
        <v>26985.65</v>
      </c>
      <c r="GS63" s="154">
        <f t="shared" ref="GS63" si="1916">SUM(GS61+GS62)</f>
        <v>27841.599999999999</v>
      </c>
      <c r="GT63" s="10" t="str">
        <f>B61</f>
        <v>MANOR HOUSE INN</v>
      </c>
      <c r="GU63" s="139" t="s">
        <v>398</v>
      </c>
      <c r="GV63" s="140">
        <f>DRY!AH32</f>
        <v>0.69786553511197491</v>
      </c>
      <c r="GW63" s="56">
        <f>AVERAGE(ES63:GR63)</f>
        <v>25279.031538461546</v>
      </c>
      <c r="GX63" s="56">
        <f>AVERAGE(FS63:GR63)</f>
        <v>25666.240000000005</v>
      </c>
      <c r="GY63" s="56">
        <f>AVERAGE(GF63:GR63)</f>
        <v>27165.513076923075</v>
      </c>
      <c r="GZ63" s="56">
        <f>AVERAGE(GN63:GR63)</f>
        <v>27236.85</v>
      </c>
      <c r="HA63" s="56">
        <f>MAX(D63:GR63)</f>
        <v>37446.149999999994</v>
      </c>
    </row>
    <row r="64" spans="1:209" s="2" customFormat="1" ht="15" customHeight="1" x14ac:dyDescent="0.3">
      <c r="A64" s="169"/>
      <c r="B64" s="35" t="s">
        <v>365</v>
      </c>
      <c r="C64" s="21"/>
      <c r="D64" s="21"/>
      <c r="E64" s="21">
        <f>SUM(E63-D63)</f>
        <v>0</v>
      </c>
      <c r="F64" s="21">
        <f t="shared" ref="F64" si="1917">SUM(F63-E63)</f>
        <v>0</v>
      </c>
      <c r="G64" s="21">
        <f t="shared" ref="G64" si="1918">SUM(G63-F63)</f>
        <v>0</v>
      </c>
      <c r="H64" s="21">
        <f t="shared" ref="H64" si="1919">SUM(H63-G63)</f>
        <v>0</v>
      </c>
      <c r="I64" s="21">
        <f t="shared" ref="I64" si="1920">SUM(I63-H63)</f>
        <v>0</v>
      </c>
      <c r="J64" s="21">
        <f t="shared" ref="J64" si="1921">SUM(J63-I63)</f>
        <v>0</v>
      </c>
      <c r="K64" s="21">
        <f t="shared" ref="K64" si="1922">SUM(K63-J63)</f>
        <v>0</v>
      </c>
      <c r="L64" s="21">
        <f t="shared" ref="L64" si="1923">SUM(L63-K63)</f>
        <v>0</v>
      </c>
      <c r="M64" s="21">
        <f t="shared" ref="M64" si="1924">SUM(M63-L63)</f>
        <v>0</v>
      </c>
      <c r="N64" s="21">
        <f t="shared" ref="N64" si="1925">SUM(N63-M63)</f>
        <v>0</v>
      </c>
      <c r="O64" s="21">
        <f t="shared" ref="O64" si="1926">SUM(O63-N63)</f>
        <v>0</v>
      </c>
      <c r="P64" s="21">
        <f t="shared" ref="P64" si="1927">SUM(P63-O63)</f>
        <v>0</v>
      </c>
      <c r="Q64" s="21">
        <f t="shared" ref="Q64" si="1928">SUM(Q63-P63)</f>
        <v>0</v>
      </c>
      <c r="R64" s="21">
        <f t="shared" ref="R64" si="1929">SUM(R63-Q63)</f>
        <v>0</v>
      </c>
      <c r="S64" s="21">
        <f t="shared" ref="S64" si="1930">SUM(S63-R63)</f>
        <v>0</v>
      </c>
      <c r="T64" s="21">
        <f t="shared" ref="T64" si="1931">SUM(T63-S63)</f>
        <v>0</v>
      </c>
      <c r="U64" s="21">
        <f t="shared" ref="U64" si="1932">SUM(U63-T63)</f>
        <v>0</v>
      </c>
      <c r="V64" s="21">
        <f t="shared" ref="V64" si="1933">SUM(V63-U63)</f>
        <v>0</v>
      </c>
      <c r="W64" s="21">
        <f t="shared" ref="W64" si="1934">SUM(W63-V63)</f>
        <v>0</v>
      </c>
      <c r="X64" s="21">
        <f t="shared" ref="X64" si="1935">SUM(X63-W63)</f>
        <v>0</v>
      </c>
      <c r="Y64" s="21">
        <f t="shared" ref="Y64" si="1936">SUM(Y63-X63)</f>
        <v>0</v>
      </c>
      <c r="Z64" s="21">
        <f t="shared" ref="Z64" si="1937">SUM(Z63-Y63)</f>
        <v>0</v>
      </c>
      <c r="AA64" s="21">
        <f t="shared" ref="AA64" si="1938">SUM(AA63-Z63)</f>
        <v>0</v>
      </c>
      <c r="AB64" s="21">
        <f t="shared" ref="AB64" si="1939">SUM(AB63-AA63)</f>
        <v>0</v>
      </c>
      <c r="AC64" s="21">
        <f t="shared" ref="AC64" si="1940">SUM(AC63-AB63)</f>
        <v>0</v>
      </c>
      <c r="AD64" s="21">
        <f t="shared" ref="AD64" si="1941">SUM(AD63-AC63)</f>
        <v>0</v>
      </c>
      <c r="AE64" s="21">
        <f t="shared" ref="AE64" si="1942">SUM(AE63-AD63)</f>
        <v>0</v>
      </c>
      <c r="AF64" s="21">
        <f t="shared" ref="AF64" si="1943">SUM(AF63-AE63)</f>
        <v>0</v>
      </c>
      <c r="AG64" s="21">
        <f t="shared" ref="AG64" si="1944">SUM(AG63-AF63)</f>
        <v>0</v>
      </c>
      <c r="AH64" s="21">
        <f t="shared" ref="AH64" si="1945">SUM(AH63-AG63)</f>
        <v>0</v>
      </c>
      <c r="AI64" s="21">
        <f t="shared" ref="AI64" si="1946">SUM(AI63-AH63)</f>
        <v>0</v>
      </c>
      <c r="AJ64" s="21">
        <f t="shared" ref="AJ64" si="1947">SUM(AJ63-AI63)</f>
        <v>0</v>
      </c>
      <c r="AK64" s="21">
        <f t="shared" ref="AK64" si="1948">SUM(AK63-AJ63)</f>
        <v>0</v>
      </c>
      <c r="AL64" s="21">
        <f t="shared" ref="AL64" si="1949">SUM(AL63-AK63)</f>
        <v>0</v>
      </c>
      <c r="AM64" s="21">
        <f t="shared" ref="AM64" si="1950">SUM(AM63-AL63)</f>
        <v>0</v>
      </c>
      <c r="AN64" s="21">
        <f t="shared" ref="AN64" si="1951">SUM(AN63-AM63)</f>
        <v>0</v>
      </c>
      <c r="AO64" s="21">
        <f t="shared" ref="AO64" si="1952">SUM(AO63-AN63)</f>
        <v>0</v>
      </c>
      <c r="AP64" s="21">
        <f t="shared" ref="AP64" si="1953">SUM(AP63-AO63)</f>
        <v>0</v>
      </c>
      <c r="AQ64" s="21">
        <f t="shared" ref="AQ64" si="1954">SUM(AQ63-AP63)</f>
        <v>0</v>
      </c>
      <c r="AR64" s="21">
        <f t="shared" ref="AR64" si="1955">SUM(AR63-AQ63)</f>
        <v>0</v>
      </c>
      <c r="AS64" s="21">
        <f t="shared" ref="AS64" si="1956">SUM(AS63-AR63)</f>
        <v>0</v>
      </c>
      <c r="AT64" s="21">
        <f t="shared" ref="AT64" si="1957">SUM(AT63-AS63)</f>
        <v>0</v>
      </c>
      <c r="AU64" s="21">
        <f t="shared" ref="AU64" si="1958">SUM(AU63-AT63)</f>
        <v>0</v>
      </c>
      <c r="AV64" s="21">
        <f t="shared" ref="AV64" si="1959">SUM(AV63-AU63)</f>
        <v>0</v>
      </c>
      <c r="AW64" s="21">
        <f t="shared" ref="AW64" si="1960">SUM(AW63-AV63)</f>
        <v>0</v>
      </c>
      <c r="AX64" s="21">
        <f t="shared" ref="AX64" si="1961">SUM(AX63-AW63)</f>
        <v>0</v>
      </c>
      <c r="AY64" s="21">
        <f t="shared" ref="AY64" si="1962">SUM(AY63-AX63)</f>
        <v>0</v>
      </c>
      <c r="AZ64" s="21">
        <f t="shared" ref="AZ64" si="1963">SUM(AZ63-AY63)</f>
        <v>0</v>
      </c>
      <c r="BA64" s="21">
        <f t="shared" ref="BA64" si="1964">SUM(BA63-AZ63)</f>
        <v>0</v>
      </c>
      <c r="BB64" s="21">
        <f>SUM(BB63-BA63)</f>
        <v>0</v>
      </c>
      <c r="BC64" s="21">
        <f t="shared" ref="BC64" si="1965">SUM(BC63-BB63)</f>
        <v>0</v>
      </c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>
        <f t="shared" ref="EE64" si="1966">SUM(EE63-ED63)/ED63</f>
        <v>-9.5045237989736284E-2</v>
      </c>
      <c r="EF64" s="28">
        <f t="shared" ref="EF64" si="1967">SUM(EF63-EE63)/EE63</f>
        <v>0.13003836648297079</v>
      </c>
      <c r="EG64" s="28">
        <f t="shared" ref="EG64" si="1968">SUM(EG63-EF63)/EF63</f>
        <v>-3.7133195233568138E-2</v>
      </c>
      <c r="EH64" s="28">
        <f t="shared" ref="EH64" si="1969">SUM(EH63-EG63)/EG63</f>
        <v>-9.2268850362791921E-2</v>
      </c>
      <c r="EI64" s="28">
        <f t="shared" ref="EI64" si="1970">SUM(EI63-EH63)/EH63</f>
        <v>-5.025064916131404E-2</v>
      </c>
      <c r="EJ64" s="28">
        <f t="shared" ref="EJ64" si="1971">SUM(EJ63-EI63)/EI63</f>
        <v>2.7663951065039011E-2</v>
      </c>
      <c r="EK64" s="28">
        <f t="shared" ref="EK64" si="1972">SUM(EK63-EJ63)/EJ63</f>
        <v>0.16186771423529736</v>
      </c>
      <c r="EL64" s="28">
        <f t="shared" ref="EL64" si="1973">SUM(EL63-EK63)/EK63</f>
        <v>-0.11389369684153937</v>
      </c>
      <c r="EM64" s="28">
        <f t="shared" ref="EM64" si="1974">SUM(EM63-EL63)/EL63</f>
        <v>2.5201500541781045E-2</v>
      </c>
      <c r="EN64" s="28">
        <f t="shared" ref="EN64" si="1975">SUM(EN63-EM63)/EM63</f>
        <v>-5.1370528338273325E-2</v>
      </c>
      <c r="EO64" s="28">
        <f t="shared" ref="EO64" si="1976">SUM(EO63-EN63)/EN63</f>
        <v>0.17007397052827772</v>
      </c>
      <c r="EP64" s="28">
        <f t="shared" ref="EP64" si="1977">SUM(EP63-EO63)/EO63</f>
        <v>-8.1190315997039048E-2</v>
      </c>
      <c r="EQ64" s="28">
        <f t="shared" ref="EQ64" si="1978">SUM(EQ63-EP63)/EP63</f>
        <v>-2.6852639912477699E-2</v>
      </c>
      <c r="ER64" s="28">
        <f t="shared" ref="ER64" si="1979">SUM(ER63-EQ63)/EQ63</f>
        <v>2.4273030285615876E-2</v>
      </c>
      <c r="ES64" s="28">
        <f t="shared" ref="ES64" si="1980">SUM(ES63-ER63)/ER63</f>
        <v>-8.1329293694376165E-2</v>
      </c>
      <c r="ET64" s="28">
        <f t="shared" ref="ET64" si="1981">SUM(ET63-ES63)/ES63</f>
        <v>5.3251953385932652E-2</v>
      </c>
      <c r="EU64" s="28">
        <f t="shared" ref="EU64" si="1982">SUM(EU63-ET63)/ET63</f>
        <v>0.1343628140266441</v>
      </c>
      <c r="EV64" s="28">
        <f t="shared" ref="EV64" si="1983">SUM(EV63-EU63)/EU63</f>
        <v>-0.17412709619912642</v>
      </c>
      <c r="EW64" s="28">
        <f t="shared" ref="EW64" si="1984">SUM(EW63-EV63)/EV63</f>
        <v>0.22535821495992317</v>
      </c>
      <c r="EX64" s="28">
        <f t="shared" ref="EX64" si="1985">SUM(EX63-EW63)/EW63</f>
        <v>-0.21226007071599948</v>
      </c>
      <c r="EY64" s="28">
        <f t="shared" ref="EY64" si="1986">SUM(EY63-EX63)/EX63</f>
        <v>-0.18248709044602834</v>
      </c>
      <c r="EZ64" s="28">
        <f t="shared" ref="EZ64" si="1987">SUM(EZ63-EY63)/EY63</f>
        <v>0.36901409141156771</v>
      </c>
      <c r="FA64" s="28">
        <f t="shared" ref="FA64" si="1988">SUM(FA63-EZ63)/EZ63</f>
        <v>-0.14594586852249392</v>
      </c>
      <c r="FB64" s="28">
        <f t="shared" ref="FB64" si="1989">SUM(FB63-FA63)/FA63</f>
        <v>8.6938748128985693E-2</v>
      </c>
      <c r="FC64" s="28">
        <f t="shared" ref="FC64" si="1990">SUM(FC63-FB63)/FB63</f>
        <v>7.8455500159117481E-2</v>
      </c>
      <c r="FD64" s="28">
        <f t="shared" ref="FD64" si="1991">SUM(FD63-FC63)/FC63</f>
        <v>7.165352500076004E-2</v>
      </c>
      <c r="FE64" s="28">
        <f t="shared" ref="FE64" si="1992">SUM(FE63-FD63)/FD63</f>
        <v>-0.13567767915104248</v>
      </c>
      <c r="FF64" s="28">
        <f t="shared" ref="FF64" si="1993">SUM(FF63-FE63)/FE63</f>
        <v>4.6433956908985288E-2</v>
      </c>
      <c r="FG64" s="28">
        <f t="shared" ref="FG64" si="1994">SUM(FG63-FF63)/FF63</f>
        <v>-0.17249533374515932</v>
      </c>
      <c r="FH64" s="28">
        <f t="shared" ref="FH64" si="1995">SUM(FH63-FG63)/FG63</f>
        <v>0.13058320400991777</v>
      </c>
      <c r="FI64" s="28">
        <f t="shared" ref="FI64" si="1996">SUM(FI63-FH63)/FH63</f>
        <v>-4.5959692576515693E-2</v>
      </c>
      <c r="FJ64" s="28">
        <f t="shared" ref="FJ64" si="1997">SUM(FJ63-FI63)/FI63</f>
        <v>-0.1862941318741744</v>
      </c>
      <c r="FK64" s="28">
        <f t="shared" ref="FK64" si="1998">SUM(FK63-FJ63)/FJ63</f>
        <v>0.17305516305438565</v>
      </c>
      <c r="FL64" s="28">
        <f t="shared" ref="FL64" si="1999">SUM(FL63-FK63)/FK63</f>
        <v>-7.1956842353746261E-2</v>
      </c>
      <c r="FM64" s="28">
        <f t="shared" ref="FM64:GK64" si="2000">SUM(FM63-FL63)/FL63</f>
        <v>6.612247183931784E-2</v>
      </c>
      <c r="FN64" s="28">
        <f t="shared" si="2000"/>
        <v>-7.4546139062903666E-2</v>
      </c>
      <c r="FO64" s="28">
        <f t="shared" si="2000"/>
        <v>-2.2752547888959487E-2</v>
      </c>
      <c r="FP64" s="28">
        <f t="shared" si="2000"/>
        <v>3.9006615015397608E-2</v>
      </c>
      <c r="FQ64" s="28">
        <f t="shared" si="2000"/>
        <v>0.12744061234853177</v>
      </c>
      <c r="FR64" s="28">
        <f t="shared" si="2000"/>
        <v>-2.7210294044727433E-3</v>
      </c>
      <c r="FS64" s="28">
        <f t="shared" si="2000"/>
        <v>-4.8861486955422827E-2</v>
      </c>
      <c r="FT64" s="28">
        <f t="shared" si="2000"/>
        <v>-2.2478469024582559E-2</v>
      </c>
      <c r="FU64" s="28">
        <f t="shared" si="2000"/>
        <v>-4.0743249566608589E-2</v>
      </c>
      <c r="FV64" s="28">
        <f t="shared" si="2000"/>
        <v>0.19551406384654163</v>
      </c>
      <c r="FW64" s="28">
        <f t="shared" si="2000"/>
        <v>6.8853828666912725E-2</v>
      </c>
      <c r="FX64" s="28">
        <f t="shared" si="2000"/>
        <v>-0.1320597629188503</v>
      </c>
      <c r="FY64" s="28">
        <f t="shared" si="2000"/>
        <v>0.17027813848280482</v>
      </c>
      <c r="FZ64" s="28">
        <f t="shared" si="2000"/>
        <v>0.34032797564611689</v>
      </c>
      <c r="GA64" s="28">
        <f t="shared" si="2000"/>
        <v>-0.47402069371617633</v>
      </c>
      <c r="GB64" s="28">
        <f t="shared" si="2000"/>
        <v>8.4264745454637677E-2</v>
      </c>
      <c r="GC64" s="28">
        <f t="shared" si="2000"/>
        <v>-0.10940564920533605</v>
      </c>
      <c r="GD64" s="28">
        <f t="shared" si="2000"/>
        <v>0.19596038729385906</v>
      </c>
      <c r="GE64" s="28">
        <f t="shared" si="2000"/>
        <v>-3.5524693189836649E-2</v>
      </c>
      <c r="GF64" s="28">
        <f t="shared" si="2000"/>
        <v>0.25976269594905671</v>
      </c>
      <c r="GG64" s="28">
        <f t="shared" si="2000"/>
        <v>-0.12125499334221033</v>
      </c>
      <c r="GH64" s="28">
        <f t="shared" si="2000"/>
        <v>0.1238753669855099</v>
      </c>
      <c r="GI64" s="28">
        <f t="shared" si="2000"/>
        <v>-0.14726809090609325</v>
      </c>
      <c r="GJ64" s="28">
        <f t="shared" si="2000"/>
        <v>0.31601040621623189</v>
      </c>
      <c r="GK64" s="28">
        <f t="shared" si="2000"/>
        <v>-0.1416827867206667</v>
      </c>
      <c r="GL64" s="28">
        <f t="shared" ref="GL64" si="2001">(GL63-GK63)/GK63</f>
        <v>-9.6709112673436612E-2</v>
      </c>
      <c r="GM64" s="28">
        <f t="shared" ref="GM64" si="2002">(GM63-GL63)/GL63</f>
        <v>0.42371164843309139</v>
      </c>
      <c r="GN64" s="28">
        <f t="shared" ref="GN64" si="2003">(GN63-GM63)/GM63</f>
        <v>-0.1641641612034504</v>
      </c>
      <c r="GO64" s="28">
        <f t="shared" ref="GO64:GR64" si="2004">(GO63-GN63)/GN63</f>
        <v>-8.975853838491249E-2</v>
      </c>
      <c r="GP64" s="28">
        <f t="shared" si="2004"/>
        <v>8.2297119464751795E-2</v>
      </c>
      <c r="GQ64" s="28">
        <f t="shared" si="2004"/>
        <v>-1.660587186215292E-2</v>
      </c>
      <c r="GR64" s="165">
        <f t="shared" si="2004"/>
        <v>-1.4303847172378472E-2</v>
      </c>
      <c r="GS64" s="157"/>
      <c r="GT64" s="11"/>
      <c r="GU64" s="95" t="s">
        <v>368</v>
      </c>
      <c r="GV64" s="105">
        <f>LABOUR!AG38</f>
        <v>0.32807637841067305</v>
      </c>
      <c r="GW64" s="58"/>
      <c r="GX64" s="58"/>
      <c r="GY64" s="58"/>
      <c r="GZ64" s="58"/>
      <c r="HA64" s="58"/>
    </row>
    <row r="65" spans="1:209" s="2" customFormat="1" ht="15" customHeight="1" x14ac:dyDescent="0.3">
      <c r="A65" s="169"/>
      <c r="B65" s="22" t="s">
        <v>91</v>
      </c>
      <c r="C65" s="23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>
        <f t="shared" ref="DT65" si="2005">BU63</f>
        <v>0</v>
      </c>
      <c r="DU65" s="25">
        <f t="shared" ref="DU65" si="2006">BV63</f>
        <v>0</v>
      </c>
      <c r="DV65" s="25">
        <f t="shared" ref="DV65" si="2007">BW63</f>
        <v>0</v>
      </c>
      <c r="DW65" s="25">
        <f t="shared" ref="DW65" si="2008">BX63</f>
        <v>0</v>
      </c>
      <c r="DX65" s="25">
        <f t="shared" ref="DX65" si="2009">BY63</f>
        <v>0</v>
      </c>
      <c r="DY65" s="25">
        <f t="shared" ref="DY65" si="2010">BZ63</f>
        <v>0</v>
      </c>
      <c r="DZ65" s="25">
        <f t="shared" ref="DZ65" si="2011">CA63</f>
        <v>0</v>
      </c>
      <c r="EA65" s="25">
        <f t="shared" ref="EA65" si="2012">CB63</f>
        <v>0</v>
      </c>
      <c r="EB65" s="25">
        <f t="shared" ref="EB65" si="2013">CC63</f>
        <v>0</v>
      </c>
      <c r="EC65" s="25">
        <f t="shared" ref="EC65" si="2014">CD63</f>
        <v>0</v>
      </c>
      <c r="ED65" s="25">
        <f t="shared" ref="ED65:GL65" si="2015">CE63</f>
        <v>0</v>
      </c>
      <c r="EE65" s="25">
        <f t="shared" si="2015"/>
        <v>0</v>
      </c>
      <c r="EF65" s="25">
        <f t="shared" si="2015"/>
        <v>0</v>
      </c>
      <c r="EG65" s="25">
        <f t="shared" si="2015"/>
        <v>0</v>
      </c>
      <c r="EH65" s="25">
        <f t="shared" si="2015"/>
        <v>0</v>
      </c>
      <c r="EI65" s="25">
        <f t="shared" si="2015"/>
        <v>0</v>
      </c>
      <c r="EJ65" s="25">
        <f t="shared" si="2015"/>
        <v>0</v>
      </c>
      <c r="EK65" s="25">
        <f t="shared" si="2015"/>
        <v>0</v>
      </c>
      <c r="EL65" s="25">
        <f t="shared" si="2015"/>
        <v>0</v>
      </c>
      <c r="EM65" s="25">
        <f t="shared" si="2015"/>
        <v>0</v>
      </c>
      <c r="EN65" s="25">
        <f t="shared" si="2015"/>
        <v>0</v>
      </c>
      <c r="EO65" s="25">
        <f t="shared" si="2015"/>
        <v>0</v>
      </c>
      <c r="EP65" s="25">
        <f t="shared" si="2015"/>
        <v>0</v>
      </c>
      <c r="EQ65" s="25">
        <f t="shared" si="2015"/>
        <v>0</v>
      </c>
      <c r="ER65" s="25">
        <f t="shared" si="2015"/>
        <v>0</v>
      </c>
      <c r="ES65" s="25">
        <f t="shared" si="2015"/>
        <v>0</v>
      </c>
      <c r="ET65" s="25">
        <f t="shared" si="2015"/>
        <v>0</v>
      </c>
      <c r="EU65" s="25">
        <f t="shared" si="2015"/>
        <v>0</v>
      </c>
      <c r="EV65" s="25">
        <f t="shared" si="2015"/>
        <v>0</v>
      </c>
      <c r="EW65" s="25">
        <f t="shared" si="2015"/>
        <v>0</v>
      </c>
      <c r="EX65" s="25">
        <f t="shared" si="2015"/>
        <v>0</v>
      </c>
      <c r="EY65" s="25">
        <f t="shared" si="2015"/>
        <v>0</v>
      </c>
      <c r="EZ65" s="25">
        <f t="shared" si="2015"/>
        <v>0</v>
      </c>
      <c r="FA65" s="25">
        <f t="shared" si="2015"/>
        <v>0</v>
      </c>
      <c r="FB65" s="25">
        <f t="shared" si="2015"/>
        <v>0</v>
      </c>
      <c r="FC65" s="25">
        <f t="shared" si="2015"/>
        <v>0</v>
      </c>
      <c r="FD65" s="25">
        <f t="shared" si="2015"/>
        <v>0</v>
      </c>
      <c r="FE65" s="25">
        <f t="shared" si="2015"/>
        <v>0</v>
      </c>
      <c r="FF65" s="25">
        <f t="shared" si="2015"/>
        <v>0</v>
      </c>
      <c r="FG65" s="25">
        <f t="shared" si="2015"/>
        <v>0</v>
      </c>
      <c r="FH65" s="25">
        <f t="shared" si="2015"/>
        <v>0</v>
      </c>
      <c r="FI65" s="25">
        <f t="shared" si="2015"/>
        <v>0</v>
      </c>
      <c r="FJ65" s="25">
        <f t="shared" si="2015"/>
        <v>0</v>
      </c>
      <c r="FK65" s="25">
        <f t="shared" si="2015"/>
        <v>0</v>
      </c>
      <c r="FL65" s="25">
        <f t="shared" si="2015"/>
        <v>0</v>
      </c>
      <c r="FM65" s="25">
        <f t="shared" si="2015"/>
        <v>0</v>
      </c>
      <c r="FN65" s="25">
        <f t="shared" si="2015"/>
        <v>0</v>
      </c>
      <c r="FO65" s="25">
        <f t="shared" si="2015"/>
        <v>0</v>
      </c>
      <c r="FP65" s="25">
        <f t="shared" si="2015"/>
        <v>0</v>
      </c>
      <c r="FQ65" s="25">
        <f t="shared" si="2015"/>
        <v>0</v>
      </c>
      <c r="FR65" s="25">
        <f t="shared" si="2015"/>
        <v>0</v>
      </c>
      <c r="FS65" s="25">
        <f t="shared" si="2015"/>
        <v>0</v>
      </c>
      <c r="FT65" s="25">
        <f t="shared" si="2015"/>
        <v>0</v>
      </c>
      <c r="FU65" s="25">
        <f t="shared" si="2015"/>
        <v>0</v>
      </c>
      <c r="FV65" s="25">
        <f t="shared" si="2015"/>
        <v>0</v>
      </c>
      <c r="FW65" s="25">
        <f t="shared" si="2015"/>
        <v>0</v>
      </c>
      <c r="FX65" s="25">
        <f t="shared" si="2015"/>
        <v>0</v>
      </c>
      <c r="FY65" s="25">
        <f t="shared" si="2015"/>
        <v>0</v>
      </c>
      <c r="FZ65" s="25">
        <f t="shared" si="2015"/>
        <v>0</v>
      </c>
      <c r="GA65" s="25">
        <f t="shared" si="2015"/>
        <v>0</v>
      </c>
      <c r="GB65" s="25">
        <f t="shared" si="2015"/>
        <v>0</v>
      </c>
      <c r="GC65" s="25">
        <f t="shared" si="2015"/>
        <v>30466.65</v>
      </c>
      <c r="GD65" s="25">
        <f t="shared" si="2015"/>
        <v>27570.940000000002</v>
      </c>
      <c r="GE65" s="25">
        <f t="shared" si="2015"/>
        <v>31156.22</v>
      </c>
      <c r="GF65" s="25">
        <f t="shared" si="2015"/>
        <v>29999.29</v>
      </c>
      <c r="GG65" s="25">
        <f t="shared" si="2015"/>
        <v>27231.29</v>
      </c>
      <c r="GH65" s="25">
        <f t="shared" si="2015"/>
        <v>25862.9</v>
      </c>
      <c r="GI65" s="25">
        <f t="shared" si="2015"/>
        <v>26578.37</v>
      </c>
      <c r="GJ65" s="25">
        <f t="shared" si="2015"/>
        <v>30880.55</v>
      </c>
      <c r="GK65" s="25">
        <f t="shared" si="2015"/>
        <v>27363.45</v>
      </c>
      <c r="GL65" s="25">
        <f t="shared" si="2015"/>
        <v>28053.05</v>
      </c>
      <c r="GM65" s="25">
        <f t="shared" ref="GM65:GR65" si="2016">EM63</f>
        <v>28053.05</v>
      </c>
      <c r="GN65" s="25">
        <f t="shared" si="2016"/>
        <v>26611.95</v>
      </c>
      <c r="GO65" s="25">
        <f t="shared" si="2016"/>
        <v>31137.95</v>
      </c>
      <c r="GP65" s="25">
        <f t="shared" si="2016"/>
        <v>28609.85</v>
      </c>
      <c r="GQ65" s="25">
        <f t="shared" si="2016"/>
        <v>27841.599999999999</v>
      </c>
      <c r="GR65" s="110">
        <f t="shared" si="2016"/>
        <v>28517.4</v>
      </c>
      <c r="GS65" s="157"/>
      <c r="GT65" s="3" t="s">
        <v>91</v>
      </c>
      <c r="GU65" s="3"/>
      <c r="GV65" s="3"/>
      <c r="GW65" s="58"/>
      <c r="GX65" s="58"/>
      <c r="GY65" s="58"/>
      <c r="GZ65" s="58"/>
      <c r="HA65" s="58"/>
    </row>
    <row r="66" spans="1:209" s="2" customFormat="1" ht="15" customHeight="1" x14ac:dyDescent="0.3">
      <c r="A66" s="169"/>
      <c r="B66" s="38" t="s">
        <v>92</v>
      </c>
      <c r="C66" s="3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  <c r="FI66" s="28"/>
      <c r="FJ66" s="28"/>
      <c r="FK66" s="28"/>
      <c r="FL66" s="28"/>
      <c r="FM66" s="28"/>
      <c r="FN66" s="28"/>
      <c r="FO66" s="28"/>
      <c r="FP66" s="28"/>
      <c r="FQ66" s="28"/>
      <c r="FR66" s="28"/>
      <c r="FS66" s="28"/>
      <c r="FT66" s="28"/>
      <c r="FU66" s="28"/>
      <c r="FV66" s="28"/>
      <c r="FW66" s="28"/>
      <c r="FX66" s="28"/>
      <c r="FY66" s="28"/>
      <c r="FZ66" s="28"/>
      <c r="GA66" s="28"/>
      <c r="GB66" s="28"/>
      <c r="GC66" s="28">
        <f t="shared" ref="GC66:GE66" si="2017">(GC63-GC65)/GC65</f>
        <v>-0.37573871758135535</v>
      </c>
      <c r="GD66" s="28">
        <f t="shared" si="2017"/>
        <v>-0.17499548437594079</v>
      </c>
      <c r="GE66" s="28">
        <f t="shared" si="2017"/>
        <v>-0.2958677272146622</v>
      </c>
      <c r="GF66" s="28">
        <f t="shared" ref="GF66:GG66" si="2018">(GF63-GF65)/GF65</f>
        <v>-7.8751530452887436E-2</v>
      </c>
      <c r="GG66" s="28">
        <f t="shared" si="2018"/>
        <v>-0.10816931551902242</v>
      </c>
      <c r="GH66" s="28">
        <f t="shared" ref="GH66:GI66" si="2019">(GH63-GH65)/GH65</f>
        <v>5.5337955140374706E-2</v>
      </c>
      <c r="GI66" s="28">
        <f t="shared" si="2019"/>
        <v>-0.12430483885956889</v>
      </c>
      <c r="GJ66" s="28">
        <f t="shared" ref="GJ66:GK66" si="2020">(GJ63-GJ65)/GJ65</f>
        <v>-8.1280935734629085E-3</v>
      </c>
      <c r="GK66" s="28">
        <f t="shared" si="2020"/>
        <v>-3.9234087806910241E-2</v>
      </c>
      <c r="GL66" s="28">
        <f t="shared" ref="GL66:GN66" si="2021">(GL63-GL65)/GL65</f>
        <v>-0.15348241991512501</v>
      </c>
      <c r="GM66" s="28">
        <f t="shared" ref="GM66" si="2022">(GM63-GM65)/GM65</f>
        <v>0.20519693937022884</v>
      </c>
      <c r="GN66" s="28">
        <f t="shared" si="2021"/>
        <v>6.1897004916964024E-2</v>
      </c>
      <c r="GO66" s="28">
        <f t="shared" ref="GO66:GP66" si="2023">(GO63-GO65)/GO65</f>
        <v>-0.17391318310935688</v>
      </c>
      <c r="GP66" s="28">
        <f t="shared" si="2023"/>
        <v>-2.6924293556240222E-2</v>
      </c>
      <c r="GQ66" s="28">
        <f t="shared" ref="GQ66:GR66" si="2024">(GQ63-GQ65)/GQ65</f>
        <v>-1.667827998390892E-2</v>
      </c>
      <c r="GR66" s="109">
        <f t="shared" si="2024"/>
        <v>-5.3712820944405867E-2</v>
      </c>
      <c r="GS66" s="157"/>
      <c r="GT66" s="2" t="s">
        <v>94</v>
      </c>
      <c r="GW66" s="58"/>
      <c r="GX66" s="58"/>
      <c r="GY66" s="58"/>
      <c r="GZ66" s="58"/>
      <c r="HA66" s="58"/>
    </row>
    <row r="67" spans="1:209" s="2" customFormat="1" ht="7.5" customHeight="1" x14ac:dyDescent="0.3">
      <c r="A67" s="8"/>
      <c r="B67" s="29"/>
      <c r="C67" s="30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111"/>
      <c r="GS67" s="156"/>
      <c r="GT67" s="9"/>
      <c r="GU67" s="9"/>
      <c r="GV67" s="9"/>
    </row>
    <row r="68" spans="1:209" s="2" customFormat="1" ht="15" customHeight="1" x14ac:dyDescent="0.3">
      <c r="A68" s="168" t="s">
        <v>363</v>
      </c>
      <c r="B68" s="33" t="str">
        <f>A68</f>
        <v>FLEUR DE LYS</v>
      </c>
      <c r="C68" s="17" t="s">
        <v>23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>
        <v>8057.51</v>
      </c>
      <c r="FH68" s="17">
        <v>9771.2800000000007</v>
      </c>
      <c r="FI68" s="17">
        <f>5585.54*1.2</f>
        <v>6702.6480000000001</v>
      </c>
      <c r="FJ68" s="82">
        <f>6387.21*1.2</f>
        <v>7664.652</v>
      </c>
      <c r="FK68" s="82">
        <f>1.2*6177.04</f>
        <v>7412.4479999999994</v>
      </c>
      <c r="FL68" s="82">
        <f>6065.42*1.2</f>
        <v>7278.5039999999999</v>
      </c>
      <c r="FM68" s="82">
        <f>7045.43*1.2</f>
        <v>8454.5159999999996</v>
      </c>
      <c r="FN68" s="82">
        <v>8787.1</v>
      </c>
      <c r="FO68" s="82">
        <v>9151.5499999999993</v>
      </c>
      <c r="FP68" s="82">
        <v>9201.6</v>
      </c>
      <c r="FQ68" s="82">
        <v>9487.5</v>
      </c>
      <c r="FR68" s="82">
        <v>8196.9</v>
      </c>
      <c r="FS68" s="82">
        <v>7947.35</v>
      </c>
      <c r="FT68" s="82">
        <v>7380.3</v>
      </c>
      <c r="FU68" s="82">
        <f>1.2*6997.5</f>
        <v>8397</v>
      </c>
      <c r="FV68" s="82">
        <v>8101.25</v>
      </c>
      <c r="FW68" s="82">
        <f>7510.2-257.5</f>
        <v>7252.7</v>
      </c>
      <c r="FX68" s="82">
        <v>9301.7000000000007</v>
      </c>
      <c r="FY68" s="82">
        <v>8262.35</v>
      </c>
      <c r="FZ68" s="82">
        <v>12925</v>
      </c>
      <c r="GA68" s="82">
        <v>6628.65</v>
      </c>
      <c r="GB68" s="82">
        <v>8069.2</v>
      </c>
      <c r="GC68" s="82">
        <v>8478.9500000000007</v>
      </c>
      <c r="GD68" s="82">
        <v>8637.4</v>
      </c>
      <c r="GE68" s="82">
        <v>8651.6</v>
      </c>
      <c r="GF68" s="82">
        <v>9056.9500000000007</v>
      </c>
      <c r="GG68" s="82">
        <v>9431.9500000000007</v>
      </c>
      <c r="GH68" s="82">
        <v>8884.75</v>
      </c>
      <c r="GI68" s="82">
        <v>9151.2999999999993</v>
      </c>
      <c r="GJ68" s="17">
        <v>9568</v>
      </c>
      <c r="GK68" s="17">
        <v>9134.25</v>
      </c>
      <c r="GL68" s="17">
        <v>8397</v>
      </c>
      <c r="GM68" s="17">
        <v>10282.5</v>
      </c>
      <c r="GN68" s="17">
        <v>10815.85</v>
      </c>
      <c r="GO68" s="17">
        <v>9158.2000000000007</v>
      </c>
      <c r="GP68" s="82">
        <v>7927.75</v>
      </c>
      <c r="GQ68" s="82">
        <v>7952.4</v>
      </c>
      <c r="GR68" s="112">
        <v>6680.25</v>
      </c>
      <c r="GS68" s="153">
        <f>EJ68</f>
        <v>0</v>
      </c>
      <c r="GT68" s="84" t="s">
        <v>23</v>
      </c>
      <c r="GU68" s="92" t="s">
        <v>369</v>
      </c>
      <c r="GV68" s="93"/>
      <c r="GW68" s="58"/>
      <c r="GX68" s="58"/>
      <c r="GY68" s="58"/>
      <c r="GZ68" s="58"/>
      <c r="HA68" s="58"/>
    </row>
    <row r="69" spans="1:209" s="2" customFormat="1" ht="15" customHeight="1" x14ac:dyDescent="0.3">
      <c r="A69" s="169"/>
      <c r="B69" s="34"/>
      <c r="C69" s="17" t="s">
        <v>24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>
        <v>7024.5</v>
      </c>
      <c r="FH69" s="17">
        <v>11715.5</v>
      </c>
      <c r="FI69" s="17">
        <f>8408.29*1.2</f>
        <v>10089.948</v>
      </c>
      <c r="FJ69" s="82">
        <f>7595*1.2</f>
        <v>9114</v>
      </c>
      <c r="FK69" s="82">
        <f>1.2*7995</f>
        <v>9594</v>
      </c>
      <c r="FL69" s="82">
        <f>8329.17*1.2</f>
        <v>9995.003999999999</v>
      </c>
      <c r="FM69" s="82">
        <f>9502.61*1.2</f>
        <v>11403.132</v>
      </c>
      <c r="FN69" s="82">
        <v>11350.25</v>
      </c>
      <c r="FO69" s="82">
        <v>11622.5</v>
      </c>
      <c r="FP69" s="82">
        <v>10088.5</v>
      </c>
      <c r="FQ69" s="82">
        <v>13289.25</v>
      </c>
      <c r="FR69" s="82">
        <v>12094.75</v>
      </c>
      <c r="FS69" s="82">
        <v>12542.5</v>
      </c>
      <c r="FT69" s="82">
        <v>12709</v>
      </c>
      <c r="FU69" s="82">
        <f>1.2*10012.5</f>
        <v>12015</v>
      </c>
      <c r="FV69" s="82">
        <v>11582.5</v>
      </c>
      <c r="FW69" s="82">
        <f>11641+257.5</f>
        <v>11898.5</v>
      </c>
      <c r="FX69" s="82">
        <v>14297.5</v>
      </c>
      <c r="FY69" s="82">
        <v>11987.75</v>
      </c>
      <c r="FZ69" s="82">
        <v>18977.75</v>
      </c>
      <c r="GA69" s="82">
        <v>10872.01</v>
      </c>
      <c r="GB69" s="82">
        <v>12851</v>
      </c>
      <c r="GC69" s="82">
        <v>12913</v>
      </c>
      <c r="GD69" s="82">
        <v>10682.5</v>
      </c>
      <c r="GE69" s="82">
        <v>10587</v>
      </c>
      <c r="GF69" s="82">
        <v>12226.5</v>
      </c>
      <c r="GG69" s="82">
        <v>14241.6</v>
      </c>
      <c r="GH69" s="82">
        <v>10843.5</v>
      </c>
      <c r="GI69" s="82">
        <v>11478.5</v>
      </c>
      <c r="GJ69" s="17">
        <v>15143</v>
      </c>
      <c r="GK69" s="17">
        <v>12325.15</v>
      </c>
      <c r="GL69" s="17">
        <v>12155.5</v>
      </c>
      <c r="GM69" s="17">
        <v>15377.75</v>
      </c>
      <c r="GN69" s="17">
        <v>16004.75</v>
      </c>
      <c r="GO69" s="17">
        <v>12699.25</v>
      </c>
      <c r="GP69" s="82">
        <v>11064.95</v>
      </c>
      <c r="GQ69" s="82">
        <v>12058.5</v>
      </c>
      <c r="GR69" s="112">
        <v>10936</v>
      </c>
      <c r="GS69" s="153">
        <f>EJ69</f>
        <v>0</v>
      </c>
      <c r="GT69" s="5" t="s">
        <v>24</v>
      </c>
      <c r="GU69" s="94" t="s">
        <v>367</v>
      </c>
      <c r="GV69" s="104">
        <f>DRY!AG17</f>
        <v>0.63488880760790056</v>
      </c>
      <c r="GW69" s="55"/>
      <c r="GX69" s="55"/>
      <c r="GY69" s="55"/>
      <c r="GZ69" s="55"/>
      <c r="HA69" s="55"/>
    </row>
    <row r="70" spans="1:209" s="2" customFormat="1" ht="15" customHeight="1" x14ac:dyDescent="0.3">
      <c r="A70" s="169"/>
      <c r="B70" s="19" t="s">
        <v>21</v>
      </c>
      <c r="C70" s="20"/>
      <c r="D70" s="20">
        <f>SUM(D68:D69)</f>
        <v>0</v>
      </c>
      <c r="E70" s="20">
        <f t="shared" ref="E70:M70" si="2025">SUM(E68:E69)</f>
        <v>0</v>
      </c>
      <c r="F70" s="20">
        <f t="shared" si="2025"/>
        <v>0</v>
      </c>
      <c r="G70" s="20">
        <f t="shared" si="2025"/>
        <v>0</v>
      </c>
      <c r="H70" s="20">
        <f t="shared" si="2025"/>
        <v>0</v>
      </c>
      <c r="I70" s="20">
        <f t="shared" si="2025"/>
        <v>0</v>
      </c>
      <c r="J70" s="20">
        <f t="shared" si="2025"/>
        <v>0</v>
      </c>
      <c r="K70" s="20">
        <f t="shared" si="2025"/>
        <v>0</v>
      </c>
      <c r="L70" s="20">
        <f t="shared" si="2025"/>
        <v>0</v>
      </c>
      <c r="M70" s="20">
        <f t="shared" si="2025"/>
        <v>0</v>
      </c>
      <c r="N70" s="20">
        <f t="shared" ref="N70:AA70" si="2026">SUM(N68:N69)</f>
        <v>0</v>
      </c>
      <c r="O70" s="20">
        <f t="shared" si="2026"/>
        <v>0</v>
      </c>
      <c r="P70" s="20">
        <f t="shared" si="2026"/>
        <v>0</v>
      </c>
      <c r="Q70" s="20">
        <f t="shared" si="2026"/>
        <v>0</v>
      </c>
      <c r="R70" s="20">
        <f t="shared" si="2026"/>
        <v>0</v>
      </c>
      <c r="S70" s="20">
        <f t="shared" si="2026"/>
        <v>0</v>
      </c>
      <c r="T70" s="20">
        <f t="shared" si="2026"/>
        <v>0</v>
      </c>
      <c r="U70" s="20">
        <f t="shared" si="2026"/>
        <v>0</v>
      </c>
      <c r="V70" s="20">
        <f t="shared" si="2026"/>
        <v>0</v>
      </c>
      <c r="W70" s="20">
        <f t="shared" si="2026"/>
        <v>0</v>
      </c>
      <c r="X70" s="20">
        <f t="shared" si="2026"/>
        <v>0</v>
      </c>
      <c r="Y70" s="20">
        <f t="shared" si="2026"/>
        <v>0</v>
      </c>
      <c r="Z70" s="20">
        <f t="shared" si="2026"/>
        <v>0</v>
      </c>
      <c r="AA70" s="20">
        <f t="shared" si="2026"/>
        <v>0</v>
      </c>
      <c r="AB70" s="20">
        <f t="shared" ref="AB70:AO70" si="2027">SUM(AB68:AB69)</f>
        <v>0</v>
      </c>
      <c r="AC70" s="20">
        <f t="shared" si="2027"/>
        <v>0</v>
      </c>
      <c r="AD70" s="20">
        <f t="shared" si="2027"/>
        <v>0</v>
      </c>
      <c r="AE70" s="20">
        <f t="shared" si="2027"/>
        <v>0</v>
      </c>
      <c r="AF70" s="20">
        <f t="shared" si="2027"/>
        <v>0</v>
      </c>
      <c r="AG70" s="20">
        <f t="shared" si="2027"/>
        <v>0</v>
      </c>
      <c r="AH70" s="20">
        <f t="shared" si="2027"/>
        <v>0</v>
      </c>
      <c r="AI70" s="20">
        <f t="shared" si="2027"/>
        <v>0</v>
      </c>
      <c r="AJ70" s="20">
        <f t="shared" si="2027"/>
        <v>0</v>
      </c>
      <c r="AK70" s="20">
        <f t="shared" si="2027"/>
        <v>0</v>
      </c>
      <c r="AL70" s="20">
        <f t="shared" si="2027"/>
        <v>0</v>
      </c>
      <c r="AM70" s="20">
        <f t="shared" si="2027"/>
        <v>0</v>
      </c>
      <c r="AN70" s="20">
        <f t="shared" si="2027"/>
        <v>0</v>
      </c>
      <c r="AO70" s="20">
        <f t="shared" si="2027"/>
        <v>0</v>
      </c>
      <c r="AP70" s="20">
        <f t="shared" ref="AP70:BC70" si="2028">SUM(AP68:AP69)</f>
        <v>0</v>
      </c>
      <c r="AQ70" s="20">
        <f t="shared" si="2028"/>
        <v>0</v>
      </c>
      <c r="AR70" s="20">
        <f t="shared" si="2028"/>
        <v>0</v>
      </c>
      <c r="AS70" s="20">
        <f t="shared" si="2028"/>
        <v>0</v>
      </c>
      <c r="AT70" s="20">
        <f t="shared" si="2028"/>
        <v>0</v>
      </c>
      <c r="AU70" s="20">
        <f t="shared" si="2028"/>
        <v>0</v>
      </c>
      <c r="AV70" s="20">
        <f t="shared" si="2028"/>
        <v>0</v>
      </c>
      <c r="AW70" s="20">
        <f t="shared" si="2028"/>
        <v>0</v>
      </c>
      <c r="AX70" s="20">
        <f t="shared" si="2028"/>
        <v>0</v>
      </c>
      <c r="AY70" s="20">
        <f t="shared" si="2028"/>
        <v>0</v>
      </c>
      <c r="AZ70" s="20">
        <f t="shared" si="2028"/>
        <v>0</v>
      </c>
      <c r="BA70" s="20">
        <f t="shared" si="2028"/>
        <v>0</v>
      </c>
      <c r="BB70" s="20">
        <f t="shared" si="2028"/>
        <v>0</v>
      </c>
      <c r="BC70" s="20">
        <f t="shared" si="2028"/>
        <v>0</v>
      </c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>
        <f t="shared" ref="FG70:FH70" si="2029">SUM(FG68:FG69)</f>
        <v>15082.01</v>
      </c>
      <c r="FH70" s="20">
        <f t="shared" si="2029"/>
        <v>21486.78</v>
      </c>
      <c r="FI70" s="20">
        <f t="shared" ref="FI70:FJ70" si="2030">SUM(FI68:FI69)</f>
        <v>16792.596000000001</v>
      </c>
      <c r="FJ70" s="20">
        <f t="shared" si="2030"/>
        <v>16778.652000000002</v>
      </c>
      <c r="FK70" s="20">
        <f t="shared" ref="FK70:FL70" si="2031">SUM(FK68:FK69)</f>
        <v>17006.448</v>
      </c>
      <c r="FL70" s="20">
        <f t="shared" si="2031"/>
        <v>17273.507999999998</v>
      </c>
      <c r="FM70" s="20">
        <f t="shared" ref="FM70:FN70" si="2032">SUM(FM68:FM69)</f>
        <v>19857.648000000001</v>
      </c>
      <c r="FN70" s="20">
        <f t="shared" si="2032"/>
        <v>20137.349999999999</v>
      </c>
      <c r="FO70" s="20">
        <f t="shared" ref="FO70:FP70" si="2033">SUM(FO68:FO69)</f>
        <v>20774.05</v>
      </c>
      <c r="FP70" s="20">
        <f t="shared" si="2033"/>
        <v>19290.099999999999</v>
      </c>
      <c r="FQ70" s="20">
        <f t="shared" ref="FQ70:FR70" si="2034">SUM(FQ68:FQ69)</f>
        <v>22776.75</v>
      </c>
      <c r="FR70" s="20">
        <f t="shared" si="2034"/>
        <v>20291.650000000001</v>
      </c>
      <c r="FS70" s="20">
        <f t="shared" ref="FS70:FT70" si="2035">SUM(FS68:FS69)</f>
        <v>20489.849999999999</v>
      </c>
      <c r="FT70" s="20">
        <f t="shared" si="2035"/>
        <v>20089.3</v>
      </c>
      <c r="FU70" s="20">
        <f t="shared" ref="FU70:FV70" si="2036">SUM(FU68:FU69)</f>
        <v>20412</v>
      </c>
      <c r="FV70" s="20">
        <f t="shared" si="2036"/>
        <v>19683.75</v>
      </c>
      <c r="FW70" s="20">
        <f t="shared" ref="FW70:FX70" si="2037">SUM(FW68:FW69)</f>
        <v>19151.2</v>
      </c>
      <c r="FX70" s="20">
        <f t="shared" si="2037"/>
        <v>23599.200000000001</v>
      </c>
      <c r="FY70" s="20">
        <f t="shared" ref="FY70:FZ70" si="2038">SUM(FY68:FY69)</f>
        <v>20250.099999999999</v>
      </c>
      <c r="FZ70" s="20">
        <f t="shared" si="2038"/>
        <v>31902.75</v>
      </c>
      <c r="GA70" s="20">
        <f t="shared" ref="GA70:GB70" si="2039">SUM(GA68:GA69)</f>
        <v>17500.66</v>
      </c>
      <c r="GB70" s="20">
        <f t="shared" si="2039"/>
        <v>20920.2</v>
      </c>
      <c r="GC70" s="20">
        <f t="shared" ref="GC70:GD70" si="2040">SUM(GC68:GC69)</f>
        <v>21391.95</v>
      </c>
      <c r="GD70" s="20">
        <f t="shared" si="2040"/>
        <v>19319.900000000001</v>
      </c>
      <c r="GE70" s="20">
        <f t="shared" ref="GE70:GF70" si="2041">SUM(GE68:GE69)</f>
        <v>19238.599999999999</v>
      </c>
      <c r="GF70" s="20">
        <f t="shared" si="2041"/>
        <v>21283.45</v>
      </c>
      <c r="GG70" s="20">
        <f t="shared" ref="GG70:GH70" si="2042">SUM(GG68:GG69)</f>
        <v>23673.550000000003</v>
      </c>
      <c r="GH70" s="20">
        <f t="shared" si="2042"/>
        <v>19728.25</v>
      </c>
      <c r="GI70" s="20">
        <f t="shared" ref="GI70:GJ70" si="2043">SUM(GI68:GI69)</f>
        <v>20629.8</v>
      </c>
      <c r="GJ70" s="20">
        <f t="shared" si="2043"/>
        <v>24711</v>
      </c>
      <c r="GK70" s="20">
        <f t="shared" ref="GK70:GL70" si="2044">SUM(GK68:GK69)</f>
        <v>21459.4</v>
      </c>
      <c r="GL70" s="20">
        <f t="shared" si="2044"/>
        <v>20552.5</v>
      </c>
      <c r="GM70" s="20">
        <f t="shared" ref="GM70:GN70" si="2045">SUM(GM68:GM69)</f>
        <v>25660.25</v>
      </c>
      <c r="GN70" s="20">
        <f t="shared" si="2045"/>
        <v>26820.6</v>
      </c>
      <c r="GO70" s="20">
        <f t="shared" ref="GO70:GP70" si="2046">SUM(GO68:GO69)</f>
        <v>21857.45</v>
      </c>
      <c r="GP70" s="20">
        <f t="shared" si="2046"/>
        <v>18992.7</v>
      </c>
      <c r="GQ70" s="20">
        <f t="shared" ref="GQ70:GR70" si="2047">SUM(GQ68:GQ69)</f>
        <v>20010.900000000001</v>
      </c>
      <c r="GR70" s="108">
        <f t="shared" si="2047"/>
        <v>17616.25</v>
      </c>
      <c r="GS70" s="154">
        <f t="shared" ref="GS70" si="2048">SUM(GS68+GS69)</f>
        <v>0</v>
      </c>
      <c r="GT70" s="10" t="str">
        <f>B68</f>
        <v>FLEUR DE LYS</v>
      </c>
      <c r="GU70" s="139" t="s">
        <v>398</v>
      </c>
      <c r="GV70" s="140">
        <f>DRY!AH17</f>
        <v>0.65955638193885135</v>
      </c>
      <c r="GW70" s="56">
        <f>AVERAGE(ES70:GR70)</f>
        <v>20644.555315789472</v>
      </c>
      <c r="GX70" s="56">
        <f>AVERAGE(FS70:GR70)</f>
        <v>21420.983076923079</v>
      </c>
      <c r="GY70" s="56">
        <f>AVERAGE(GF70:GR70)</f>
        <v>21768.93076923077</v>
      </c>
      <c r="GZ70" s="56">
        <f>AVERAGE(GN70:GR70)</f>
        <v>21059.579999999998</v>
      </c>
      <c r="HA70" s="56">
        <f>MAX(D70:GR70)</f>
        <v>31902.75</v>
      </c>
    </row>
    <row r="71" spans="1:209" s="2" customFormat="1" ht="15" customHeight="1" x14ac:dyDescent="0.3">
      <c r="A71" s="169"/>
      <c r="B71" s="35" t="s">
        <v>365</v>
      </c>
      <c r="C71" s="21"/>
      <c r="D71" s="21"/>
      <c r="E71" s="21">
        <f>SUM(E70-D70)</f>
        <v>0</v>
      </c>
      <c r="F71" s="21">
        <f t="shared" ref="F71" si="2049">SUM(F70-E70)</f>
        <v>0</v>
      </c>
      <c r="G71" s="21">
        <f t="shared" ref="G71" si="2050">SUM(G70-F70)</f>
        <v>0</v>
      </c>
      <c r="H71" s="21">
        <f t="shared" ref="H71" si="2051">SUM(H70-G70)</f>
        <v>0</v>
      </c>
      <c r="I71" s="21">
        <f t="shared" ref="I71" si="2052">SUM(I70-H70)</f>
        <v>0</v>
      </c>
      <c r="J71" s="21">
        <f t="shared" ref="J71" si="2053">SUM(J70-I70)</f>
        <v>0</v>
      </c>
      <c r="K71" s="21">
        <f t="shared" ref="K71" si="2054">SUM(K70-J70)</f>
        <v>0</v>
      </c>
      <c r="L71" s="21">
        <f t="shared" ref="L71" si="2055">SUM(L70-K70)</f>
        <v>0</v>
      </c>
      <c r="M71" s="21">
        <f t="shared" ref="M71" si="2056">SUM(M70-L70)</f>
        <v>0</v>
      </c>
      <c r="N71" s="21">
        <f t="shared" ref="N71" si="2057">SUM(N70-M70)</f>
        <v>0</v>
      </c>
      <c r="O71" s="21">
        <f t="shared" ref="O71" si="2058">SUM(O70-N70)</f>
        <v>0</v>
      </c>
      <c r="P71" s="21">
        <f t="shared" ref="P71" si="2059">SUM(P70-O70)</f>
        <v>0</v>
      </c>
      <c r="Q71" s="21">
        <f t="shared" ref="Q71" si="2060">SUM(Q70-P70)</f>
        <v>0</v>
      </c>
      <c r="R71" s="21">
        <f t="shared" ref="R71" si="2061">SUM(R70-Q70)</f>
        <v>0</v>
      </c>
      <c r="S71" s="21">
        <f t="shared" ref="S71" si="2062">SUM(S70-R70)</f>
        <v>0</v>
      </c>
      <c r="T71" s="21">
        <f t="shared" ref="T71" si="2063">SUM(T70-S70)</f>
        <v>0</v>
      </c>
      <c r="U71" s="21">
        <f t="shared" ref="U71" si="2064">SUM(U70-T70)</f>
        <v>0</v>
      </c>
      <c r="V71" s="21">
        <f t="shared" ref="V71" si="2065">SUM(V70-U70)</f>
        <v>0</v>
      </c>
      <c r="W71" s="21">
        <f t="shared" ref="W71" si="2066">SUM(W70-V70)</f>
        <v>0</v>
      </c>
      <c r="X71" s="21">
        <f t="shared" ref="X71" si="2067">SUM(X70-W70)</f>
        <v>0</v>
      </c>
      <c r="Y71" s="21">
        <f t="shared" ref="Y71" si="2068">SUM(Y70-X70)</f>
        <v>0</v>
      </c>
      <c r="Z71" s="21">
        <f t="shared" ref="Z71" si="2069">SUM(Z70-Y70)</f>
        <v>0</v>
      </c>
      <c r="AA71" s="21">
        <f t="shared" ref="AA71" si="2070">SUM(AA70-Z70)</f>
        <v>0</v>
      </c>
      <c r="AB71" s="21">
        <f t="shared" ref="AB71" si="2071">SUM(AB70-AA70)</f>
        <v>0</v>
      </c>
      <c r="AC71" s="21">
        <f t="shared" ref="AC71" si="2072">SUM(AC70-AB70)</f>
        <v>0</v>
      </c>
      <c r="AD71" s="21">
        <f t="shared" ref="AD71" si="2073">SUM(AD70-AC70)</f>
        <v>0</v>
      </c>
      <c r="AE71" s="21">
        <f t="shared" ref="AE71" si="2074">SUM(AE70-AD70)</f>
        <v>0</v>
      </c>
      <c r="AF71" s="21">
        <f t="shared" ref="AF71" si="2075">SUM(AF70-AE70)</f>
        <v>0</v>
      </c>
      <c r="AG71" s="21">
        <f t="shared" ref="AG71" si="2076">SUM(AG70-AF70)</f>
        <v>0</v>
      </c>
      <c r="AH71" s="21">
        <f t="shared" ref="AH71" si="2077">SUM(AH70-AG70)</f>
        <v>0</v>
      </c>
      <c r="AI71" s="21">
        <f t="shared" ref="AI71" si="2078">SUM(AI70-AH70)</f>
        <v>0</v>
      </c>
      <c r="AJ71" s="21">
        <f t="shared" ref="AJ71" si="2079">SUM(AJ70-AI70)</f>
        <v>0</v>
      </c>
      <c r="AK71" s="21">
        <f t="shared" ref="AK71" si="2080">SUM(AK70-AJ70)</f>
        <v>0</v>
      </c>
      <c r="AL71" s="21">
        <f t="shared" ref="AL71" si="2081">SUM(AL70-AK70)</f>
        <v>0</v>
      </c>
      <c r="AM71" s="21">
        <f t="shared" ref="AM71" si="2082">SUM(AM70-AL70)</f>
        <v>0</v>
      </c>
      <c r="AN71" s="21">
        <f t="shared" ref="AN71" si="2083">SUM(AN70-AM70)</f>
        <v>0</v>
      </c>
      <c r="AO71" s="21">
        <f t="shared" ref="AO71" si="2084">SUM(AO70-AN70)</f>
        <v>0</v>
      </c>
      <c r="AP71" s="21">
        <f t="shared" ref="AP71" si="2085">SUM(AP70-AO70)</f>
        <v>0</v>
      </c>
      <c r="AQ71" s="21">
        <f t="shared" ref="AQ71" si="2086">SUM(AQ70-AP70)</f>
        <v>0</v>
      </c>
      <c r="AR71" s="21">
        <f t="shared" ref="AR71" si="2087">SUM(AR70-AQ70)</f>
        <v>0</v>
      </c>
      <c r="AS71" s="21">
        <f t="shared" ref="AS71" si="2088">SUM(AS70-AR70)</f>
        <v>0</v>
      </c>
      <c r="AT71" s="21">
        <f t="shared" ref="AT71" si="2089">SUM(AT70-AS70)</f>
        <v>0</v>
      </c>
      <c r="AU71" s="21">
        <f t="shared" ref="AU71" si="2090">SUM(AU70-AT70)</f>
        <v>0</v>
      </c>
      <c r="AV71" s="21">
        <f t="shared" ref="AV71" si="2091">SUM(AV70-AU70)</f>
        <v>0</v>
      </c>
      <c r="AW71" s="21">
        <f t="shared" ref="AW71" si="2092">SUM(AW70-AV70)</f>
        <v>0</v>
      </c>
      <c r="AX71" s="21">
        <f t="shared" ref="AX71" si="2093">SUM(AX70-AW70)</f>
        <v>0</v>
      </c>
      <c r="AY71" s="21">
        <f t="shared" ref="AY71" si="2094">SUM(AY70-AX70)</f>
        <v>0</v>
      </c>
      <c r="AZ71" s="21">
        <f t="shared" ref="AZ71" si="2095">SUM(AZ70-AY70)</f>
        <v>0</v>
      </c>
      <c r="BA71" s="21">
        <f t="shared" ref="BA71" si="2096">SUM(BA70-AZ70)</f>
        <v>0</v>
      </c>
      <c r="BB71" s="21">
        <f>SUM(BB70-BA70)</f>
        <v>0</v>
      </c>
      <c r="BC71" s="21">
        <f t="shared" ref="BC71" si="2097">SUM(BC70-BB70)</f>
        <v>0</v>
      </c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>
        <f t="shared" ref="FH71" si="2098">SUM(FH70-FG70)/FG70</f>
        <v>0.42466289307592281</v>
      </c>
      <c r="FI71" s="28">
        <f t="shared" ref="FI71" si="2099">SUM(FI70-FH70)/FH70</f>
        <v>-0.21846847224200172</v>
      </c>
      <c r="FJ71" s="28">
        <f t="shared" ref="FJ71" si="2100">SUM(FJ70-FI70)/FI70</f>
        <v>-8.3036595413832999E-4</v>
      </c>
      <c r="FK71" s="28">
        <f t="shared" ref="FK71" si="2101">SUM(FK70-FJ70)/FJ70</f>
        <v>1.3576537614583009E-2</v>
      </c>
      <c r="FL71" s="28">
        <f t="shared" ref="FL71" si="2102">SUM(FL70-FK70)/FK70</f>
        <v>1.5703455536394059E-2</v>
      </c>
      <c r="FM71" s="28">
        <f t="shared" ref="FM71:GK71" si="2103">SUM(FM70-FL70)/FL70</f>
        <v>0.14960134328244173</v>
      </c>
      <c r="FN71" s="28">
        <f t="shared" si="2103"/>
        <v>1.408535391502546E-2</v>
      </c>
      <c r="FO71" s="28">
        <f t="shared" si="2103"/>
        <v>3.1617864316804384E-2</v>
      </c>
      <c r="FP71" s="28">
        <f t="shared" si="2103"/>
        <v>-7.1432869373088098E-2</v>
      </c>
      <c r="FQ71" s="28">
        <f t="shared" si="2103"/>
        <v>0.18074815578975753</v>
      </c>
      <c r="FR71" s="28">
        <f t="shared" si="2103"/>
        <v>-0.10910687433457357</v>
      </c>
      <c r="FS71" s="28">
        <f t="shared" si="2103"/>
        <v>9.7675644908125792E-3</v>
      </c>
      <c r="FT71" s="28">
        <f t="shared" si="2103"/>
        <v>-1.9548703382406378E-2</v>
      </c>
      <c r="FU71" s="28">
        <f t="shared" si="2103"/>
        <v>1.6063277466113839E-2</v>
      </c>
      <c r="FV71" s="28">
        <f t="shared" si="2103"/>
        <v>-3.5677542621987066E-2</v>
      </c>
      <c r="FW71" s="28">
        <f t="shared" si="2103"/>
        <v>-2.7055312122944018E-2</v>
      </c>
      <c r="FX71" s="28">
        <f t="shared" si="2103"/>
        <v>0.23225698650737289</v>
      </c>
      <c r="FY71" s="28">
        <f t="shared" si="2103"/>
        <v>-0.14191582765517485</v>
      </c>
      <c r="FZ71" s="28">
        <f t="shared" si="2103"/>
        <v>0.57543666451029885</v>
      </c>
      <c r="GA71" s="28">
        <f t="shared" si="2103"/>
        <v>-0.4514372585435425</v>
      </c>
      <c r="GB71" s="28">
        <f t="shared" si="2103"/>
        <v>0.19539491653457647</v>
      </c>
      <c r="GC71" s="28">
        <f t="shared" si="2103"/>
        <v>2.2549975621647976E-2</v>
      </c>
      <c r="GD71" s="28">
        <f t="shared" si="2103"/>
        <v>-9.6861202461673623E-2</v>
      </c>
      <c r="GE71" s="28">
        <f t="shared" si="2103"/>
        <v>-4.2080963151984695E-3</v>
      </c>
      <c r="GF71" s="28">
        <f t="shared" si="2103"/>
        <v>0.10628891915212138</v>
      </c>
      <c r="GG71" s="28">
        <f t="shared" si="2103"/>
        <v>0.11229852303080573</v>
      </c>
      <c r="GH71" s="28">
        <f t="shared" si="2103"/>
        <v>-0.16665434630632087</v>
      </c>
      <c r="GI71" s="28">
        <f t="shared" si="2103"/>
        <v>4.5698427382053618E-2</v>
      </c>
      <c r="GJ71" s="28">
        <f t="shared" si="2103"/>
        <v>0.19783032312480009</v>
      </c>
      <c r="GK71" s="28">
        <f t="shared" si="2103"/>
        <v>-0.13158512403383102</v>
      </c>
      <c r="GL71" s="28">
        <f t="shared" ref="GL71" si="2104">(GL70-GK70)/GK70</f>
        <v>-4.22612002199503E-2</v>
      </c>
      <c r="GM71" s="28">
        <f t="shared" ref="GM71" si="2105">(GM70-GL70)/GL70</f>
        <v>0.24852207760613065</v>
      </c>
      <c r="GN71" s="28">
        <f t="shared" ref="GN71" si="2106">(GN70-GM70)/GM70</f>
        <v>4.5219746495065265E-2</v>
      </c>
      <c r="GO71" s="28">
        <f t="shared" ref="GO71:GR71" si="2107">(GO70-GN70)/GN70</f>
        <v>-0.18504992431190942</v>
      </c>
      <c r="GP71" s="28">
        <f t="shared" si="2107"/>
        <v>-0.13106515169884866</v>
      </c>
      <c r="GQ71" s="28">
        <f t="shared" si="2107"/>
        <v>5.3610071237896705E-2</v>
      </c>
      <c r="GR71" s="165">
        <f t="shared" si="2107"/>
        <v>-0.1196672813316743</v>
      </c>
      <c r="GS71" s="157"/>
      <c r="GT71" s="11"/>
      <c r="GU71" s="95" t="s">
        <v>368</v>
      </c>
      <c r="GV71" s="105">
        <f>LABOUR!AG21</f>
        <v>0.37076161386717238</v>
      </c>
      <c r="GW71" s="58"/>
      <c r="GX71" s="58"/>
      <c r="GY71" s="58"/>
      <c r="GZ71" s="58"/>
      <c r="HA71" s="58"/>
    </row>
    <row r="72" spans="1:209" s="2" customFormat="1" ht="15" hidden="1" customHeight="1" x14ac:dyDescent="0.3">
      <c r="A72" s="169"/>
      <c r="B72" s="22" t="s">
        <v>91</v>
      </c>
      <c r="C72" s="23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>
        <f t="shared" ref="DT72" si="2108">BU70</f>
        <v>0</v>
      </c>
      <c r="DU72" s="25">
        <f t="shared" ref="DU72" si="2109">BV70</f>
        <v>0</v>
      </c>
      <c r="DV72" s="25">
        <f t="shared" ref="DV72" si="2110">BW70</f>
        <v>0</v>
      </c>
      <c r="DW72" s="25">
        <f t="shared" ref="DW72" si="2111">BX70</f>
        <v>0</v>
      </c>
      <c r="DX72" s="25">
        <f t="shared" ref="DX72" si="2112">BY70</f>
        <v>0</v>
      </c>
      <c r="DY72" s="25">
        <f t="shared" ref="DY72" si="2113">BZ70</f>
        <v>0</v>
      </c>
      <c r="DZ72" s="25">
        <f t="shared" ref="DZ72" si="2114">CA70</f>
        <v>0</v>
      </c>
      <c r="EA72" s="25">
        <f t="shared" ref="EA72" si="2115">CB70</f>
        <v>0</v>
      </c>
      <c r="EB72" s="25">
        <f t="shared" ref="EB72" si="2116">CC70</f>
        <v>0</v>
      </c>
      <c r="EC72" s="25">
        <f t="shared" ref="EC72" si="2117">CD70</f>
        <v>0</v>
      </c>
      <c r="ED72" s="25">
        <f t="shared" ref="ED72" si="2118">CE70</f>
        <v>0</v>
      </c>
      <c r="EE72" s="25">
        <f t="shared" ref="EE72" si="2119">CF70</f>
        <v>0</v>
      </c>
      <c r="EF72" s="25">
        <f t="shared" ref="EF72" si="2120">CG70</f>
        <v>0</v>
      </c>
      <c r="EG72" s="25">
        <f t="shared" ref="EG72" si="2121">CH70</f>
        <v>0</v>
      </c>
      <c r="EH72" s="25">
        <f t="shared" ref="EH72" si="2122">CI70</f>
        <v>0</v>
      </c>
      <c r="EI72" s="25">
        <f t="shared" ref="EI72" si="2123">CJ70</f>
        <v>0</v>
      </c>
      <c r="EJ72" s="25">
        <f t="shared" ref="EJ72" si="2124">CK70</f>
        <v>0</v>
      </c>
      <c r="EK72" s="25">
        <f t="shared" ref="EK72" si="2125">CL70</f>
        <v>0</v>
      </c>
      <c r="EL72" s="25">
        <f t="shared" ref="EL72" si="2126">CM70</f>
        <v>0</v>
      </c>
      <c r="EM72" s="25">
        <f t="shared" ref="EM72" si="2127">CN70</f>
        <v>0</v>
      </c>
      <c r="EN72" s="25">
        <f t="shared" ref="EN72" si="2128">CO70</f>
        <v>0</v>
      </c>
      <c r="EO72" s="25">
        <f t="shared" ref="EO72" si="2129">CP70</f>
        <v>0</v>
      </c>
      <c r="EP72" s="25">
        <f t="shared" ref="EP72" si="2130">CQ70</f>
        <v>0</v>
      </c>
      <c r="EQ72" s="25">
        <f t="shared" ref="EQ72" si="2131">CR70</f>
        <v>0</v>
      </c>
      <c r="ER72" s="25">
        <f t="shared" ref="ER72" si="2132">CS70</f>
        <v>0</v>
      </c>
      <c r="ES72" s="25">
        <f t="shared" ref="ES72" si="2133">CT70</f>
        <v>0</v>
      </c>
      <c r="ET72" s="25">
        <f t="shared" ref="ET72" si="2134">CU70</f>
        <v>0</v>
      </c>
      <c r="EU72" s="25">
        <f t="shared" ref="EU72" si="2135">CV70</f>
        <v>0</v>
      </c>
      <c r="EV72" s="25">
        <f t="shared" ref="EV72" si="2136">CW70</f>
        <v>0</v>
      </c>
      <c r="EW72" s="25">
        <f t="shared" ref="EW72" si="2137">CX70</f>
        <v>0</v>
      </c>
      <c r="EX72" s="25">
        <f t="shared" ref="EX72" si="2138">CY70</f>
        <v>0</v>
      </c>
      <c r="EY72" s="25">
        <f t="shared" ref="EY72" si="2139">CZ70</f>
        <v>0</v>
      </c>
      <c r="EZ72" s="25">
        <f t="shared" ref="EZ72" si="2140">DA70</f>
        <v>0</v>
      </c>
      <c r="FA72" s="25">
        <f t="shared" ref="FA72" si="2141">DB70</f>
        <v>0</v>
      </c>
      <c r="FB72" s="25">
        <f t="shared" ref="FB72" si="2142">DC70</f>
        <v>0</v>
      </c>
      <c r="FC72" s="25">
        <f t="shared" ref="FC72" si="2143">DD70</f>
        <v>0</v>
      </c>
      <c r="FD72" s="25">
        <f t="shared" ref="FD72" si="2144">DE70</f>
        <v>0</v>
      </c>
      <c r="FE72" s="25">
        <f t="shared" ref="FE72" si="2145">DF70</f>
        <v>0</v>
      </c>
      <c r="FF72" s="25">
        <f t="shared" ref="FF72" si="2146">DG70</f>
        <v>0</v>
      </c>
      <c r="FG72" s="25">
        <f t="shared" ref="FG72" si="2147">DH70</f>
        <v>0</v>
      </c>
      <c r="FH72" s="25">
        <f t="shared" ref="FH72:GL72" si="2148">DI70</f>
        <v>0</v>
      </c>
      <c r="FI72" s="25">
        <f t="shared" si="2148"/>
        <v>0</v>
      </c>
      <c r="FJ72" s="25">
        <f t="shared" si="2148"/>
        <v>0</v>
      </c>
      <c r="FK72" s="25">
        <f t="shared" si="2148"/>
        <v>0</v>
      </c>
      <c r="FL72" s="25">
        <f t="shared" si="2148"/>
        <v>0</v>
      </c>
      <c r="FM72" s="25">
        <f t="shared" si="2148"/>
        <v>0</v>
      </c>
      <c r="FN72" s="25">
        <f t="shared" si="2148"/>
        <v>0</v>
      </c>
      <c r="FO72" s="25">
        <f t="shared" si="2148"/>
        <v>0</v>
      </c>
      <c r="FP72" s="25">
        <f t="shared" si="2148"/>
        <v>0</v>
      </c>
      <c r="FQ72" s="25">
        <f t="shared" si="2148"/>
        <v>0</v>
      </c>
      <c r="FR72" s="25">
        <f t="shared" si="2148"/>
        <v>0</v>
      </c>
      <c r="FS72" s="25">
        <f t="shared" si="2148"/>
        <v>0</v>
      </c>
      <c r="FT72" s="25">
        <f t="shared" si="2148"/>
        <v>0</v>
      </c>
      <c r="FU72" s="25">
        <f t="shared" si="2148"/>
        <v>0</v>
      </c>
      <c r="FV72" s="25">
        <f t="shared" si="2148"/>
        <v>0</v>
      </c>
      <c r="FW72" s="25">
        <f t="shared" si="2148"/>
        <v>0</v>
      </c>
      <c r="FX72" s="25">
        <f t="shared" si="2148"/>
        <v>0</v>
      </c>
      <c r="FY72" s="25">
        <f t="shared" si="2148"/>
        <v>0</v>
      </c>
      <c r="FZ72" s="25">
        <f t="shared" si="2148"/>
        <v>0</v>
      </c>
      <c r="GA72" s="25">
        <f t="shared" si="2148"/>
        <v>0</v>
      </c>
      <c r="GB72" s="25">
        <f t="shared" si="2148"/>
        <v>0</v>
      </c>
      <c r="GC72" s="25">
        <f t="shared" si="2148"/>
        <v>0</v>
      </c>
      <c r="GD72" s="25">
        <f t="shared" si="2148"/>
        <v>0</v>
      </c>
      <c r="GE72" s="25">
        <f t="shared" si="2148"/>
        <v>0</v>
      </c>
      <c r="GF72" s="25">
        <f t="shared" si="2148"/>
        <v>0</v>
      </c>
      <c r="GG72" s="25">
        <f t="shared" si="2148"/>
        <v>0</v>
      </c>
      <c r="GH72" s="25">
        <f t="shared" si="2148"/>
        <v>0</v>
      </c>
      <c r="GI72" s="25">
        <f t="shared" si="2148"/>
        <v>0</v>
      </c>
      <c r="GJ72" s="25">
        <f t="shared" si="2148"/>
        <v>0</v>
      </c>
      <c r="GK72" s="25">
        <f t="shared" si="2148"/>
        <v>0</v>
      </c>
      <c r="GL72" s="25">
        <f t="shared" si="2148"/>
        <v>0</v>
      </c>
      <c r="GM72" s="25">
        <f t="shared" ref="GM72:GR72" si="2149">EM70</f>
        <v>0</v>
      </c>
      <c r="GN72" s="25">
        <f t="shared" si="2149"/>
        <v>0</v>
      </c>
      <c r="GO72" s="25">
        <f t="shared" si="2149"/>
        <v>0</v>
      </c>
      <c r="GP72" s="25">
        <f t="shared" si="2149"/>
        <v>0</v>
      </c>
      <c r="GQ72" s="25">
        <f t="shared" si="2149"/>
        <v>0</v>
      </c>
      <c r="GR72" s="110">
        <f t="shared" si="2149"/>
        <v>0</v>
      </c>
      <c r="GS72" s="158"/>
      <c r="GT72" s="3" t="s">
        <v>91</v>
      </c>
      <c r="GU72" s="3"/>
      <c r="GV72" s="3"/>
      <c r="GW72" s="58"/>
      <c r="GX72" s="58"/>
      <c r="GY72" s="58"/>
      <c r="GZ72" s="58"/>
      <c r="HA72" s="58"/>
    </row>
    <row r="73" spans="1:209" s="2" customFormat="1" ht="15" hidden="1" customHeight="1" x14ac:dyDescent="0.3">
      <c r="A73" s="169"/>
      <c r="B73" s="38" t="s">
        <v>92</v>
      </c>
      <c r="C73" s="3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  <c r="FS73" s="28"/>
      <c r="FT73" s="28"/>
      <c r="FU73" s="28"/>
      <c r="FV73" s="28"/>
      <c r="FW73" s="28"/>
      <c r="FX73" s="28"/>
      <c r="FY73" s="28"/>
      <c r="FZ73" s="28"/>
      <c r="GA73" s="28"/>
      <c r="GB73" s="28"/>
      <c r="GC73" s="28"/>
      <c r="GD73" s="28"/>
      <c r="GE73" s="28"/>
      <c r="GF73" s="28"/>
      <c r="GG73" s="28"/>
      <c r="GH73" s="28"/>
      <c r="GI73" s="28"/>
      <c r="GJ73" s="28"/>
      <c r="GK73" s="28"/>
      <c r="GL73" s="28"/>
      <c r="GM73" s="28"/>
      <c r="GN73" s="28"/>
      <c r="GO73" s="28"/>
      <c r="GP73" s="28"/>
      <c r="GQ73" s="28"/>
      <c r="GR73" s="109"/>
      <c r="GS73" s="159"/>
      <c r="GT73" s="2" t="s">
        <v>94</v>
      </c>
      <c r="GW73" s="58"/>
      <c r="GX73" s="58"/>
      <c r="GY73" s="58"/>
      <c r="GZ73" s="58"/>
      <c r="HA73" s="58"/>
    </row>
    <row r="74" spans="1:209" s="2" customFormat="1" ht="7.5" customHeight="1" x14ac:dyDescent="0.3">
      <c r="A74" s="8"/>
      <c r="B74" s="29"/>
      <c r="C74" s="30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32"/>
      <c r="GR74" s="111"/>
      <c r="GS74" s="156"/>
      <c r="GT74" s="9"/>
      <c r="GU74" s="9"/>
      <c r="GV74" s="9"/>
    </row>
    <row r="75" spans="1:209" s="2" customFormat="1" ht="15" customHeight="1" x14ac:dyDescent="0.3">
      <c r="A75" s="173" t="s">
        <v>98</v>
      </c>
      <c r="B75" s="38"/>
      <c r="C75" s="17" t="s">
        <v>23</v>
      </c>
      <c r="D75" s="17">
        <f t="shared" ref="D75:BO75" si="2150">D40+D33+D47+D26+D19+D12+D5+D54+D61+D68</f>
        <v>39266.979999999996</v>
      </c>
      <c r="E75" s="17">
        <f t="shared" si="2150"/>
        <v>38227.15</v>
      </c>
      <c r="F75" s="17">
        <f t="shared" si="2150"/>
        <v>35339.15</v>
      </c>
      <c r="G75" s="17">
        <f t="shared" si="2150"/>
        <v>40106.720000000001</v>
      </c>
      <c r="H75" s="17">
        <f t="shared" si="2150"/>
        <v>35560.17</v>
      </c>
      <c r="I75" s="17">
        <f t="shared" si="2150"/>
        <v>26859.29</v>
      </c>
      <c r="J75" s="17">
        <f t="shared" si="2150"/>
        <v>35485.919999999998</v>
      </c>
      <c r="K75" s="17">
        <f t="shared" si="2150"/>
        <v>31939.899999999998</v>
      </c>
      <c r="L75" s="17">
        <f t="shared" si="2150"/>
        <v>27664.58</v>
      </c>
      <c r="M75" s="17">
        <f t="shared" si="2150"/>
        <v>29249.56</v>
      </c>
      <c r="N75" s="17">
        <f t="shared" si="2150"/>
        <v>22055.690000000002</v>
      </c>
      <c r="O75" s="17">
        <f t="shared" si="2150"/>
        <v>26842.94</v>
      </c>
      <c r="P75" s="17">
        <f t="shared" si="2150"/>
        <v>30090.17</v>
      </c>
      <c r="Q75" s="17">
        <f t="shared" si="2150"/>
        <v>25726.97</v>
      </c>
      <c r="R75" s="17">
        <f t="shared" si="2150"/>
        <v>30111.9</v>
      </c>
      <c r="S75" s="17">
        <f t="shared" si="2150"/>
        <v>27200.359999999997</v>
      </c>
      <c r="T75" s="17">
        <f t="shared" si="2150"/>
        <v>26556.690000000002</v>
      </c>
      <c r="U75" s="17">
        <f t="shared" si="2150"/>
        <v>28244.059999999998</v>
      </c>
      <c r="V75" s="17">
        <f t="shared" si="2150"/>
        <v>28760.68</v>
      </c>
      <c r="W75" s="17">
        <f t="shared" si="2150"/>
        <v>29754.489999999998</v>
      </c>
      <c r="X75" s="17">
        <f t="shared" si="2150"/>
        <v>35461</v>
      </c>
      <c r="Y75" s="17">
        <f t="shared" si="2150"/>
        <v>40196.870000000003</v>
      </c>
      <c r="Z75" s="17">
        <f t="shared" si="2150"/>
        <v>26317.45</v>
      </c>
      <c r="AA75" s="17">
        <f t="shared" si="2150"/>
        <v>24882.560000000005</v>
      </c>
      <c r="AB75" s="17">
        <f t="shared" si="2150"/>
        <v>26474.35</v>
      </c>
      <c r="AC75" s="17">
        <f t="shared" si="2150"/>
        <v>26546.65</v>
      </c>
      <c r="AD75" s="17">
        <f t="shared" si="2150"/>
        <v>29916.899999999998</v>
      </c>
      <c r="AE75" s="17">
        <f t="shared" si="2150"/>
        <v>29272.47</v>
      </c>
      <c r="AF75" s="17">
        <f t="shared" si="2150"/>
        <v>37228.199999999997</v>
      </c>
      <c r="AG75" s="17">
        <f t="shared" si="2150"/>
        <v>29893.340000000004</v>
      </c>
      <c r="AH75" s="17">
        <f t="shared" si="2150"/>
        <v>31341.649999999998</v>
      </c>
      <c r="AI75" s="17">
        <f t="shared" si="2150"/>
        <v>28394.61</v>
      </c>
      <c r="AJ75" s="17">
        <f t="shared" si="2150"/>
        <v>32913.07</v>
      </c>
      <c r="AK75" s="17">
        <f t="shared" si="2150"/>
        <v>32084.04</v>
      </c>
      <c r="AL75" s="17">
        <f t="shared" si="2150"/>
        <v>41662.92</v>
      </c>
      <c r="AM75" s="17">
        <f t="shared" si="2150"/>
        <v>61221.19</v>
      </c>
      <c r="AN75" s="17">
        <f t="shared" si="2150"/>
        <v>46104.659999999996</v>
      </c>
      <c r="AO75" s="17">
        <f t="shared" si="2150"/>
        <v>40877.100000000006</v>
      </c>
      <c r="AP75" s="17">
        <f t="shared" si="2150"/>
        <v>48176.7</v>
      </c>
      <c r="AQ75" s="17">
        <f t="shared" si="2150"/>
        <v>47010.060000000005</v>
      </c>
      <c r="AR75" s="17">
        <f t="shared" si="2150"/>
        <v>43112.97</v>
      </c>
      <c r="AS75" s="17">
        <f t="shared" si="2150"/>
        <v>45336.61</v>
      </c>
      <c r="AT75" s="17">
        <f t="shared" si="2150"/>
        <v>52577.84</v>
      </c>
      <c r="AU75" s="17">
        <f t="shared" si="2150"/>
        <v>59370.61</v>
      </c>
      <c r="AV75" s="17">
        <f t="shared" si="2150"/>
        <v>50870.729999999996</v>
      </c>
      <c r="AW75" s="17">
        <f t="shared" si="2150"/>
        <v>51152.22</v>
      </c>
      <c r="AX75" s="17">
        <f t="shared" si="2150"/>
        <v>53986.97</v>
      </c>
      <c r="AY75" s="17">
        <f t="shared" si="2150"/>
        <v>51877.74</v>
      </c>
      <c r="AZ75" s="17">
        <f t="shared" si="2150"/>
        <v>51276.15</v>
      </c>
      <c r="BA75" s="17">
        <f t="shared" si="2150"/>
        <v>50927.17</v>
      </c>
      <c r="BB75" s="17">
        <f t="shared" si="2150"/>
        <v>52325.919999999998</v>
      </c>
      <c r="BC75" s="17">
        <f t="shared" si="2150"/>
        <v>48946.979999999996</v>
      </c>
      <c r="BD75" s="17">
        <f t="shared" si="2150"/>
        <v>52185.850000000006</v>
      </c>
      <c r="BE75" s="17">
        <f t="shared" si="2150"/>
        <v>52108.14</v>
      </c>
      <c r="BF75" s="17">
        <f t="shared" si="2150"/>
        <v>49655.43</v>
      </c>
      <c r="BG75" s="17">
        <f t="shared" si="2150"/>
        <v>54923.21</v>
      </c>
      <c r="BH75" s="17">
        <f t="shared" si="2150"/>
        <v>57708.410000000011</v>
      </c>
      <c r="BI75" s="17">
        <f t="shared" si="2150"/>
        <v>60985.680000000008</v>
      </c>
      <c r="BJ75" s="17">
        <f t="shared" si="2150"/>
        <v>52561.25</v>
      </c>
      <c r="BK75" s="17">
        <f t="shared" si="2150"/>
        <v>42444.9</v>
      </c>
      <c r="BL75" s="17">
        <f t="shared" si="2150"/>
        <v>50843.85</v>
      </c>
      <c r="BM75" s="17">
        <f t="shared" si="2150"/>
        <v>49307.86</v>
      </c>
      <c r="BN75" s="17">
        <f t="shared" si="2150"/>
        <v>45988.899999999994</v>
      </c>
      <c r="BO75" s="17">
        <f t="shared" si="2150"/>
        <v>48123.89</v>
      </c>
      <c r="BP75" s="17">
        <f t="shared" ref="BP75:EA75" si="2151">BP40+BP33+BP47+BP26+BP19+BP12+BP5+BP54+BP61+BP68</f>
        <v>51883.5</v>
      </c>
      <c r="BQ75" s="17">
        <f t="shared" si="2151"/>
        <v>50285</v>
      </c>
      <c r="BR75" s="17">
        <f t="shared" si="2151"/>
        <v>50783.1</v>
      </c>
      <c r="BS75" s="17">
        <f t="shared" si="2151"/>
        <v>47789.84</v>
      </c>
      <c r="BT75" s="17">
        <f t="shared" si="2151"/>
        <v>52043.22</v>
      </c>
      <c r="BU75" s="17">
        <f t="shared" si="2151"/>
        <v>48525.090000000004</v>
      </c>
      <c r="BV75" s="17">
        <f t="shared" si="2151"/>
        <v>53625.94</v>
      </c>
      <c r="BW75" s="17">
        <f t="shared" si="2151"/>
        <v>55762.3</v>
      </c>
      <c r="BX75" s="17">
        <f t="shared" si="2151"/>
        <v>75781.440000000002</v>
      </c>
      <c r="BY75" s="17">
        <f t="shared" si="2151"/>
        <v>71125.95</v>
      </c>
      <c r="BZ75" s="17">
        <f t="shared" si="2151"/>
        <v>46249.19</v>
      </c>
      <c r="CA75" s="17">
        <f t="shared" si="2151"/>
        <v>44763.64</v>
      </c>
      <c r="CB75" s="17">
        <f t="shared" si="2151"/>
        <v>47056.13</v>
      </c>
      <c r="CC75" s="17">
        <f t="shared" si="2151"/>
        <v>47309.14</v>
      </c>
      <c r="CD75" s="17">
        <f t="shared" si="2151"/>
        <v>51889.49</v>
      </c>
      <c r="CE75" s="17">
        <f t="shared" si="2151"/>
        <v>53239.310000000005</v>
      </c>
      <c r="CF75" s="17">
        <f t="shared" si="2151"/>
        <v>55423.839999999997</v>
      </c>
      <c r="CG75" s="17">
        <f t="shared" si="2151"/>
        <v>49656.759999999995</v>
      </c>
      <c r="CH75" s="17">
        <f t="shared" si="2151"/>
        <v>51822.64</v>
      </c>
      <c r="CI75" s="17">
        <f t="shared" si="2151"/>
        <v>55972.840000000011</v>
      </c>
      <c r="CJ75" s="17">
        <f t="shared" si="2151"/>
        <v>49630.07</v>
      </c>
      <c r="CK75" s="17">
        <f t="shared" si="2151"/>
        <v>54577.780000000006</v>
      </c>
      <c r="CL75" s="17">
        <f t="shared" si="2151"/>
        <v>71042.47</v>
      </c>
      <c r="CM75" s="17">
        <f t="shared" si="2151"/>
        <v>60741.000000000007</v>
      </c>
      <c r="CN75" s="17">
        <f t="shared" si="2151"/>
        <v>58280.72</v>
      </c>
      <c r="CO75" s="17">
        <f t="shared" si="2151"/>
        <v>55204.36</v>
      </c>
      <c r="CP75" s="17">
        <f t="shared" si="2151"/>
        <v>54062</v>
      </c>
      <c r="CQ75" s="17">
        <f t="shared" si="2151"/>
        <v>62576.19</v>
      </c>
      <c r="CR75" s="17">
        <f t="shared" si="2151"/>
        <v>62959.06</v>
      </c>
      <c r="CS75" s="17">
        <f t="shared" si="2151"/>
        <v>54671.07</v>
      </c>
      <c r="CT75" s="17">
        <f t="shared" si="2151"/>
        <v>64205.8</v>
      </c>
      <c r="CU75" s="17">
        <f t="shared" si="2151"/>
        <v>64905.119999999995</v>
      </c>
      <c r="CV75" s="17">
        <f t="shared" si="2151"/>
        <v>55456.22</v>
      </c>
      <c r="CW75" s="17">
        <f t="shared" si="2151"/>
        <v>60549.99</v>
      </c>
      <c r="CX75" s="17">
        <f t="shared" si="2151"/>
        <v>63034.67</v>
      </c>
      <c r="CY75" s="17">
        <f t="shared" si="2151"/>
        <v>62660.72</v>
      </c>
      <c r="CZ75" s="17">
        <f t="shared" si="2151"/>
        <v>55063.14</v>
      </c>
      <c r="DA75" s="17">
        <f t="shared" si="2151"/>
        <v>62044.549999999996</v>
      </c>
      <c r="DB75" s="17">
        <f t="shared" si="2151"/>
        <v>61740.57</v>
      </c>
      <c r="DC75" s="17">
        <f t="shared" si="2151"/>
        <v>59387.369999999995</v>
      </c>
      <c r="DD75" s="17">
        <f t="shared" si="2151"/>
        <v>73901.31</v>
      </c>
      <c r="DE75" s="17">
        <f t="shared" si="2151"/>
        <v>61923.22</v>
      </c>
      <c r="DF75" s="17">
        <f t="shared" si="2151"/>
        <v>65519.69</v>
      </c>
      <c r="DG75" s="17">
        <f t="shared" si="2151"/>
        <v>65230.200000000004</v>
      </c>
      <c r="DH75" s="17">
        <f t="shared" si="2151"/>
        <v>65628.819999999992</v>
      </c>
      <c r="DI75" s="17">
        <f t="shared" si="2151"/>
        <v>54472.18</v>
      </c>
      <c r="DJ75" s="17">
        <f t="shared" si="2151"/>
        <v>47831.35</v>
      </c>
      <c r="DK75" s="17">
        <f t="shared" si="2151"/>
        <v>56284.45</v>
      </c>
      <c r="DL75" s="17">
        <f t="shared" si="2151"/>
        <v>58977.359999999986</v>
      </c>
      <c r="DM75" s="17">
        <f t="shared" si="2151"/>
        <v>54573.770000000004</v>
      </c>
      <c r="DN75" s="17">
        <f t="shared" si="2151"/>
        <v>53834.35</v>
      </c>
      <c r="DO75" s="17">
        <f t="shared" si="2151"/>
        <v>54624.54</v>
      </c>
      <c r="DP75" s="17">
        <f t="shared" si="2151"/>
        <v>59420.649999999994</v>
      </c>
      <c r="DQ75" s="17">
        <f t="shared" si="2151"/>
        <v>56993.8</v>
      </c>
      <c r="DR75" s="17">
        <f t="shared" si="2151"/>
        <v>53931</v>
      </c>
      <c r="DS75" s="17">
        <f t="shared" si="2151"/>
        <v>52360.72</v>
      </c>
      <c r="DT75" s="17">
        <f t="shared" si="2151"/>
        <v>62128.740000000005</v>
      </c>
      <c r="DU75" s="17">
        <f t="shared" si="2151"/>
        <v>75350.570000000007</v>
      </c>
      <c r="DV75" s="17">
        <f t="shared" si="2151"/>
        <v>67539.8</v>
      </c>
      <c r="DW75" s="17">
        <f t="shared" si="2151"/>
        <v>78773.949999999983</v>
      </c>
      <c r="DX75" s="17">
        <f t="shared" si="2151"/>
        <v>90673.69</v>
      </c>
      <c r="DY75" s="17">
        <f t="shared" si="2151"/>
        <v>91445.25</v>
      </c>
      <c r="DZ75" s="17">
        <f t="shared" si="2151"/>
        <v>88089.7</v>
      </c>
      <c r="EA75" s="17">
        <f t="shared" si="2151"/>
        <v>58281.820000000007</v>
      </c>
      <c r="EB75" s="17">
        <f t="shared" ref="EB75:GL75" si="2152">EB40+EB33+EB47+EB26+EB19+EB12+EB5+EB54+EB61+EB68</f>
        <v>62376.619999999995</v>
      </c>
      <c r="EC75" s="17">
        <f t="shared" si="2152"/>
        <v>61280.67</v>
      </c>
      <c r="ED75" s="17">
        <f t="shared" si="2152"/>
        <v>78014.42</v>
      </c>
      <c r="EE75" s="17">
        <f t="shared" si="2152"/>
        <v>69134.47</v>
      </c>
      <c r="EF75" s="17">
        <f t="shared" si="2152"/>
        <v>75470.52</v>
      </c>
      <c r="EG75" s="17">
        <f t="shared" si="2152"/>
        <v>80583.850000000006</v>
      </c>
      <c r="EH75" s="17">
        <f t="shared" si="2152"/>
        <v>81410.740000000005</v>
      </c>
      <c r="EI75" s="17">
        <f t="shared" si="2152"/>
        <v>68881.51999999999</v>
      </c>
      <c r="EJ75" s="17">
        <f t="shared" si="2152"/>
        <v>74940.950000000012</v>
      </c>
      <c r="EK75" s="17">
        <f t="shared" si="2152"/>
        <v>82396.36</v>
      </c>
      <c r="EL75" s="17">
        <f t="shared" si="2152"/>
        <v>87624.55</v>
      </c>
      <c r="EM75" s="17">
        <f t="shared" si="2152"/>
        <v>86270.599999999991</v>
      </c>
      <c r="EN75" s="17">
        <f t="shared" si="2152"/>
        <v>86640.76</v>
      </c>
      <c r="EO75" s="17">
        <f t="shared" si="2152"/>
        <v>102170.79</v>
      </c>
      <c r="EP75" s="17">
        <f t="shared" si="2152"/>
        <v>87307.61</v>
      </c>
      <c r="EQ75" s="17">
        <f t="shared" si="2152"/>
        <v>91135.950000000012</v>
      </c>
      <c r="ER75" s="17">
        <f t="shared" si="2152"/>
        <v>83535.45</v>
      </c>
      <c r="ES75" s="17">
        <f t="shared" si="2152"/>
        <v>79774.38</v>
      </c>
      <c r="ET75" s="17">
        <f t="shared" si="2152"/>
        <v>81633.7</v>
      </c>
      <c r="EU75" s="17">
        <f t="shared" si="2152"/>
        <v>92899.640000000014</v>
      </c>
      <c r="EV75" s="17">
        <f t="shared" si="2152"/>
        <v>77162.759999999995</v>
      </c>
      <c r="EW75" s="17">
        <f t="shared" si="2152"/>
        <v>94220.09</v>
      </c>
      <c r="EX75" s="17">
        <f t="shared" si="2152"/>
        <v>84457.969999999987</v>
      </c>
      <c r="EY75" s="17">
        <f t="shared" si="2152"/>
        <v>89134.05</v>
      </c>
      <c r="EZ75" s="17">
        <f t="shared" si="2152"/>
        <v>89756.840000000011</v>
      </c>
      <c r="FA75" s="17">
        <f t="shared" si="2152"/>
        <v>84418.91</v>
      </c>
      <c r="FB75" s="17">
        <f t="shared" si="2152"/>
        <v>87673.540000000008</v>
      </c>
      <c r="FC75" s="17">
        <f t="shared" si="2152"/>
        <v>92180.26999999999</v>
      </c>
      <c r="FD75" s="17">
        <f t="shared" si="2152"/>
        <v>91654.37</v>
      </c>
      <c r="FE75" s="17">
        <f t="shared" si="2152"/>
        <v>88849.700000000012</v>
      </c>
      <c r="FF75" s="17">
        <f t="shared" si="2152"/>
        <v>92072.150000000009</v>
      </c>
      <c r="FG75" s="17">
        <f t="shared" si="2152"/>
        <v>94343.279999999984</v>
      </c>
      <c r="FH75" s="17">
        <f t="shared" si="2152"/>
        <v>96380.42</v>
      </c>
      <c r="FI75" s="17">
        <f t="shared" si="2152"/>
        <v>79872.497999999992</v>
      </c>
      <c r="FJ75" s="17">
        <f t="shared" si="2152"/>
        <v>87234.291999999987</v>
      </c>
      <c r="FK75" s="17">
        <f t="shared" si="2152"/>
        <v>85595.998000000007</v>
      </c>
      <c r="FL75" s="17">
        <f t="shared" si="2152"/>
        <v>80579.543999999994</v>
      </c>
      <c r="FM75" s="17">
        <f t="shared" si="2152"/>
        <v>81516.716</v>
      </c>
      <c r="FN75" s="17">
        <f t="shared" si="2152"/>
        <v>87756.800000000017</v>
      </c>
      <c r="FO75" s="17">
        <f t="shared" si="2152"/>
        <v>79289.11</v>
      </c>
      <c r="FP75" s="17">
        <f t="shared" si="2152"/>
        <v>91042.12</v>
      </c>
      <c r="FQ75" s="17">
        <f t="shared" si="2152"/>
        <v>88119.889999999985</v>
      </c>
      <c r="FR75" s="17">
        <f t="shared" si="2152"/>
        <v>82457.539999999994</v>
      </c>
      <c r="FS75" s="17">
        <f t="shared" si="2152"/>
        <v>81201.77</v>
      </c>
      <c r="FT75" s="17">
        <f t="shared" si="2152"/>
        <v>83895.81</v>
      </c>
      <c r="FU75" s="17">
        <f t="shared" si="2152"/>
        <v>85298.74</v>
      </c>
      <c r="FV75" s="17">
        <f t="shared" si="2152"/>
        <v>85304.15</v>
      </c>
      <c r="FW75" s="17">
        <f t="shared" si="2152"/>
        <v>91935.53</v>
      </c>
      <c r="FX75" s="17">
        <f t="shared" si="2152"/>
        <v>106303.34999999999</v>
      </c>
      <c r="FY75" s="17">
        <f t="shared" si="2152"/>
        <v>100852.18000000001</v>
      </c>
      <c r="FZ75" s="17">
        <f t="shared" si="2152"/>
        <v>130127.35000000002</v>
      </c>
      <c r="GA75" s="17">
        <f t="shared" si="2152"/>
        <v>60274.240000000005</v>
      </c>
      <c r="GB75" s="17">
        <f t="shared" si="2152"/>
        <v>69320.87</v>
      </c>
      <c r="GC75" s="17">
        <f t="shared" si="2152"/>
        <v>63717.490000000005</v>
      </c>
      <c r="GD75" s="17">
        <f t="shared" si="2152"/>
        <v>73604.27</v>
      </c>
      <c r="GE75" s="17">
        <f t="shared" si="2152"/>
        <v>72727.679999999993</v>
      </c>
      <c r="GF75" s="17">
        <f t="shared" si="2152"/>
        <v>78331.42</v>
      </c>
      <c r="GG75" s="17">
        <f t="shared" si="2152"/>
        <v>81249.989999999991</v>
      </c>
      <c r="GH75" s="17">
        <f t="shared" si="2152"/>
        <v>77962.509999999995</v>
      </c>
      <c r="GI75" s="17">
        <f t="shared" si="2152"/>
        <v>76592.72</v>
      </c>
      <c r="GJ75" s="17">
        <f t="shared" si="2152"/>
        <v>84485.68</v>
      </c>
      <c r="GK75" s="17">
        <f t="shared" si="2152"/>
        <v>86424.959999999992</v>
      </c>
      <c r="GL75" s="17">
        <f t="shared" si="2152"/>
        <v>82550.73</v>
      </c>
      <c r="GM75" s="17">
        <f t="shared" ref="GM75:GN75" si="2153">GM40+GM33+GM47+GM26+GM19+GM12+GM5+GM54+GM61+GM68</f>
        <v>113651.65</v>
      </c>
      <c r="GN75" s="17">
        <f t="shared" si="2153"/>
        <v>102089.66000000002</v>
      </c>
      <c r="GO75" s="17">
        <f t="shared" ref="GO75:GQ76" si="2154">GO40+GO33+GO47+GO26+GO19+GO12+GO5+GO54+GO61+GO68</f>
        <v>90002.12000000001</v>
      </c>
      <c r="GP75" s="146">
        <f t="shared" si="2154"/>
        <v>93619.11</v>
      </c>
      <c r="GQ75" s="146">
        <f t="shared" si="2154"/>
        <v>102144.01</v>
      </c>
      <c r="GR75" s="146">
        <f t="shared" ref="GR75" si="2155">GR40+GR33+GR47+GR26+GR19+GR12+GR5+GR54+GR61+GR68</f>
        <v>94410.98</v>
      </c>
      <c r="GS75" s="153">
        <f>EQ75</f>
        <v>91135.950000000012</v>
      </c>
      <c r="GT75" s="84" t="s">
        <v>23</v>
      </c>
      <c r="GU75" s="84"/>
      <c r="GV75" s="84"/>
      <c r="GW75" s="58"/>
      <c r="GX75" s="58"/>
      <c r="GY75" s="58"/>
      <c r="GZ75" s="58"/>
      <c r="HA75" s="58"/>
    </row>
    <row r="76" spans="1:209" s="2" customFormat="1" ht="15" customHeight="1" x14ac:dyDescent="0.3">
      <c r="A76" s="173"/>
      <c r="B76" s="26"/>
      <c r="C76" s="17" t="s">
        <v>24</v>
      </c>
      <c r="D76" s="147">
        <f t="shared" ref="D76:BO76" si="2156">D41+D34+D48+D27+D20+D13+D6+D55+D62+D69</f>
        <v>67796.800000000003</v>
      </c>
      <c r="E76" s="147">
        <f t="shared" si="2156"/>
        <v>64025.84</v>
      </c>
      <c r="F76" s="147">
        <f t="shared" si="2156"/>
        <v>64714.05</v>
      </c>
      <c r="G76" s="147">
        <f t="shared" si="2156"/>
        <v>70409.509999999995</v>
      </c>
      <c r="H76" s="147">
        <f t="shared" si="2156"/>
        <v>64889.180000000008</v>
      </c>
      <c r="I76" s="147">
        <f t="shared" si="2156"/>
        <v>51875.42</v>
      </c>
      <c r="J76" s="147">
        <f t="shared" si="2156"/>
        <v>53425.4</v>
      </c>
      <c r="K76" s="147">
        <f t="shared" si="2156"/>
        <v>48380.52</v>
      </c>
      <c r="L76" s="147">
        <f t="shared" si="2156"/>
        <v>50478.55</v>
      </c>
      <c r="M76" s="147">
        <f t="shared" si="2156"/>
        <v>51747.62</v>
      </c>
      <c r="N76" s="147">
        <f t="shared" si="2156"/>
        <v>48220.049999999996</v>
      </c>
      <c r="O76" s="147">
        <f t="shared" si="2156"/>
        <v>50361.759999999995</v>
      </c>
      <c r="P76" s="147">
        <f t="shared" si="2156"/>
        <v>57163.630000000005</v>
      </c>
      <c r="Q76" s="147">
        <f t="shared" si="2156"/>
        <v>47416.15</v>
      </c>
      <c r="R76" s="147">
        <f t="shared" si="2156"/>
        <v>53327.93</v>
      </c>
      <c r="S76" s="147">
        <f t="shared" si="2156"/>
        <v>52047.75</v>
      </c>
      <c r="T76" s="147">
        <f t="shared" si="2156"/>
        <v>46051.65</v>
      </c>
      <c r="U76" s="147">
        <f t="shared" si="2156"/>
        <v>51512.700000000004</v>
      </c>
      <c r="V76" s="147">
        <f t="shared" si="2156"/>
        <v>51204.800000000003</v>
      </c>
      <c r="W76" s="147">
        <f t="shared" si="2156"/>
        <v>54070.05</v>
      </c>
      <c r="X76" s="147">
        <f t="shared" si="2156"/>
        <v>51020.61</v>
      </c>
      <c r="Y76" s="147">
        <f t="shared" si="2156"/>
        <v>59995.799999999996</v>
      </c>
      <c r="Z76" s="147">
        <f t="shared" si="2156"/>
        <v>51487.65</v>
      </c>
      <c r="AA76" s="147">
        <f t="shared" si="2156"/>
        <v>42315.100000000006</v>
      </c>
      <c r="AB76" s="147">
        <f t="shared" si="2156"/>
        <v>45618.55</v>
      </c>
      <c r="AC76" s="147">
        <f t="shared" si="2156"/>
        <v>49003.7</v>
      </c>
      <c r="AD76" s="147">
        <f t="shared" si="2156"/>
        <v>51520.5</v>
      </c>
      <c r="AE76" s="147">
        <f t="shared" si="2156"/>
        <v>50494.34</v>
      </c>
      <c r="AF76" s="147">
        <f t="shared" si="2156"/>
        <v>60375.56</v>
      </c>
      <c r="AG76" s="147">
        <f t="shared" si="2156"/>
        <v>51980.33</v>
      </c>
      <c r="AH76" s="147">
        <f t="shared" si="2156"/>
        <v>56487</v>
      </c>
      <c r="AI76" s="147">
        <f t="shared" si="2156"/>
        <v>49609.9</v>
      </c>
      <c r="AJ76" s="147">
        <f t="shared" si="2156"/>
        <v>59987.000000000007</v>
      </c>
      <c r="AK76" s="147">
        <f t="shared" si="2156"/>
        <v>54315.1</v>
      </c>
      <c r="AL76" s="147">
        <f t="shared" si="2156"/>
        <v>70018.600000000006</v>
      </c>
      <c r="AM76" s="147">
        <f t="shared" si="2156"/>
        <v>91913.1</v>
      </c>
      <c r="AN76" s="147">
        <f t="shared" si="2156"/>
        <v>79490.7</v>
      </c>
      <c r="AO76" s="147">
        <f t="shared" si="2156"/>
        <v>65646.239999999991</v>
      </c>
      <c r="AP76" s="147">
        <f t="shared" si="2156"/>
        <v>79371.490000000005</v>
      </c>
      <c r="AQ76" s="147">
        <f t="shared" si="2156"/>
        <v>75077.850000000006</v>
      </c>
      <c r="AR76" s="147">
        <f t="shared" si="2156"/>
        <v>64825.8</v>
      </c>
      <c r="AS76" s="147">
        <f t="shared" si="2156"/>
        <v>73364.679999999993</v>
      </c>
      <c r="AT76" s="147">
        <f t="shared" si="2156"/>
        <v>81627.25</v>
      </c>
      <c r="AU76" s="147">
        <f t="shared" si="2156"/>
        <v>94327.25</v>
      </c>
      <c r="AV76" s="147">
        <f t="shared" si="2156"/>
        <v>75014.75</v>
      </c>
      <c r="AW76" s="147">
        <f t="shared" si="2156"/>
        <v>84608.16</v>
      </c>
      <c r="AX76" s="147">
        <f t="shared" si="2156"/>
        <v>77960.55</v>
      </c>
      <c r="AY76" s="147">
        <f t="shared" si="2156"/>
        <v>85481.39</v>
      </c>
      <c r="AZ76" s="147">
        <f t="shared" si="2156"/>
        <v>81875.520000000004</v>
      </c>
      <c r="BA76" s="147">
        <f t="shared" si="2156"/>
        <v>86180.15</v>
      </c>
      <c r="BB76" s="147">
        <f t="shared" si="2156"/>
        <v>92497.7</v>
      </c>
      <c r="BC76" s="147">
        <f t="shared" si="2156"/>
        <v>88888.75</v>
      </c>
      <c r="BD76" s="147">
        <f t="shared" si="2156"/>
        <v>98224.22</v>
      </c>
      <c r="BE76" s="147">
        <f t="shared" si="2156"/>
        <v>88712.47</v>
      </c>
      <c r="BF76" s="147">
        <f t="shared" si="2156"/>
        <v>83542.149999999994</v>
      </c>
      <c r="BG76" s="147">
        <f t="shared" si="2156"/>
        <v>90697.19</v>
      </c>
      <c r="BH76" s="147">
        <f t="shared" si="2156"/>
        <v>99203.209999999992</v>
      </c>
      <c r="BI76" s="147">
        <f t="shared" si="2156"/>
        <v>90774.05</v>
      </c>
      <c r="BJ76" s="147">
        <f t="shared" si="2156"/>
        <v>87717.65</v>
      </c>
      <c r="BK76" s="147">
        <f t="shared" si="2156"/>
        <v>75501.17</v>
      </c>
      <c r="BL76" s="147">
        <f t="shared" si="2156"/>
        <v>82835.054999999993</v>
      </c>
      <c r="BM76" s="147">
        <f t="shared" si="2156"/>
        <v>84652.060000000012</v>
      </c>
      <c r="BN76" s="147">
        <f t="shared" si="2156"/>
        <v>77685.97</v>
      </c>
      <c r="BO76" s="147">
        <f t="shared" si="2156"/>
        <v>83314.049999999988</v>
      </c>
      <c r="BP76" s="147">
        <f t="shared" ref="BP76:EA76" si="2157">BP41+BP34+BP48+BP27+BP20+BP13+BP6+BP55+BP62+BP69</f>
        <v>91416.1</v>
      </c>
      <c r="BQ76" s="147">
        <f t="shared" si="2157"/>
        <v>77655</v>
      </c>
      <c r="BR76" s="147">
        <f t="shared" si="2157"/>
        <v>88472</v>
      </c>
      <c r="BS76" s="147">
        <f t="shared" si="2157"/>
        <v>87203.28</v>
      </c>
      <c r="BT76" s="147">
        <f t="shared" si="2157"/>
        <v>82110.100000000006</v>
      </c>
      <c r="BU76" s="147">
        <f t="shared" si="2157"/>
        <v>82050.299999999988</v>
      </c>
      <c r="BV76" s="147">
        <f t="shared" si="2157"/>
        <v>94267.22</v>
      </c>
      <c r="BW76" s="147">
        <f t="shared" si="2157"/>
        <v>101245.98999999999</v>
      </c>
      <c r="BX76" s="147">
        <f t="shared" si="2157"/>
        <v>106569.47</v>
      </c>
      <c r="BY76" s="147">
        <f t="shared" si="2157"/>
        <v>100336.10999999999</v>
      </c>
      <c r="BZ76" s="147">
        <f t="shared" si="2157"/>
        <v>90217.66</v>
      </c>
      <c r="CA76" s="147">
        <f t="shared" si="2157"/>
        <v>78425.149999999994</v>
      </c>
      <c r="CB76" s="147">
        <f t="shared" si="2157"/>
        <v>79907.049999999988</v>
      </c>
      <c r="CC76" s="147">
        <f t="shared" si="2157"/>
        <v>84941.700000000012</v>
      </c>
      <c r="CD76" s="147">
        <f t="shared" si="2157"/>
        <v>84875.200000000012</v>
      </c>
      <c r="CE76" s="147">
        <f t="shared" si="2157"/>
        <v>88766.6</v>
      </c>
      <c r="CF76" s="147">
        <f t="shared" si="2157"/>
        <v>105524.75</v>
      </c>
      <c r="CG76" s="147">
        <f t="shared" si="2157"/>
        <v>88226.25</v>
      </c>
      <c r="CH76" s="147">
        <f t="shared" si="2157"/>
        <v>90870.950000000012</v>
      </c>
      <c r="CI76" s="147">
        <f t="shared" si="2157"/>
        <v>106164.43</v>
      </c>
      <c r="CJ76" s="147">
        <f t="shared" si="2157"/>
        <v>87838.85</v>
      </c>
      <c r="CK76" s="147">
        <f t="shared" si="2157"/>
        <v>95469.799999999988</v>
      </c>
      <c r="CL76" s="147">
        <f t="shared" si="2157"/>
        <v>115211.39</v>
      </c>
      <c r="CM76" s="147">
        <f t="shared" si="2157"/>
        <v>107874.25</v>
      </c>
      <c r="CN76" s="147">
        <f t="shared" si="2157"/>
        <v>104909.25</v>
      </c>
      <c r="CO76" s="147">
        <f t="shared" si="2157"/>
        <v>97148.219999999987</v>
      </c>
      <c r="CP76" s="147">
        <f t="shared" si="2157"/>
        <v>98040.46</v>
      </c>
      <c r="CQ76" s="147">
        <f t="shared" si="2157"/>
        <v>108294.35</v>
      </c>
      <c r="CR76" s="147">
        <f t="shared" si="2157"/>
        <v>104057.49</v>
      </c>
      <c r="CS76" s="147">
        <f t="shared" si="2157"/>
        <v>93189.9</v>
      </c>
      <c r="CT76" s="147">
        <f t="shared" si="2157"/>
        <v>114611.93</v>
      </c>
      <c r="CU76" s="147">
        <f t="shared" si="2157"/>
        <v>116030</v>
      </c>
      <c r="CV76" s="147">
        <f t="shared" si="2157"/>
        <v>99802.35</v>
      </c>
      <c r="CW76" s="147">
        <f t="shared" si="2157"/>
        <v>115967.18000000002</v>
      </c>
      <c r="CX76" s="147">
        <f t="shared" si="2157"/>
        <v>106839.90000000001</v>
      </c>
      <c r="CY76" s="147">
        <f t="shared" si="2157"/>
        <v>110142.31</v>
      </c>
      <c r="CZ76" s="147">
        <f t="shared" si="2157"/>
        <v>102104.20000000001</v>
      </c>
      <c r="DA76" s="147">
        <f t="shared" si="2157"/>
        <v>108455.81</v>
      </c>
      <c r="DB76" s="147">
        <f t="shared" si="2157"/>
        <v>113523.85</v>
      </c>
      <c r="DC76" s="147">
        <f t="shared" si="2157"/>
        <v>112232.8</v>
      </c>
      <c r="DD76" s="147">
        <f t="shared" si="2157"/>
        <v>119563.70000000001</v>
      </c>
      <c r="DE76" s="147">
        <f t="shared" si="2157"/>
        <v>119727.69999999998</v>
      </c>
      <c r="DF76" s="147">
        <f t="shared" si="2157"/>
        <v>119357.97199999999</v>
      </c>
      <c r="DG76" s="147">
        <f t="shared" si="2157"/>
        <v>127577.43</v>
      </c>
      <c r="DH76" s="147">
        <f t="shared" si="2157"/>
        <v>128430.82999999999</v>
      </c>
      <c r="DI76" s="147">
        <f t="shared" si="2157"/>
        <v>102623.35</v>
      </c>
      <c r="DJ76" s="147">
        <f t="shared" si="2157"/>
        <v>87716.47</v>
      </c>
      <c r="DK76" s="147">
        <f t="shared" si="2157"/>
        <v>103122.07500000001</v>
      </c>
      <c r="DL76" s="147">
        <f t="shared" si="2157"/>
        <v>106923.7</v>
      </c>
      <c r="DM76" s="147">
        <f t="shared" si="2157"/>
        <v>101481.34</v>
      </c>
      <c r="DN76" s="147">
        <f t="shared" si="2157"/>
        <v>96507.27</v>
      </c>
      <c r="DO76" s="147">
        <f t="shared" si="2157"/>
        <v>98475.71</v>
      </c>
      <c r="DP76" s="147">
        <f t="shared" si="2157"/>
        <v>102922.5</v>
      </c>
      <c r="DQ76" s="147">
        <f t="shared" si="2157"/>
        <v>109272.87</v>
      </c>
      <c r="DR76" s="147">
        <f t="shared" si="2157"/>
        <v>95505.94</v>
      </c>
      <c r="DS76" s="147">
        <f t="shared" si="2157"/>
        <v>92411.74</v>
      </c>
      <c r="DT76" s="147">
        <f t="shared" si="2157"/>
        <v>90066.31</v>
      </c>
      <c r="DU76" s="147">
        <f t="shared" si="2157"/>
        <v>121188.62</v>
      </c>
      <c r="DV76" s="147">
        <f t="shared" si="2157"/>
        <v>109685.33</v>
      </c>
      <c r="DW76" s="147">
        <f t="shared" si="2157"/>
        <v>131087.32999999999</v>
      </c>
      <c r="DX76" s="147">
        <f t="shared" si="2157"/>
        <v>140468</v>
      </c>
      <c r="DY76" s="147">
        <f t="shared" si="2157"/>
        <v>128065.8</v>
      </c>
      <c r="DZ76" s="147">
        <f t="shared" si="2157"/>
        <v>138229.09999999998</v>
      </c>
      <c r="EA76" s="147">
        <f t="shared" si="2157"/>
        <v>102827.94</v>
      </c>
      <c r="EB76" s="147">
        <f t="shared" ref="EB76:GL76" si="2158">EB41+EB34+EB48+EB27+EB20+EB13+EB6+EB55+EB62+EB69</f>
        <v>109214.82</v>
      </c>
      <c r="EC76" s="147">
        <f t="shared" si="2158"/>
        <v>105214.35</v>
      </c>
      <c r="ED76" s="147">
        <f t="shared" si="2158"/>
        <v>122833.04000000001</v>
      </c>
      <c r="EE76" s="147">
        <f t="shared" si="2158"/>
        <v>119249.49</v>
      </c>
      <c r="EF76" s="147">
        <f t="shared" si="2158"/>
        <v>131407.04999999999</v>
      </c>
      <c r="EG76" s="147">
        <f t="shared" si="2158"/>
        <v>139753.29999999999</v>
      </c>
      <c r="EH76" s="147">
        <f t="shared" si="2158"/>
        <v>132449.54999999999</v>
      </c>
      <c r="EI76" s="147">
        <f t="shared" si="2158"/>
        <v>114630.02</v>
      </c>
      <c r="EJ76" s="147">
        <f t="shared" si="2158"/>
        <v>128597.99000000002</v>
      </c>
      <c r="EK76" s="147">
        <f t="shared" si="2158"/>
        <v>132079.56</v>
      </c>
      <c r="EL76" s="147">
        <f t="shared" si="2158"/>
        <v>156488.20000000001</v>
      </c>
      <c r="EM76" s="147">
        <f t="shared" si="2158"/>
        <v>133905.1</v>
      </c>
      <c r="EN76" s="147">
        <f t="shared" si="2158"/>
        <v>139539.75</v>
      </c>
      <c r="EO76" s="147">
        <f t="shared" si="2158"/>
        <v>163335.04999999999</v>
      </c>
      <c r="EP76" s="147">
        <f t="shared" si="2158"/>
        <v>143513.5</v>
      </c>
      <c r="EQ76" s="147">
        <f t="shared" si="2158"/>
        <v>140293.15</v>
      </c>
      <c r="ER76" s="147">
        <f t="shared" si="2158"/>
        <v>130475.06</v>
      </c>
      <c r="ES76" s="147">
        <f t="shared" si="2158"/>
        <v>124137.25</v>
      </c>
      <c r="ET76" s="147">
        <f t="shared" si="2158"/>
        <v>131896.70000000001</v>
      </c>
      <c r="EU76" s="147">
        <f t="shared" si="2158"/>
        <v>163372.25</v>
      </c>
      <c r="EV76" s="147">
        <f t="shared" si="2158"/>
        <v>130657.8</v>
      </c>
      <c r="EW76" s="147">
        <f t="shared" si="2158"/>
        <v>155389.34999999998</v>
      </c>
      <c r="EX76" s="147">
        <f t="shared" si="2158"/>
        <v>130726.5</v>
      </c>
      <c r="EY76" s="147">
        <f t="shared" si="2158"/>
        <v>145274.70000000001</v>
      </c>
      <c r="EZ76" s="147">
        <f t="shared" si="2158"/>
        <v>147141.64000000001</v>
      </c>
      <c r="FA76" s="147">
        <f t="shared" si="2158"/>
        <v>133823.91</v>
      </c>
      <c r="FB76" s="147">
        <f t="shared" si="2158"/>
        <v>141271.06000000003</v>
      </c>
      <c r="FC76" s="147">
        <f t="shared" si="2158"/>
        <v>151016.35</v>
      </c>
      <c r="FD76" s="147">
        <f t="shared" si="2158"/>
        <v>157860.45000000001</v>
      </c>
      <c r="FE76" s="147">
        <f t="shared" si="2158"/>
        <v>151931.35000000003</v>
      </c>
      <c r="FF76" s="147">
        <f t="shared" si="2158"/>
        <v>152198.76</v>
      </c>
      <c r="FG76" s="147">
        <f t="shared" si="2158"/>
        <v>158533.40000000002</v>
      </c>
      <c r="FH76" s="147">
        <f t="shared" si="2158"/>
        <v>166117.25</v>
      </c>
      <c r="FI76" s="147">
        <f t="shared" si="2158"/>
        <v>138425.198</v>
      </c>
      <c r="FJ76" s="147">
        <f t="shared" si="2158"/>
        <v>143170.69</v>
      </c>
      <c r="FK76" s="147">
        <f t="shared" si="2158"/>
        <v>137798.75</v>
      </c>
      <c r="FL76" s="147">
        <f t="shared" si="2158"/>
        <v>132547.15399999998</v>
      </c>
      <c r="FM76" s="147">
        <f t="shared" si="2158"/>
        <v>137488.58199999999</v>
      </c>
      <c r="FN76" s="147">
        <f t="shared" si="2158"/>
        <v>139861.95000000001</v>
      </c>
      <c r="FO76" s="147">
        <f t="shared" si="2158"/>
        <v>130506.59999999999</v>
      </c>
      <c r="FP76" s="147">
        <f t="shared" si="2158"/>
        <v>148034.12</v>
      </c>
      <c r="FQ76" s="147">
        <f t="shared" si="2158"/>
        <v>144682.35</v>
      </c>
      <c r="FR76" s="147">
        <f t="shared" si="2158"/>
        <v>134802.91</v>
      </c>
      <c r="FS76" s="147">
        <f t="shared" si="2158"/>
        <v>141227.9</v>
      </c>
      <c r="FT76" s="147">
        <f t="shared" si="2158"/>
        <v>141390.76999999999</v>
      </c>
      <c r="FU76" s="147">
        <f t="shared" si="2158"/>
        <v>146171.95000000001</v>
      </c>
      <c r="FV76" s="147">
        <f t="shared" si="2158"/>
        <v>149785.29</v>
      </c>
      <c r="FW76" s="147">
        <f t="shared" si="2158"/>
        <v>168551.00999999998</v>
      </c>
      <c r="FX76" s="147">
        <f t="shared" si="2158"/>
        <v>176479.9</v>
      </c>
      <c r="FY76" s="147">
        <f t="shared" si="2158"/>
        <v>150585.09999999998</v>
      </c>
      <c r="FZ76" s="147">
        <f t="shared" si="2158"/>
        <v>229105.55000000002</v>
      </c>
      <c r="GA76" s="147">
        <f t="shared" si="2158"/>
        <v>105418.67</v>
      </c>
      <c r="GB76" s="147">
        <f t="shared" si="2158"/>
        <v>121766.53</v>
      </c>
      <c r="GC76" s="147">
        <f t="shared" si="2158"/>
        <v>113899.01000000001</v>
      </c>
      <c r="GD76" s="147">
        <f t="shared" si="2158"/>
        <v>135784.20000000001</v>
      </c>
      <c r="GE76" s="147">
        <f t="shared" si="2158"/>
        <v>123781.03</v>
      </c>
      <c r="GF76" s="147">
        <f t="shared" si="2158"/>
        <v>140694.72999999998</v>
      </c>
      <c r="GG76" s="147">
        <f t="shared" si="2158"/>
        <v>144204.28</v>
      </c>
      <c r="GH76" s="147">
        <f t="shared" si="2158"/>
        <v>130111.33</v>
      </c>
      <c r="GI76" s="147">
        <f t="shared" si="2158"/>
        <v>134964.76</v>
      </c>
      <c r="GJ76" s="147">
        <f t="shared" si="2158"/>
        <v>166204.14000000001</v>
      </c>
      <c r="GK76" s="147">
        <f t="shared" si="2158"/>
        <v>144332.49000000002</v>
      </c>
      <c r="GL76" s="147">
        <f t="shared" si="2158"/>
        <v>144827.74</v>
      </c>
      <c r="GM76" s="147">
        <f t="shared" ref="GM76:GN76" si="2159">GM41+GM34+GM48+GM27+GM20+GM13+GM6+GM55+GM62+GM69</f>
        <v>191047.3</v>
      </c>
      <c r="GN76" s="147">
        <f t="shared" si="2159"/>
        <v>180740.95</v>
      </c>
      <c r="GO76" s="147">
        <f t="shared" si="2154"/>
        <v>156846.26</v>
      </c>
      <c r="GP76" s="146">
        <f t="shared" si="2154"/>
        <v>157213.29</v>
      </c>
      <c r="GQ76" s="146">
        <f t="shared" si="2154"/>
        <v>173028.31</v>
      </c>
      <c r="GR76" s="107">
        <f t="shared" ref="GR76" si="2160">GR41+GR34+GR48+GR27+GR20+GR13+GR6+GR55+GR62+GR69</f>
        <v>165066.62</v>
      </c>
      <c r="GS76" s="153">
        <f>EQ76</f>
        <v>140293.15</v>
      </c>
      <c r="GT76" s="5" t="s">
        <v>24</v>
      </c>
      <c r="GU76" s="5"/>
      <c r="GV76" s="5"/>
      <c r="GW76" s="58"/>
      <c r="GX76" s="58"/>
      <c r="GY76" s="58"/>
      <c r="GZ76" s="58"/>
      <c r="HA76" s="58"/>
    </row>
    <row r="77" spans="1:209" s="1" customFormat="1" ht="21" customHeight="1" x14ac:dyDescent="0.3">
      <c r="A77" s="173"/>
      <c r="B77" s="41" t="s">
        <v>100</v>
      </c>
      <c r="C77" s="42"/>
      <c r="D77" s="42">
        <f t="shared" ref="D77:BO77" si="2161">D42+D35+D49+D28+D21+D14+D7+D56+D63+D70</f>
        <v>107063.78</v>
      </c>
      <c r="E77" s="42">
        <f t="shared" si="2161"/>
        <v>102252.98999999999</v>
      </c>
      <c r="F77" s="42">
        <f t="shared" si="2161"/>
        <v>100053.20000000001</v>
      </c>
      <c r="G77" s="42">
        <f t="shared" si="2161"/>
        <v>110516.23</v>
      </c>
      <c r="H77" s="42">
        <f t="shared" si="2161"/>
        <v>100449.34999999999</v>
      </c>
      <c r="I77" s="42">
        <f t="shared" si="2161"/>
        <v>78734.710000000006</v>
      </c>
      <c r="J77" s="42">
        <f t="shared" si="2161"/>
        <v>88911.319999999992</v>
      </c>
      <c r="K77" s="42">
        <f t="shared" si="2161"/>
        <v>80320.42</v>
      </c>
      <c r="L77" s="42">
        <f t="shared" si="2161"/>
        <v>78143.13</v>
      </c>
      <c r="M77" s="42">
        <f t="shared" si="2161"/>
        <v>80997.179999999993</v>
      </c>
      <c r="N77" s="42">
        <f t="shared" si="2161"/>
        <v>70275.739999999991</v>
      </c>
      <c r="O77" s="42">
        <f t="shared" si="2161"/>
        <v>77204.700000000012</v>
      </c>
      <c r="P77" s="42">
        <f t="shared" si="2161"/>
        <v>87253.799999999988</v>
      </c>
      <c r="Q77" s="42">
        <f t="shared" si="2161"/>
        <v>73143.12</v>
      </c>
      <c r="R77" s="42">
        <f t="shared" si="2161"/>
        <v>83439.829999999987</v>
      </c>
      <c r="S77" s="42">
        <f t="shared" si="2161"/>
        <v>79248.110000000015</v>
      </c>
      <c r="T77" s="42">
        <f t="shared" si="2161"/>
        <v>72608.34</v>
      </c>
      <c r="U77" s="42">
        <f t="shared" si="2161"/>
        <v>79756.760000000009</v>
      </c>
      <c r="V77" s="42">
        <f t="shared" si="2161"/>
        <v>79965.48</v>
      </c>
      <c r="W77" s="42">
        <f t="shared" si="2161"/>
        <v>83824.540000000008</v>
      </c>
      <c r="X77" s="42">
        <f t="shared" si="2161"/>
        <v>86481.61</v>
      </c>
      <c r="Y77" s="42">
        <f t="shared" si="2161"/>
        <v>100192.67000000001</v>
      </c>
      <c r="Z77" s="42">
        <f t="shared" si="2161"/>
        <v>77805.100000000006</v>
      </c>
      <c r="AA77" s="42">
        <f t="shared" si="2161"/>
        <v>67197.66</v>
      </c>
      <c r="AB77" s="42">
        <f t="shared" si="2161"/>
        <v>72092.899999999994</v>
      </c>
      <c r="AC77" s="42">
        <f t="shared" si="2161"/>
        <v>75550.350000000006</v>
      </c>
      <c r="AD77" s="42">
        <f t="shared" si="2161"/>
        <v>81437.399999999994</v>
      </c>
      <c r="AE77" s="42">
        <f t="shared" si="2161"/>
        <v>79766.81</v>
      </c>
      <c r="AF77" s="42">
        <f t="shared" si="2161"/>
        <v>97603.760000000009</v>
      </c>
      <c r="AG77" s="42">
        <f t="shared" si="2161"/>
        <v>81873.670000000013</v>
      </c>
      <c r="AH77" s="42">
        <f t="shared" si="2161"/>
        <v>87828.65</v>
      </c>
      <c r="AI77" s="42">
        <f t="shared" si="2161"/>
        <v>78004.510000000009</v>
      </c>
      <c r="AJ77" s="42">
        <f t="shared" si="2161"/>
        <v>92900.07</v>
      </c>
      <c r="AK77" s="42">
        <f t="shared" si="2161"/>
        <v>86399.140000000014</v>
      </c>
      <c r="AL77" s="42">
        <f t="shared" si="2161"/>
        <v>111681.52</v>
      </c>
      <c r="AM77" s="42">
        <f t="shared" si="2161"/>
        <v>153134.28999999998</v>
      </c>
      <c r="AN77" s="42">
        <f t="shared" si="2161"/>
        <v>125595.35999999999</v>
      </c>
      <c r="AO77" s="42">
        <f t="shared" si="2161"/>
        <v>106523.34</v>
      </c>
      <c r="AP77" s="42">
        <f t="shared" si="2161"/>
        <v>127548.19</v>
      </c>
      <c r="AQ77" s="42">
        <f t="shared" si="2161"/>
        <v>122087.91</v>
      </c>
      <c r="AR77" s="42">
        <f t="shared" si="2161"/>
        <v>107938.76999999999</v>
      </c>
      <c r="AS77" s="42">
        <f t="shared" si="2161"/>
        <v>118701.29</v>
      </c>
      <c r="AT77" s="42">
        <f t="shared" si="2161"/>
        <v>134205.09</v>
      </c>
      <c r="AU77" s="42">
        <f t="shared" si="2161"/>
        <v>153697.86000000002</v>
      </c>
      <c r="AV77" s="42">
        <f t="shared" si="2161"/>
        <v>125885.48</v>
      </c>
      <c r="AW77" s="42">
        <f t="shared" si="2161"/>
        <v>135760.38</v>
      </c>
      <c r="AX77" s="42">
        <f t="shared" si="2161"/>
        <v>131947.52000000002</v>
      </c>
      <c r="AY77" s="42">
        <f t="shared" si="2161"/>
        <v>137359.13</v>
      </c>
      <c r="AZ77" s="42">
        <f t="shared" si="2161"/>
        <v>133151.67000000001</v>
      </c>
      <c r="BA77" s="42">
        <f t="shared" si="2161"/>
        <v>137107.32</v>
      </c>
      <c r="BB77" s="42">
        <f t="shared" si="2161"/>
        <v>144823.62</v>
      </c>
      <c r="BC77" s="42">
        <f t="shared" si="2161"/>
        <v>137835.72999999998</v>
      </c>
      <c r="BD77" s="42">
        <f t="shared" si="2161"/>
        <v>150410.07</v>
      </c>
      <c r="BE77" s="42">
        <f t="shared" si="2161"/>
        <v>140820.61000000002</v>
      </c>
      <c r="BF77" s="42">
        <f t="shared" si="2161"/>
        <v>133197.58000000002</v>
      </c>
      <c r="BG77" s="42">
        <f t="shared" si="2161"/>
        <v>145620.4</v>
      </c>
      <c r="BH77" s="42">
        <f t="shared" si="2161"/>
        <v>156911.62</v>
      </c>
      <c r="BI77" s="42">
        <f t="shared" si="2161"/>
        <v>151759.73000000001</v>
      </c>
      <c r="BJ77" s="42">
        <f t="shared" si="2161"/>
        <v>140278.9</v>
      </c>
      <c r="BK77" s="42">
        <f t="shared" si="2161"/>
        <v>117946.06999999999</v>
      </c>
      <c r="BL77" s="42">
        <f t="shared" si="2161"/>
        <v>133678.90499999997</v>
      </c>
      <c r="BM77" s="42">
        <f t="shared" si="2161"/>
        <v>133959.91999999998</v>
      </c>
      <c r="BN77" s="42">
        <f t="shared" si="2161"/>
        <v>123674.87</v>
      </c>
      <c r="BO77" s="42">
        <f t="shared" si="2161"/>
        <v>131437.94</v>
      </c>
      <c r="BP77" s="42">
        <f t="shared" ref="BP77:EA77" si="2162">BP42+BP35+BP49+BP28+BP21+BP14+BP7+BP56+BP63+BP70</f>
        <v>143299.59999999998</v>
      </c>
      <c r="BQ77" s="42">
        <f t="shared" si="2162"/>
        <v>127940</v>
      </c>
      <c r="BR77" s="42">
        <f t="shared" si="2162"/>
        <v>139255.09999999998</v>
      </c>
      <c r="BS77" s="42">
        <f t="shared" si="2162"/>
        <v>134993.12</v>
      </c>
      <c r="BT77" s="42">
        <f t="shared" si="2162"/>
        <v>134153.32</v>
      </c>
      <c r="BU77" s="42">
        <f t="shared" si="2162"/>
        <v>130575.39</v>
      </c>
      <c r="BV77" s="42">
        <f t="shared" si="2162"/>
        <v>147893.16</v>
      </c>
      <c r="BW77" s="42">
        <f t="shared" si="2162"/>
        <v>157008.28999999998</v>
      </c>
      <c r="BX77" s="42">
        <f t="shared" si="2162"/>
        <v>182350.91</v>
      </c>
      <c r="BY77" s="42">
        <f t="shared" si="2162"/>
        <v>171462.06</v>
      </c>
      <c r="BZ77" s="42">
        <f t="shared" si="2162"/>
        <v>136466.84999999998</v>
      </c>
      <c r="CA77" s="42">
        <f t="shared" si="2162"/>
        <v>123188.79000000001</v>
      </c>
      <c r="CB77" s="42">
        <f t="shared" si="2162"/>
        <v>126963.18</v>
      </c>
      <c r="CC77" s="42">
        <f t="shared" si="2162"/>
        <v>132250.84</v>
      </c>
      <c r="CD77" s="42">
        <f t="shared" si="2162"/>
        <v>136764.69</v>
      </c>
      <c r="CE77" s="42">
        <f t="shared" si="2162"/>
        <v>142005.91</v>
      </c>
      <c r="CF77" s="42">
        <f t="shared" si="2162"/>
        <v>160948.59000000003</v>
      </c>
      <c r="CG77" s="42">
        <f t="shared" si="2162"/>
        <v>137883.01</v>
      </c>
      <c r="CH77" s="42">
        <f t="shared" si="2162"/>
        <v>142693.59</v>
      </c>
      <c r="CI77" s="42">
        <f t="shared" si="2162"/>
        <v>162137.26999999999</v>
      </c>
      <c r="CJ77" s="42">
        <f t="shared" si="2162"/>
        <v>137468.91999999998</v>
      </c>
      <c r="CK77" s="42">
        <f t="shared" si="2162"/>
        <v>150047.58000000002</v>
      </c>
      <c r="CL77" s="42">
        <f t="shared" si="2162"/>
        <v>186253.86000000002</v>
      </c>
      <c r="CM77" s="42">
        <f t="shared" si="2162"/>
        <v>168615.25</v>
      </c>
      <c r="CN77" s="42">
        <f t="shared" si="2162"/>
        <v>163189.97</v>
      </c>
      <c r="CO77" s="42">
        <f t="shared" si="2162"/>
        <v>152352.57999999999</v>
      </c>
      <c r="CP77" s="42">
        <f t="shared" si="2162"/>
        <v>152102.46</v>
      </c>
      <c r="CQ77" s="42">
        <f t="shared" si="2162"/>
        <v>170870.54000000004</v>
      </c>
      <c r="CR77" s="42">
        <f t="shared" si="2162"/>
        <v>167016.54999999999</v>
      </c>
      <c r="CS77" s="42">
        <f t="shared" si="2162"/>
        <v>147860.96999999997</v>
      </c>
      <c r="CT77" s="42">
        <f t="shared" si="2162"/>
        <v>178817.72999999998</v>
      </c>
      <c r="CU77" s="42">
        <f t="shared" si="2162"/>
        <v>180935.12</v>
      </c>
      <c r="CV77" s="42">
        <f t="shared" si="2162"/>
        <v>155258.57</v>
      </c>
      <c r="CW77" s="42">
        <f t="shared" si="2162"/>
        <v>176517.17</v>
      </c>
      <c r="CX77" s="42">
        <f t="shared" si="2162"/>
        <v>169874.57</v>
      </c>
      <c r="CY77" s="42">
        <f t="shared" si="2162"/>
        <v>172803.03000000003</v>
      </c>
      <c r="CZ77" s="42">
        <f t="shared" si="2162"/>
        <v>157167.34</v>
      </c>
      <c r="DA77" s="42">
        <f t="shared" si="2162"/>
        <v>170500.36000000002</v>
      </c>
      <c r="DB77" s="42">
        <f t="shared" si="2162"/>
        <v>175264.41999999998</v>
      </c>
      <c r="DC77" s="42">
        <f t="shared" si="2162"/>
        <v>171620.16999999998</v>
      </c>
      <c r="DD77" s="42">
        <f t="shared" si="2162"/>
        <v>193465.01</v>
      </c>
      <c r="DE77" s="42">
        <f t="shared" si="2162"/>
        <v>181650.91999999998</v>
      </c>
      <c r="DF77" s="42">
        <f t="shared" si="2162"/>
        <v>184877.66200000001</v>
      </c>
      <c r="DG77" s="42">
        <f t="shared" si="2162"/>
        <v>192807.63</v>
      </c>
      <c r="DH77" s="42">
        <f t="shared" si="2162"/>
        <v>194059.65</v>
      </c>
      <c r="DI77" s="42">
        <f t="shared" si="2162"/>
        <v>157095.53</v>
      </c>
      <c r="DJ77" s="42">
        <f t="shared" si="2162"/>
        <v>135547.81999999998</v>
      </c>
      <c r="DK77" s="42">
        <f t="shared" si="2162"/>
        <v>159406.52499999999</v>
      </c>
      <c r="DL77" s="42">
        <f t="shared" si="2162"/>
        <v>165901.06</v>
      </c>
      <c r="DM77" s="42">
        <f t="shared" si="2162"/>
        <v>156055.11000000002</v>
      </c>
      <c r="DN77" s="42">
        <f t="shared" si="2162"/>
        <v>150341.62</v>
      </c>
      <c r="DO77" s="42">
        <f t="shared" si="2162"/>
        <v>153100.25</v>
      </c>
      <c r="DP77" s="42">
        <f t="shared" si="2162"/>
        <v>162343.15000000002</v>
      </c>
      <c r="DQ77" s="42">
        <f t="shared" si="2162"/>
        <v>166266.66999999998</v>
      </c>
      <c r="DR77" s="42">
        <f t="shared" si="2162"/>
        <v>149436.94</v>
      </c>
      <c r="DS77" s="42">
        <f t="shared" si="2162"/>
        <v>144772.46</v>
      </c>
      <c r="DT77" s="42">
        <f t="shared" si="2162"/>
        <v>152195.04999999999</v>
      </c>
      <c r="DU77" s="42">
        <f t="shared" si="2162"/>
        <v>196539.19</v>
      </c>
      <c r="DV77" s="42">
        <f t="shared" si="2162"/>
        <v>177225.13</v>
      </c>
      <c r="DW77" s="42">
        <f t="shared" si="2162"/>
        <v>209861.28</v>
      </c>
      <c r="DX77" s="42">
        <f t="shared" si="2162"/>
        <v>231141.68999999997</v>
      </c>
      <c r="DY77" s="42">
        <f t="shared" si="2162"/>
        <v>219511.05000000002</v>
      </c>
      <c r="DZ77" s="42">
        <f t="shared" si="2162"/>
        <v>226318.8</v>
      </c>
      <c r="EA77" s="42">
        <f t="shared" si="2162"/>
        <v>161109.76000000001</v>
      </c>
      <c r="EB77" s="42">
        <f t="shared" ref="EB77:FM77" si="2163">EB42+EB35+EB49+EB28+EB21+EB14+EB7+EB56+EB63+EB70</f>
        <v>171591.44</v>
      </c>
      <c r="EC77" s="42">
        <f t="shared" si="2163"/>
        <v>166495.02000000002</v>
      </c>
      <c r="ED77" s="42">
        <f t="shared" si="2163"/>
        <v>200847.46000000002</v>
      </c>
      <c r="EE77" s="42">
        <f t="shared" si="2163"/>
        <v>188383.96000000002</v>
      </c>
      <c r="EF77" s="42">
        <f t="shared" si="2163"/>
        <v>206877.57</v>
      </c>
      <c r="EG77" s="42">
        <f t="shared" si="2163"/>
        <v>220337.15</v>
      </c>
      <c r="EH77" s="42">
        <f t="shared" si="2163"/>
        <v>213860.29</v>
      </c>
      <c r="EI77" s="42">
        <f t="shared" si="2163"/>
        <v>183511.53999999998</v>
      </c>
      <c r="EJ77" s="42">
        <f t="shared" si="2163"/>
        <v>203538.94</v>
      </c>
      <c r="EK77" s="42">
        <f t="shared" si="2163"/>
        <v>214475.91999999998</v>
      </c>
      <c r="EL77" s="42">
        <f t="shared" si="2163"/>
        <v>244112.74999999997</v>
      </c>
      <c r="EM77" s="42">
        <f t="shared" si="2163"/>
        <v>220175.69999999998</v>
      </c>
      <c r="EN77" s="42">
        <f t="shared" si="2163"/>
        <v>226180.51</v>
      </c>
      <c r="EO77" s="42">
        <f t="shared" si="2163"/>
        <v>265505.84000000003</v>
      </c>
      <c r="EP77" s="42">
        <f t="shared" si="2163"/>
        <v>230821.11</v>
      </c>
      <c r="EQ77" s="42">
        <f t="shared" si="2163"/>
        <v>231429.09999999998</v>
      </c>
      <c r="ER77" s="42">
        <f t="shared" si="2163"/>
        <v>214010.50999999998</v>
      </c>
      <c r="ES77" s="42">
        <f t="shared" si="2163"/>
        <v>203911.63</v>
      </c>
      <c r="ET77" s="42">
        <f t="shared" si="2163"/>
        <v>213530.4</v>
      </c>
      <c r="EU77" s="42">
        <f t="shared" si="2163"/>
        <v>256271.89</v>
      </c>
      <c r="EV77" s="42">
        <f t="shared" si="2163"/>
        <v>207820.56</v>
      </c>
      <c r="EW77" s="42">
        <f t="shared" si="2163"/>
        <v>249609.43999999997</v>
      </c>
      <c r="EX77" s="42">
        <f t="shared" si="2163"/>
        <v>215184.46999999997</v>
      </c>
      <c r="EY77" s="42">
        <f t="shared" si="2163"/>
        <v>234408.75</v>
      </c>
      <c r="EZ77" s="42">
        <f t="shared" si="2163"/>
        <v>236898.48</v>
      </c>
      <c r="FA77" s="42">
        <f t="shared" si="2163"/>
        <v>218242.82</v>
      </c>
      <c r="FB77" s="42">
        <f t="shared" si="2163"/>
        <v>250129.59999999998</v>
      </c>
      <c r="FC77" s="42">
        <f t="shared" si="2163"/>
        <v>243196.62</v>
      </c>
      <c r="FD77" s="42">
        <f t="shared" si="2163"/>
        <v>249514.82000000004</v>
      </c>
      <c r="FE77" s="42">
        <f t="shared" si="2163"/>
        <v>240781.05000000002</v>
      </c>
      <c r="FF77" s="42">
        <f t="shared" si="2163"/>
        <v>244270.91</v>
      </c>
      <c r="FG77" s="42">
        <f t="shared" si="2163"/>
        <v>252876.67999999996</v>
      </c>
      <c r="FH77" s="42">
        <f t="shared" si="2163"/>
        <v>262497.67000000004</v>
      </c>
      <c r="FI77" s="42">
        <f t="shared" si="2163"/>
        <v>218297.69599999997</v>
      </c>
      <c r="FJ77" s="42">
        <f t="shared" si="2163"/>
        <v>230404.98200000005</v>
      </c>
      <c r="FK77" s="42">
        <f t="shared" si="2163"/>
        <v>223394.74800000002</v>
      </c>
      <c r="FL77" s="42">
        <f t="shared" si="2163"/>
        <v>213126.698</v>
      </c>
      <c r="FM77" s="42">
        <f t="shared" si="2163"/>
        <v>219005.29800000001</v>
      </c>
      <c r="FN77" s="42">
        <f t="shared" ref="FN77:FS77" si="2164">FN42+FN35+FN49+FN28+FN21+FN14+FN7+FN56+FN63+FN70</f>
        <v>227618.74999999997</v>
      </c>
      <c r="FO77" s="42">
        <f t="shared" si="2164"/>
        <v>209795.70999999996</v>
      </c>
      <c r="FP77" s="42">
        <f t="shared" si="2164"/>
        <v>239076.24000000002</v>
      </c>
      <c r="FQ77" s="42">
        <f t="shared" si="2164"/>
        <v>232802.24</v>
      </c>
      <c r="FR77" s="42">
        <f t="shared" si="2164"/>
        <v>217260.44999999998</v>
      </c>
      <c r="FS77" s="42">
        <f t="shared" si="2164"/>
        <v>222429.66999999998</v>
      </c>
      <c r="FT77" s="42">
        <f t="shared" ref="FT77:FU77" si="2165">FT42+FT35+FT49+FT28+FT21+FT14+FT7+FT56+FT63+FT70</f>
        <v>225286.58</v>
      </c>
      <c r="FU77" s="42">
        <f t="shared" si="2165"/>
        <v>231470.68999999997</v>
      </c>
      <c r="FV77" s="42">
        <f t="shared" ref="FV77:FW77" si="2166">FV42+FV35+FV49+FV28+FV21+FV14+FV7+FV56+FV63+FV70</f>
        <v>235089.44</v>
      </c>
      <c r="FW77" s="42">
        <f t="shared" si="2166"/>
        <v>260486.54</v>
      </c>
      <c r="FX77" s="42">
        <f t="shared" ref="FX77:FY77" si="2167">FX42+FX35+FX49+FX28+FX21+FX14+FX7+FX56+FX63+FX70</f>
        <v>282783.25</v>
      </c>
      <c r="FY77" s="42">
        <f t="shared" si="2167"/>
        <v>251437.28</v>
      </c>
      <c r="FZ77" s="42">
        <f t="shared" ref="FZ77:GA77" si="2168">FZ42+FZ35+FZ49+FZ28+FZ21+FZ14+FZ7+FZ56+FZ63+FZ70</f>
        <v>359232.9</v>
      </c>
      <c r="GA77" s="42">
        <f t="shared" si="2168"/>
        <v>165692.91</v>
      </c>
      <c r="GB77" s="42">
        <f t="shared" ref="GB77:GC77" si="2169">GB42+GB35+GB49+GB28+GB21+GB14+GB7+GB56+GB63+GB70</f>
        <v>191087.4</v>
      </c>
      <c r="GC77" s="42">
        <f t="shared" si="2169"/>
        <v>177616.5</v>
      </c>
      <c r="GD77" s="42">
        <f t="shared" ref="GD77:GE77" si="2170">GD42+GD35+GD49+GD28+GD21+GD14+GD7+GD56+GD63+GD70</f>
        <v>209388.47</v>
      </c>
      <c r="GE77" s="42">
        <f t="shared" si="2170"/>
        <v>197865.1</v>
      </c>
      <c r="GF77" s="42">
        <f t="shared" ref="GF77:GG77" si="2171">GF42+GF35+GF49+GF28+GF21+GF14+GF7+GF56+GF63+GF70</f>
        <v>219026.15</v>
      </c>
      <c r="GG77" s="42">
        <f t="shared" si="2171"/>
        <v>225454.27000000002</v>
      </c>
      <c r="GH77" s="42">
        <f t="shared" ref="GH77:GI77" si="2172">GH42+GH35+GH49+GH28+GH21+GH14+GH7+GH56+GH63+GH70</f>
        <v>208073.84</v>
      </c>
      <c r="GI77" s="42">
        <f t="shared" si="2172"/>
        <v>211557.48</v>
      </c>
      <c r="GJ77" s="42">
        <f t="shared" ref="GJ77:GK77" si="2173">GJ42+GJ35+GJ49+GJ28+GJ21+GJ14+GJ7+GJ56+GJ63+GJ70</f>
        <v>250689.81999999998</v>
      </c>
      <c r="GK77" s="42">
        <f t="shared" si="2173"/>
        <v>230757.44999999998</v>
      </c>
      <c r="GL77" s="163">
        <f>GL42+GL35+GL49+GL28+GL21+GL14+GL7+GL56+GL63+GL70</f>
        <v>227378.47</v>
      </c>
      <c r="GM77" s="163">
        <f t="shared" ref="GM77:GN77" si="2174">GM42+GM35+GM49+GM28+GM21+GM14+GM7+GM56+GM63+GM70</f>
        <v>304698.95</v>
      </c>
      <c r="GN77" s="42">
        <f t="shared" si="2174"/>
        <v>282830.61</v>
      </c>
      <c r="GO77" s="42">
        <f t="shared" ref="GO77:GP77" si="2175">GO42+GO35+GO49+GO28+GO21+GO14+GO7+GO56+GO63+GO70</f>
        <v>246848.38</v>
      </c>
      <c r="GP77" s="42">
        <f t="shared" si="2175"/>
        <v>250832.4</v>
      </c>
      <c r="GQ77" s="42">
        <f t="shared" ref="GQ77:GR77" si="2176">GQ42+GQ35+GQ49+GQ28+GQ21+GQ14+GQ7+GQ56+GQ63+GQ70</f>
        <v>275172.32</v>
      </c>
      <c r="GR77" s="113">
        <f t="shared" si="2176"/>
        <v>259477.6</v>
      </c>
      <c r="GS77" s="154">
        <f t="shared" ref="GS77" si="2177">SUM(GS75+GS76)</f>
        <v>231429.1</v>
      </c>
      <c r="GT77" s="52" t="s">
        <v>98</v>
      </c>
      <c r="GU77" s="52"/>
      <c r="GV77" s="52"/>
      <c r="GW77" s="56">
        <f>AVERAGE(ES77:GR77)</f>
        <v>234857.55907692312</v>
      </c>
      <c r="GX77" s="56">
        <f>AVERAGE(FS77:GR77)</f>
        <v>238564.01807692309</v>
      </c>
      <c r="GY77" s="56">
        <f>AVERAGE(GF77:GR77)</f>
        <v>245599.82615384614</v>
      </c>
      <c r="GZ77" s="56">
        <f>AVERAGE(GN77:GR77)</f>
        <v>263032.26199999999</v>
      </c>
      <c r="HA77" s="56">
        <f>MAX(D77:GR77)</f>
        <v>359232.9</v>
      </c>
    </row>
    <row r="78" spans="1:209" s="1" customFormat="1" ht="15" customHeight="1" x14ac:dyDescent="0.3">
      <c r="A78" s="173"/>
      <c r="B78" s="33" t="s">
        <v>8</v>
      </c>
      <c r="C78" s="43"/>
      <c r="D78" s="43"/>
      <c r="E78" s="54">
        <f t="shared" ref="E78" si="2178">SUM(E77-D77)</f>
        <v>-4810.7900000000081</v>
      </c>
      <c r="F78" s="54">
        <f t="shared" ref="F78" si="2179">SUM(F77-E77)</f>
        <v>-2199.789999999979</v>
      </c>
      <c r="G78" s="54">
        <f t="shared" ref="G78" si="2180">SUM(G77-F77)</f>
        <v>10463.029999999984</v>
      </c>
      <c r="H78" s="54">
        <f t="shared" ref="H78" si="2181">SUM(H77-G77)</f>
        <v>-10066.880000000005</v>
      </c>
      <c r="I78" s="54">
        <f t="shared" ref="I78" si="2182">SUM(I77-H77)</f>
        <v>-21714.639999999985</v>
      </c>
      <c r="J78" s="54">
        <f t="shared" ref="J78" si="2183">SUM(J77-I77)</f>
        <v>10176.609999999986</v>
      </c>
      <c r="K78" s="54">
        <f t="shared" ref="K78" si="2184">SUM(K77-J77)</f>
        <v>-8590.8999999999942</v>
      </c>
      <c r="L78" s="54">
        <f t="shared" ref="L78" si="2185">SUM(L77-K77)</f>
        <v>-2177.2899999999936</v>
      </c>
      <c r="M78" s="54">
        <f t="shared" ref="M78" si="2186">SUM(M77-L77)</f>
        <v>2854.0499999999884</v>
      </c>
      <c r="N78" s="54">
        <f t="shared" ref="N78" si="2187">SUM(N77-M77)</f>
        <v>-10721.440000000002</v>
      </c>
      <c r="O78" s="54">
        <f t="shared" ref="O78" si="2188">SUM(O77-N77)</f>
        <v>6928.960000000021</v>
      </c>
      <c r="P78" s="54">
        <f t="shared" ref="P78" si="2189">SUM(P77-O77)</f>
        <v>10049.099999999977</v>
      </c>
      <c r="Q78" s="54">
        <f t="shared" ref="Q78" si="2190">SUM(Q77-P77)</f>
        <v>-14110.679999999993</v>
      </c>
      <c r="R78" s="54">
        <f t="shared" ref="R78" si="2191">SUM(R77-Q77)</f>
        <v>10296.709999999992</v>
      </c>
      <c r="S78" s="54">
        <f t="shared" ref="S78" si="2192">SUM(S77-R77)</f>
        <v>-4191.7199999999721</v>
      </c>
      <c r="T78" s="54">
        <f t="shared" ref="T78" si="2193">SUM(T77-S77)</f>
        <v>-6639.7700000000186</v>
      </c>
      <c r="U78" s="54">
        <f t="shared" ref="U78" si="2194">SUM(U77-T77)</f>
        <v>7148.4200000000128</v>
      </c>
      <c r="V78" s="54">
        <f t="shared" ref="V78" si="2195">SUM(V77-U77)</f>
        <v>208.71999999998661</v>
      </c>
      <c r="W78" s="54">
        <f t="shared" ref="W78" si="2196">SUM(W77-V77)</f>
        <v>3859.0600000000122</v>
      </c>
      <c r="X78" s="54">
        <f t="shared" ref="X78" si="2197">SUM(X77-W77)</f>
        <v>2657.0699999999924</v>
      </c>
      <c r="Y78" s="54">
        <f t="shared" ref="Y78" si="2198">SUM(Y77-X77)</f>
        <v>13711.060000000012</v>
      </c>
      <c r="Z78" s="54">
        <f t="shared" ref="Z78" si="2199">SUM(Z77-Y77)</f>
        <v>-22387.570000000007</v>
      </c>
      <c r="AA78" s="54">
        <f t="shared" ref="AA78" si="2200">SUM(AA77-Z77)</f>
        <v>-10607.440000000002</v>
      </c>
      <c r="AB78" s="54">
        <f t="shared" ref="AB78" si="2201">SUM(AB77-AA77)</f>
        <v>4895.2399999999907</v>
      </c>
      <c r="AC78" s="54">
        <f t="shared" ref="AC78" si="2202">SUM(AC77-AB77)</f>
        <v>3457.4500000000116</v>
      </c>
      <c r="AD78" s="54">
        <f t="shared" ref="AD78" si="2203">SUM(AD77-AC77)</f>
        <v>5887.0499999999884</v>
      </c>
      <c r="AE78" s="54">
        <f t="shared" ref="AE78" si="2204">SUM(AE77-AD77)</f>
        <v>-1670.5899999999965</v>
      </c>
      <c r="AF78" s="54">
        <f t="shared" ref="AF78" si="2205">SUM(AF77-AE77)</f>
        <v>17836.950000000012</v>
      </c>
      <c r="AG78" s="54">
        <f t="shared" ref="AG78" si="2206">SUM(AG77-AF77)</f>
        <v>-15730.089999999997</v>
      </c>
      <c r="AH78" s="54">
        <f t="shared" ref="AH78" si="2207">SUM(AH77-AG77)</f>
        <v>5954.9799999999814</v>
      </c>
      <c r="AI78" s="54">
        <f t="shared" ref="AI78" si="2208">SUM(AI77-AH77)</f>
        <v>-9824.1399999999849</v>
      </c>
      <c r="AJ78" s="54">
        <f t="shared" ref="AJ78" si="2209">SUM(AJ77-AI77)</f>
        <v>14895.559999999998</v>
      </c>
      <c r="AK78" s="54">
        <f t="shared" ref="AK78" si="2210">SUM(AK77-AJ77)</f>
        <v>-6500.929999999993</v>
      </c>
      <c r="AL78" s="54">
        <f t="shared" ref="AL78" si="2211">SUM(AL77-AK77)</f>
        <v>25282.37999999999</v>
      </c>
      <c r="AM78" s="54">
        <f t="shared" ref="AM78" si="2212">SUM(AM77-AL77)</f>
        <v>41452.769999999975</v>
      </c>
      <c r="AN78" s="54">
        <f t="shared" ref="AN78" si="2213">SUM(AN77-AM77)</f>
        <v>-27538.929999999993</v>
      </c>
      <c r="AO78" s="54">
        <f t="shared" ref="AO78" si="2214">SUM(AO77-AN77)</f>
        <v>-19072.01999999999</v>
      </c>
      <c r="AP78" s="54">
        <f t="shared" ref="AP78" si="2215">SUM(AP77-AO77)</f>
        <v>21024.850000000006</v>
      </c>
      <c r="AQ78" s="54">
        <f t="shared" ref="AQ78" si="2216">SUM(AQ77-AP77)</f>
        <v>-5460.2799999999988</v>
      </c>
      <c r="AR78" s="54">
        <f t="shared" ref="AR78" si="2217">SUM(AR77-AQ77)</f>
        <v>-14149.140000000014</v>
      </c>
      <c r="AS78" s="54">
        <f t="shared" ref="AS78" si="2218">SUM(AS77-AR77)</f>
        <v>10762.520000000004</v>
      </c>
      <c r="AT78" s="54">
        <f t="shared" ref="AT78" si="2219">SUM(AT77-AS77)</f>
        <v>15503.800000000003</v>
      </c>
      <c r="AU78" s="54">
        <f t="shared" ref="AU78" si="2220">SUM(AU77-AT77)</f>
        <v>19492.770000000019</v>
      </c>
      <c r="AV78" s="54">
        <f t="shared" ref="AV78" si="2221">SUM(AV77-AU77)</f>
        <v>-27812.380000000019</v>
      </c>
      <c r="AW78" s="54">
        <f t="shared" ref="AW78" si="2222">SUM(AW77-AV77)</f>
        <v>9874.9000000000087</v>
      </c>
      <c r="AX78" s="54">
        <f t="shared" ref="AX78" si="2223">SUM(AX77-AW77)</f>
        <v>-3812.859999999986</v>
      </c>
      <c r="AY78" s="54">
        <f t="shared" ref="AY78" si="2224">SUM(AY77-AX77)</f>
        <v>5411.609999999986</v>
      </c>
      <c r="AZ78" s="54">
        <f t="shared" ref="AZ78" si="2225">SUM(AZ77-AY77)</f>
        <v>-4207.4599999999919</v>
      </c>
      <c r="BA78" s="54">
        <f t="shared" ref="BA78" si="2226">SUM(BA77-AZ77)</f>
        <v>3955.6499999999942</v>
      </c>
      <c r="BB78" s="54">
        <f t="shared" ref="BB78" si="2227">SUM(BB77-BA77)</f>
        <v>7716.2999999999884</v>
      </c>
      <c r="BC78" s="54">
        <f t="shared" ref="BC78" si="2228">SUM(BC77-BB77)</f>
        <v>-6987.890000000014</v>
      </c>
      <c r="BD78" s="54">
        <f t="shared" ref="BD78" si="2229">SUM(BD77-BC77)</f>
        <v>12574.340000000026</v>
      </c>
      <c r="BE78" s="54">
        <f t="shared" ref="BE78" si="2230">SUM(BE77-BD77)</f>
        <v>-9589.4599999999919</v>
      </c>
      <c r="BF78" s="54">
        <f t="shared" ref="BF78" si="2231">SUM(BF77-BE77)</f>
        <v>-7623.0299999999988</v>
      </c>
      <c r="BG78" s="54">
        <f t="shared" ref="BG78" si="2232">SUM(BG77-BF77)</f>
        <v>12422.819999999978</v>
      </c>
      <c r="BH78" s="54">
        <f t="shared" ref="BH78" si="2233">SUM(BH77-BG77)</f>
        <v>11291.220000000001</v>
      </c>
      <c r="BI78" s="54">
        <f t="shared" ref="BI78" si="2234">SUM(BI77-BH77)</f>
        <v>-5151.8899999999849</v>
      </c>
      <c r="BJ78" s="54">
        <f t="shared" ref="BJ78" si="2235">SUM(BJ77-BI77)</f>
        <v>-11480.830000000016</v>
      </c>
      <c r="BK78" s="54">
        <f t="shared" ref="BK78" si="2236">SUM(BK77-BJ77)</f>
        <v>-22332.83</v>
      </c>
      <c r="BL78" s="54">
        <f t="shared" ref="BL78" si="2237">SUM(BL77-BK77)</f>
        <v>15732.834999999977</v>
      </c>
      <c r="BM78" s="54">
        <f t="shared" ref="BM78" si="2238">SUM(BM77-BL77)</f>
        <v>281.01500000001397</v>
      </c>
      <c r="BN78" s="54">
        <f t="shared" ref="BN78" si="2239">SUM(BN77-BM77)</f>
        <v>-10285.049999999988</v>
      </c>
      <c r="BO78" s="54">
        <f t="shared" ref="BO78" si="2240">SUM(BO77-BN77)</f>
        <v>7763.070000000007</v>
      </c>
      <c r="BP78" s="54">
        <f t="shared" ref="BP78" si="2241">SUM(BP77-BO77)</f>
        <v>11861.659999999974</v>
      </c>
      <c r="BQ78" s="54">
        <f t="shared" ref="BQ78" si="2242">SUM(BQ77-BP77)</f>
        <v>-15359.599999999977</v>
      </c>
      <c r="BR78" s="54">
        <f t="shared" ref="BR78" si="2243">SUM(BR77-BQ77)</f>
        <v>11315.099999999977</v>
      </c>
      <c r="BS78" s="54">
        <f t="shared" ref="BS78" si="2244">SUM(BS77-BR77)</f>
        <v>-4261.9799999999814</v>
      </c>
      <c r="BT78" s="54">
        <f t="shared" ref="BT78" si="2245">SUM(BT77-BS77)</f>
        <v>-839.79999999998836</v>
      </c>
      <c r="BU78" s="54">
        <f t="shared" ref="BU78" si="2246">SUM(BU77-BT77)</f>
        <v>-3577.9300000000076</v>
      </c>
      <c r="BV78" s="54">
        <f t="shared" ref="BV78" si="2247">SUM(BV77-BU77)</f>
        <v>17317.770000000004</v>
      </c>
      <c r="BW78" s="54">
        <f t="shared" ref="BW78" si="2248">SUM(BW77-BV77)</f>
        <v>9115.1299999999756</v>
      </c>
      <c r="BX78" s="54">
        <f t="shared" ref="BX78" si="2249">SUM(BX77-BW77)</f>
        <v>25342.620000000024</v>
      </c>
      <c r="BY78" s="54">
        <f t="shared" ref="BY78" si="2250">SUM(BY77-BX77)</f>
        <v>-10888.850000000006</v>
      </c>
      <c r="BZ78" s="54">
        <f t="shared" ref="BZ78" si="2251">SUM(BZ77-BY77)</f>
        <v>-34995.210000000021</v>
      </c>
      <c r="CA78" s="54">
        <f t="shared" ref="CA78" si="2252">SUM(CA77-BZ77)</f>
        <v>-13278.059999999969</v>
      </c>
      <c r="CB78" s="54">
        <f t="shared" ref="CB78" si="2253">SUM(CB77-CA77)</f>
        <v>3774.3899999999849</v>
      </c>
      <c r="CC78" s="54">
        <f t="shared" ref="CC78" si="2254">SUM(CC77-CB77)</f>
        <v>5287.6600000000035</v>
      </c>
      <c r="CD78" s="54">
        <f t="shared" ref="CD78" si="2255">SUM(CD77-CC77)</f>
        <v>4513.8500000000058</v>
      </c>
      <c r="CE78" s="54">
        <f t="shared" ref="CE78" si="2256">SUM(CE77-CD77)</f>
        <v>5241.2200000000012</v>
      </c>
      <c r="CF78" s="54">
        <f t="shared" ref="CF78" si="2257">SUM(CF77-CE77)</f>
        <v>18942.680000000022</v>
      </c>
      <c r="CG78" s="54">
        <f t="shared" ref="CG78" si="2258">SUM(CG77-CF77)</f>
        <v>-23065.580000000016</v>
      </c>
      <c r="CH78" s="54">
        <f t="shared" ref="CH78" si="2259">SUM(CH77-CG77)</f>
        <v>4810.5799999999872</v>
      </c>
      <c r="CI78" s="54">
        <f t="shared" ref="CI78" si="2260">SUM(CI77-CH77)</f>
        <v>19443.679999999993</v>
      </c>
      <c r="CJ78" s="54">
        <f t="shared" ref="CJ78" si="2261">SUM(CJ77-CI77)</f>
        <v>-24668.350000000006</v>
      </c>
      <c r="CK78" s="54">
        <f t="shared" ref="CK78" si="2262">SUM(CK77-CJ77)</f>
        <v>12578.660000000033</v>
      </c>
      <c r="CL78" s="54">
        <f t="shared" ref="CL78:CO78" si="2263">SUM(CL77-CK77)</f>
        <v>36206.28</v>
      </c>
      <c r="CM78" s="54">
        <f t="shared" si="2263"/>
        <v>-17638.610000000015</v>
      </c>
      <c r="CN78" s="54">
        <f t="shared" si="2263"/>
        <v>-5425.2799999999988</v>
      </c>
      <c r="CO78" s="54">
        <f t="shared" si="2263"/>
        <v>-10837.390000000014</v>
      </c>
      <c r="CP78" s="54">
        <f t="shared" ref="CP78:CW78" si="2264">SUM(CP77-CO77)</f>
        <v>-250.11999999999534</v>
      </c>
      <c r="CQ78" s="54">
        <f t="shared" si="2264"/>
        <v>18768.080000000045</v>
      </c>
      <c r="CR78" s="54">
        <f t="shared" si="2264"/>
        <v>-3853.9900000000489</v>
      </c>
      <c r="CS78" s="54">
        <f t="shared" si="2264"/>
        <v>-19155.580000000016</v>
      </c>
      <c r="CT78" s="54">
        <f t="shared" si="2264"/>
        <v>30956.760000000009</v>
      </c>
      <c r="CU78" s="54">
        <f t="shared" si="2264"/>
        <v>2117.390000000014</v>
      </c>
      <c r="CV78" s="54">
        <f t="shared" si="2264"/>
        <v>-25676.549999999988</v>
      </c>
      <c r="CW78" s="54">
        <f t="shared" si="2264"/>
        <v>21258.600000000006</v>
      </c>
      <c r="CX78" s="54">
        <f t="shared" ref="CX78:DH78" si="2265">SUM(CX77-CW77)</f>
        <v>-6642.6000000000058</v>
      </c>
      <c r="CY78" s="54">
        <f t="shared" si="2265"/>
        <v>2928.460000000021</v>
      </c>
      <c r="CZ78" s="54">
        <f t="shared" si="2265"/>
        <v>-15635.690000000031</v>
      </c>
      <c r="DA78" s="54">
        <f t="shared" si="2265"/>
        <v>13333.020000000019</v>
      </c>
      <c r="DB78" s="54">
        <f t="shared" si="2265"/>
        <v>4764.0599999999686</v>
      </c>
      <c r="DC78" s="54">
        <f t="shared" si="2265"/>
        <v>-3644.25</v>
      </c>
      <c r="DD78" s="54">
        <f t="shared" si="2265"/>
        <v>21844.840000000026</v>
      </c>
      <c r="DE78" s="54">
        <f t="shared" si="2265"/>
        <v>-11814.090000000026</v>
      </c>
      <c r="DF78" s="54">
        <f t="shared" si="2265"/>
        <v>3226.7420000000275</v>
      </c>
      <c r="DG78" s="54">
        <f t="shared" si="2265"/>
        <v>7929.9679999999935</v>
      </c>
      <c r="DH78" s="54">
        <f t="shared" si="2265"/>
        <v>1252.0199999999895</v>
      </c>
      <c r="DI78" s="28">
        <f t="shared" ref="DI78" si="2266">SUM(DI77-DH77)/DH77</f>
        <v>-0.19047813391397952</v>
      </c>
      <c r="DJ78" s="28">
        <f t="shared" ref="DJ78" si="2267">SUM(DJ77-DI77)/DI77</f>
        <v>-0.13716310069420831</v>
      </c>
      <c r="DK78" s="28">
        <f t="shared" ref="DK78" si="2268">SUM(DK77-DJ77)/DJ77</f>
        <v>0.17601688466845147</v>
      </c>
      <c r="DL78" s="28">
        <f t="shared" ref="DL78" si="2269">SUM(DL77-DK77)/DK77</f>
        <v>4.0741964609039713E-2</v>
      </c>
      <c r="DM78" s="28">
        <f t="shared" ref="DM78" si="2270">SUM(DM77-DL77)/DL77</f>
        <v>-5.9348324838912919E-2</v>
      </c>
      <c r="DN78" s="28">
        <f t="shared" ref="DN78" si="2271">SUM(DN77-DM77)/DM77</f>
        <v>-3.6612002003651271E-2</v>
      </c>
      <c r="DO78" s="28">
        <f t="shared" ref="DO78" si="2272">SUM(DO77-DN77)/DN77</f>
        <v>1.8349077254854674E-2</v>
      </c>
      <c r="DP78" s="28">
        <f t="shared" ref="DP78" si="2273">SUM(DP77-DO77)/DO77</f>
        <v>6.0371553932799089E-2</v>
      </c>
      <c r="DQ78" s="28">
        <f t="shared" ref="DQ78" si="2274">SUM(DQ77-DP77)/DP77</f>
        <v>2.4168066222689161E-2</v>
      </c>
      <c r="DR78" s="28">
        <f t="shared" ref="DR78" si="2275">SUM(DR77-DQ77)/DQ77</f>
        <v>-0.10122130911745561</v>
      </c>
      <c r="DS78" s="28">
        <f t="shared" ref="DS78" si="2276">SUM(DS77-DR77)/DR77</f>
        <v>-3.1213701244150276E-2</v>
      </c>
      <c r="DT78" s="28">
        <f t="shared" ref="DT78" si="2277">SUM(DT77-DS77)/DS77</f>
        <v>5.127073201629645E-2</v>
      </c>
      <c r="DU78" s="28">
        <f t="shared" ref="DU78" si="2278">SUM(DU77-DT77)/DT77</f>
        <v>0.29136387812875658</v>
      </c>
      <c r="DV78" s="28">
        <f t="shared" ref="DV78" si="2279">SUM(DV77-DU77)/DU77</f>
        <v>-9.827078253451639E-2</v>
      </c>
      <c r="DW78" s="28">
        <f t="shared" ref="DW78" si="2280">SUM(DW77-DV77)/DV77</f>
        <v>0.18415080299278094</v>
      </c>
      <c r="DX78" s="28">
        <f t="shared" ref="DX78" si="2281">SUM(DX77-DW77)/DW77</f>
        <v>0.10140226915608241</v>
      </c>
      <c r="DY78" s="28">
        <f t="shared" ref="DY78" si="2282">SUM(DY77-DX77)/DX77</f>
        <v>-5.0318226884989707E-2</v>
      </c>
      <c r="DZ78" s="28">
        <f t="shared" ref="DZ78" si="2283">SUM(DZ77-DY77)/DY77</f>
        <v>3.1013245119095235E-2</v>
      </c>
      <c r="EA78" s="28">
        <f t="shared" ref="EA78" si="2284">SUM(EA77-DZ77)/DZ77</f>
        <v>-0.28812913465430173</v>
      </c>
      <c r="EB78" s="28">
        <f t="shared" ref="EB78" si="2285">SUM(EB77-EA77)/EA77</f>
        <v>6.5059249048598874E-2</v>
      </c>
      <c r="EC78" s="28">
        <f t="shared" ref="EC78" si="2286">SUM(EC77-EB77)/EB77</f>
        <v>-2.970089883271557E-2</v>
      </c>
      <c r="ED78" s="28">
        <f t="shared" ref="ED78" si="2287">SUM(ED77-EC77)/EC77</f>
        <v>0.20632713218689663</v>
      </c>
      <c r="EE78" s="28">
        <f t="shared" ref="EE78" si="2288">SUM(EE77-ED77)/ED77</f>
        <v>-6.2054556228891312E-2</v>
      </c>
      <c r="EF78" s="28">
        <f t="shared" ref="EF78" si="2289">SUM(EF77-EE77)/EE77</f>
        <v>9.8169769867880383E-2</v>
      </c>
      <c r="EG78" s="28">
        <f t="shared" ref="EG78" si="2290">SUM(EG77-EF77)/EF77</f>
        <v>6.5060605651932141E-2</v>
      </c>
      <c r="EH78" s="28">
        <f t="shared" ref="EH78" si="2291">SUM(EH77-EG77)/EG77</f>
        <v>-2.9395224545656445E-2</v>
      </c>
      <c r="EI78" s="28">
        <f t="shared" ref="EI78" si="2292">SUM(EI77-EH77)/EH77</f>
        <v>-0.14190923429496904</v>
      </c>
      <c r="EJ78" s="28">
        <f t="shared" ref="EJ78" si="2293">SUM(EJ77-EI77)/EI77</f>
        <v>0.10913428114656999</v>
      </c>
      <c r="EK78" s="28">
        <f t="shared" ref="EK78" si="2294">SUM(EK77-EJ77)/EJ77</f>
        <v>5.3734091373375439E-2</v>
      </c>
      <c r="EL78" s="28">
        <f t="shared" ref="EL78" si="2295">SUM(EL77-EK77)/EK77</f>
        <v>0.13818255214851155</v>
      </c>
      <c r="EM78" s="28">
        <f t="shared" ref="EM78" si="2296">SUM(EM77-EL77)/EL77</f>
        <v>-9.8057352596290004E-2</v>
      </c>
      <c r="EN78" s="28">
        <f t="shared" ref="EN78" si="2297">SUM(EN77-EM77)/EM77</f>
        <v>2.727280985140516E-2</v>
      </c>
      <c r="EO78" s="28">
        <f t="shared" ref="EO78" si="2298">SUM(EO77-EN77)/EN77</f>
        <v>0.17386701444788508</v>
      </c>
      <c r="EP78" s="28">
        <f t="shared" ref="EP78" si="2299">SUM(EP77-EO77)/EO77</f>
        <v>-0.13063641086011529</v>
      </c>
      <c r="EQ78" s="28">
        <f t="shared" ref="EQ78" si="2300">SUM(EQ77-EP77)/EP77</f>
        <v>2.6340311767844402E-3</v>
      </c>
      <c r="ER78" s="28">
        <f t="shared" ref="ER78" si="2301">SUM(ER77-EQ77)/EQ77</f>
        <v>-7.5265340443358239E-2</v>
      </c>
      <c r="ES78" s="28">
        <f t="shared" ref="ES78" si="2302">SUM(ES77-ER77)/ER77</f>
        <v>-4.7188710498376814E-2</v>
      </c>
      <c r="ET78" s="28">
        <f t="shared" ref="ET78" si="2303">SUM(ET77-ES77)/ES77</f>
        <v>4.7171267278869722E-2</v>
      </c>
      <c r="EU78" s="28">
        <f t="shared" ref="EU78" si="2304">SUM(EU77-ET77)/ET77</f>
        <v>0.20016583118843978</v>
      </c>
      <c r="EV78" s="28">
        <f t="shared" ref="EV78" si="2305">SUM(EV77-EU77)/EU77</f>
        <v>-0.18906221045156382</v>
      </c>
      <c r="EW78" s="28">
        <f t="shared" ref="EW78" si="2306">SUM(EW77-EV77)/EV77</f>
        <v>0.20108154842812462</v>
      </c>
      <c r="EX78" s="28">
        <f t="shared" ref="EX78" si="2307">SUM(EX77-EW77)/EW77</f>
        <v>-0.1379153368558497</v>
      </c>
      <c r="EY78" s="28">
        <f t="shared" ref="EY78" si="2308">SUM(EY77-EX77)/EX77</f>
        <v>8.9338603292328816E-2</v>
      </c>
      <c r="EZ78" s="28">
        <f t="shared" ref="EZ78" si="2309">SUM(EZ77-EY77)/EY77</f>
        <v>1.0621318530131705E-2</v>
      </c>
      <c r="FA78" s="28">
        <f t="shared" ref="FA78" si="2310">SUM(FA77-EZ77)/EZ77</f>
        <v>-7.8749597717976086E-2</v>
      </c>
      <c r="FB78" s="28">
        <f t="shared" ref="FB78" si="2311">SUM(FB77-FA77)/FA77</f>
        <v>0.14610689139738925</v>
      </c>
      <c r="FC78" s="28">
        <f t="shared" ref="FC78" si="2312">SUM(FC77-FB77)/FB77</f>
        <v>-2.7717551221446729E-2</v>
      </c>
      <c r="FD78" s="28">
        <f t="shared" ref="FD78" si="2313">SUM(FD77-FC77)/FC77</f>
        <v>2.5979801857443745E-2</v>
      </c>
      <c r="FE78" s="28">
        <f t="shared" ref="FE78" si="2314">SUM(FE77-FD77)/FD77</f>
        <v>-3.5003011043592588E-2</v>
      </c>
      <c r="FF78" s="28">
        <f t="shared" ref="FF78" si="2315">SUM(FF77-FE77)/FE77</f>
        <v>1.4493914699682494E-2</v>
      </c>
      <c r="FG78" s="28">
        <f t="shared" ref="FG78" si="2316">SUM(FG77-FF77)/FF77</f>
        <v>3.5230433292281753E-2</v>
      </c>
      <c r="FH78" s="28">
        <f t="shared" ref="FH78" si="2317">SUM(FH77-FG77)/FG77</f>
        <v>3.8046173336347501E-2</v>
      </c>
      <c r="FI78" s="28">
        <f t="shared" ref="FI78" si="2318">SUM(FI77-FH77)/FH77</f>
        <v>-0.16838234792712661</v>
      </c>
      <c r="FJ78" s="28">
        <f t="shared" ref="FJ78" si="2319">SUM(FJ77-FI77)/FI77</f>
        <v>5.5462271118061096E-2</v>
      </c>
      <c r="FK78" s="28">
        <f t="shared" ref="FK78" si="2320">SUM(FK77-FJ77)/FJ77</f>
        <v>-3.0425704944175316E-2</v>
      </c>
      <c r="FL78" s="28">
        <f t="shared" ref="FL78" si="2321">SUM(FL77-FK77)/FK77</f>
        <v>-4.5963703676686334E-2</v>
      </c>
      <c r="FM78" s="28">
        <f t="shared" ref="FM78:GL78" si="2322">SUM(FM77-FL77)/FL77</f>
        <v>2.7582654145000669E-2</v>
      </c>
      <c r="FN78" s="28">
        <f t="shared" si="2322"/>
        <v>3.932987959040133E-2</v>
      </c>
      <c r="FO78" s="28">
        <f t="shared" si="2322"/>
        <v>-7.8302160959938541E-2</v>
      </c>
      <c r="FP78" s="28">
        <f t="shared" si="2322"/>
        <v>0.13956686721573125</v>
      </c>
      <c r="FQ78" s="28">
        <f t="shared" si="2322"/>
        <v>-2.6242674721670495E-2</v>
      </c>
      <c r="FR78" s="28">
        <f t="shared" si="2322"/>
        <v>-6.6759623962381151E-2</v>
      </c>
      <c r="FS78" s="28">
        <f t="shared" si="2322"/>
        <v>2.3792733560111846E-2</v>
      </c>
      <c r="FT78" s="28">
        <f t="shared" si="2322"/>
        <v>1.2844104835474528E-2</v>
      </c>
      <c r="FU78" s="28">
        <f t="shared" si="2322"/>
        <v>2.7449970610766015E-2</v>
      </c>
      <c r="FV78" s="28">
        <f t="shared" si="2322"/>
        <v>1.5633728831931291E-2</v>
      </c>
      <c r="FW78" s="28">
        <f t="shared" si="2322"/>
        <v>0.10803164957132913</v>
      </c>
      <c r="FX78" s="28">
        <f t="shared" si="2322"/>
        <v>8.5596399721843561E-2</v>
      </c>
      <c r="FY78" s="28">
        <f t="shared" si="2322"/>
        <v>-0.11084804351035643</v>
      </c>
      <c r="FZ78" s="28">
        <f t="shared" si="2322"/>
        <v>0.42871773032224986</v>
      </c>
      <c r="GA78" s="28">
        <f t="shared" si="2322"/>
        <v>-0.53875908915914994</v>
      </c>
      <c r="GB78" s="28">
        <f t="shared" si="2322"/>
        <v>0.15326238159496378</v>
      </c>
      <c r="GC78" s="28">
        <f t="shared" si="2322"/>
        <v>-7.0496013865906357E-2</v>
      </c>
      <c r="GD78" s="28">
        <f t="shared" si="2322"/>
        <v>0.17887960859492222</v>
      </c>
      <c r="GE78" s="28">
        <f t="shared" si="2322"/>
        <v>-5.503345050470064E-2</v>
      </c>
      <c r="GF78" s="28">
        <f t="shared" si="2322"/>
        <v>0.10694685419510559</v>
      </c>
      <c r="GG78" s="28">
        <f t="shared" si="2322"/>
        <v>2.9348641703285314E-2</v>
      </c>
      <c r="GH78" s="28">
        <f t="shared" si="2322"/>
        <v>-7.7090711122925371E-2</v>
      </c>
      <c r="GI78" s="28">
        <f t="shared" si="2322"/>
        <v>1.6742325705143973E-2</v>
      </c>
      <c r="GJ78" s="28">
        <f t="shared" si="2322"/>
        <v>0.18497261358946024</v>
      </c>
      <c r="GK78" s="28">
        <f t="shared" si="2322"/>
        <v>-7.951008940051893E-2</v>
      </c>
      <c r="GL78" s="28">
        <f t="shared" si="2322"/>
        <v>-1.4642994191520065E-2</v>
      </c>
      <c r="GM78" s="28">
        <f t="shared" ref="GM78:GR78" si="2323">SUM(GM77-GK77)/GK77</f>
        <v>0.32042952459389734</v>
      </c>
      <c r="GN78" s="28">
        <f t="shared" si="2323"/>
        <v>0.24387594832527454</v>
      </c>
      <c r="GO78" s="28">
        <f t="shared" si="2323"/>
        <v>-0.18986140254175476</v>
      </c>
      <c r="GP78" s="28">
        <f t="shared" si="2323"/>
        <v>-0.11313559731034768</v>
      </c>
      <c r="GQ78" s="28">
        <f t="shared" si="2323"/>
        <v>0.1147422559548497</v>
      </c>
      <c r="GR78" s="109">
        <f t="shared" si="2323"/>
        <v>3.4466041866999683E-2</v>
      </c>
      <c r="GS78" s="157"/>
      <c r="GW78" s="60"/>
      <c r="GX78" s="60"/>
      <c r="GY78" s="60"/>
      <c r="GZ78" s="60"/>
      <c r="HA78" s="60"/>
    </row>
    <row r="79" spans="1:209" s="1" customFormat="1" ht="15" customHeight="1" x14ac:dyDescent="0.3">
      <c r="A79" s="173"/>
      <c r="B79" s="22" t="s">
        <v>91</v>
      </c>
      <c r="C79" s="23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25">
        <f t="shared" ref="BD79" si="2324">D77</f>
        <v>107063.78</v>
      </c>
      <c r="BE79" s="25">
        <f t="shared" ref="BE79" si="2325">E77</f>
        <v>102252.98999999999</v>
      </c>
      <c r="BF79" s="25">
        <f t="shared" ref="BF79" si="2326">F77</f>
        <v>100053.20000000001</v>
      </c>
      <c r="BG79" s="25">
        <f t="shared" ref="BG79" si="2327">G77</f>
        <v>110516.23</v>
      </c>
      <c r="BH79" s="25">
        <f t="shared" ref="BH79" si="2328">H77</f>
        <v>100449.34999999999</v>
      </c>
      <c r="BI79" s="25">
        <f t="shared" ref="BI79" si="2329">I77</f>
        <v>78734.710000000006</v>
      </c>
      <c r="BJ79" s="25">
        <f t="shared" ref="BJ79" si="2330">J77</f>
        <v>88911.319999999992</v>
      </c>
      <c r="BK79" s="25">
        <f t="shared" ref="BK79" si="2331">K77</f>
        <v>80320.42</v>
      </c>
      <c r="BL79" s="25">
        <f t="shared" ref="BL79" si="2332">L77</f>
        <v>78143.13</v>
      </c>
      <c r="BM79" s="25">
        <f t="shared" ref="BM79" si="2333">M77</f>
        <v>80997.179999999993</v>
      </c>
      <c r="BN79" s="25">
        <f t="shared" ref="BN79" si="2334">N77</f>
        <v>70275.739999999991</v>
      </c>
      <c r="BO79" s="25">
        <f t="shared" ref="BO79" si="2335">O77</f>
        <v>77204.700000000012</v>
      </c>
      <c r="BP79" s="25">
        <f t="shared" ref="BP79" si="2336">P77</f>
        <v>87253.799999999988</v>
      </c>
      <c r="BQ79" s="25">
        <f t="shared" ref="BQ79" si="2337">Q77</f>
        <v>73143.12</v>
      </c>
      <c r="BR79" s="25">
        <f t="shared" ref="BR79" si="2338">R77</f>
        <v>83439.829999999987</v>
      </c>
      <c r="BS79" s="25">
        <f t="shared" ref="BS79" si="2339">S77</f>
        <v>79248.110000000015</v>
      </c>
      <c r="BT79" s="25">
        <f t="shared" ref="BT79" si="2340">T77</f>
        <v>72608.34</v>
      </c>
      <c r="BU79" s="25">
        <f t="shared" ref="BU79" si="2341">U77</f>
        <v>79756.760000000009</v>
      </c>
      <c r="BV79" s="25">
        <f t="shared" ref="BV79" si="2342">V77</f>
        <v>79965.48</v>
      </c>
      <c r="BW79" s="25">
        <f t="shared" ref="BW79" si="2343">W77</f>
        <v>83824.540000000008</v>
      </c>
      <c r="BX79" s="25">
        <f t="shared" ref="BX79" si="2344">X77</f>
        <v>86481.61</v>
      </c>
      <c r="BY79" s="25">
        <f t="shared" ref="BY79" si="2345">Y77</f>
        <v>100192.67000000001</v>
      </c>
      <c r="BZ79" s="25">
        <f t="shared" ref="BZ79" si="2346">Z77</f>
        <v>77805.100000000006</v>
      </c>
      <c r="CA79" s="25">
        <f t="shared" ref="CA79" si="2347">AA77</f>
        <v>67197.66</v>
      </c>
      <c r="CB79" s="25">
        <f t="shared" ref="CB79" si="2348">AB77</f>
        <v>72092.899999999994</v>
      </c>
      <c r="CC79" s="25">
        <f t="shared" ref="CC79" si="2349">AC77</f>
        <v>75550.350000000006</v>
      </c>
      <c r="CD79" s="25">
        <f t="shared" ref="CD79" si="2350">AD77</f>
        <v>81437.399999999994</v>
      </c>
      <c r="CE79" s="25">
        <f t="shared" ref="CE79" si="2351">AE77</f>
        <v>79766.81</v>
      </c>
      <c r="CF79" s="25">
        <f t="shared" ref="CF79" si="2352">AF77</f>
        <v>97603.760000000009</v>
      </c>
      <c r="CG79" s="25">
        <f t="shared" ref="CG79" si="2353">AG77</f>
        <v>81873.670000000013</v>
      </c>
      <c r="CH79" s="25">
        <f t="shared" ref="CH79" si="2354">AH77</f>
        <v>87828.65</v>
      </c>
      <c r="CI79" s="25">
        <f t="shared" ref="CI79" si="2355">AI77</f>
        <v>78004.510000000009</v>
      </c>
      <c r="CJ79" s="25">
        <f t="shared" ref="CJ79" si="2356">AJ77</f>
        <v>92900.07</v>
      </c>
      <c r="CK79" s="25">
        <f t="shared" ref="CK79" si="2357">AK77</f>
        <v>86399.140000000014</v>
      </c>
      <c r="CL79" s="25">
        <f t="shared" ref="CL79" si="2358">AL77</f>
        <v>111681.52</v>
      </c>
      <c r="CM79" s="25">
        <f t="shared" ref="CM79" si="2359">AM77</f>
        <v>153134.28999999998</v>
      </c>
      <c r="CN79" s="25">
        <f t="shared" ref="CN79" si="2360">AN77</f>
        <v>125595.35999999999</v>
      </c>
      <c r="CO79" s="25">
        <f t="shared" ref="CO79" si="2361">AO77</f>
        <v>106523.34</v>
      </c>
      <c r="CP79" s="25">
        <f t="shared" ref="CP79" si="2362">AP77</f>
        <v>127548.19</v>
      </c>
      <c r="CQ79" s="25">
        <f t="shared" ref="CQ79" si="2363">AQ77</f>
        <v>122087.91</v>
      </c>
      <c r="CR79" s="25">
        <f t="shared" ref="CR79" si="2364">AR77</f>
        <v>107938.76999999999</v>
      </c>
      <c r="CS79" s="25">
        <f t="shared" ref="CS79" si="2365">AS77</f>
        <v>118701.29</v>
      </c>
      <c r="CT79" s="25">
        <f t="shared" ref="CT79" si="2366">AT77</f>
        <v>134205.09</v>
      </c>
      <c r="CU79" s="25">
        <f t="shared" ref="CU79" si="2367">AU77</f>
        <v>153697.86000000002</v>
      </c>
      <c r="CV79" s="25">
        <f t="shared" ref="CV79" si="2368">AV77</f>
        <v>125885.48</v>
      </c>
      <c r="CW79" s="25">
        <f t="shared" ref="CW79" si="2369">AW77</f>
        <v>135760.38</v>
      </c>
      <c r="CX79" s="25">
        <f t="shared" ref="CX79" si="2370">AX77</f>
        <v>131947.52000000002</v>
      </c>
      <c r="CY79" s="25">
        <f t="shared" ref="CY79" si="2371">AY77</f>
        <v>137359.13</v>
      </c>
      <c r="CZ79" s="25">
        <f t="shared" ref="CZ79" si="2372">AZ77</f>
        <v>133151.67000000001</v>
      </c>
      <c r="DA79" s="25">
        <f t="shared" ref="DA79" si="2373">BA77</f>
        <v>137107.32</v>
      </c>
      <c r="DB79" s="25">
        <f t="shared" ref="DB79" si="2374">BB77</f>
        <v>144823.62</v>
      </c>
      <c r="DC79" s="25">
        <f t="shared" ref="DC79" si="2375">BC77</f>
        <v>137835.72999999998</v>
      </c>
      <c r="DD79" s="25">
        <f t="shared" ref="DD79" si="2376">BD77</f>
        <v>150410.07</v>
      </c>
      <c r="DE79" s="25">
        <f t="shared" ref="DE79" si="2377">BE77</f>
        <v>140820.61000000002</v>
      </c>
      <c r="DF79" s="25">
        <f t="shared" ref="DF79" si="2378">BF77</f>
        <v>133197.58000000002</v>
      </c>
      <c r="DG79" s="25">
        <f t="shared" ref="DG79" si="2379">BG77</f>
        <v>145620.4</v>
      </c>
      <c r="DH79" s="25">
        <f t="shared" ref="DH79" si="2380">BH77</f>
        <v>156911.62</v>
      </c>
      <c r="DI79" s="25">
        <f t="shared" ref="DI79" si="2381">BI77</f>
        <v>151759.73000000001</v>
      </c>
      <c r="DJ79" s="25">
        <f t="shared" ref="DJ79" si="2382">BJ77</f>
        <v>140278.9</v>
      </c>
      <c r="DK79" s="25">
        <f t="shared" ref="DK79" si="2383">BK77</f>
        <v>117946.06999999999</v>
      </c>
      <c r="DL79" s="25">
        <f t="shared" ref="DL79" si="2384">BL77</f>
        <v>133678.90499999997</v>
      </c>
      <c r="DM79" s="25">
        <f t="shared" ref="DM79" si="2385">BM77</f>
        <v>133959.91999999998</v>
      </c>
      <c r="DN79" s="25">
        <f t="shared" ref="DN79" si="2386">BN77</f>
        <v>123674.87</v>
      </c>
      <c r="DO79" s="25">
        <f t="shared" ref="DO79" si="2387">BO77</f>
        <v>131437.94</v>
      </c>
      <c r="DP79" s="25">
        <f t="shared" ref="DP79" si="2388">BP77</f>
        <v>143299.59999999998</v>
      </c>
      <c r="DQ79" s="25">
        <f t="shared" ref="DQ79" si="2389">BQ77</f>
        <v>127940</v>
      </c>
      <c r="DR79" s="25">
        <f t="shared" ref="DR79" si="2390">BR77</f>
        <v>139255.09999999998</v>
      </c>
      <c r="DS79" s="25">
        <f t="shared" ref="DS79" si="2391">BS77</f>
        <v>134993.12</v>
      </c>
      <c r="DT79" s="25">
        <f t="shared" ref="DT79" si="2392">BT77</f>
        <v>134153.32</v>
      </c>
      <c r="DU79" s="25">
        <f t="shared" ref="DU79" si="2393">BU77</f>
        <v>130575.39</v>
      </c>
      <c r="DV79" s="25">
        <f t="shared" ref="DV79" si="2394">BV77</f>
        <v>147893.16</v>
      </c>
      <c r="DW79" s="25">
        <f t="shared" ref="DW79:FG79" si="2395">BW77</f>
        <v>157008.28999999998</v>
      </c>
      <c r="DX79" s="25">
        <f t="shared" si="2395"/>
        <v>182350.91</v>
      </c>
      <c r="DY79" s="25">
        <f t="shared" si="2395"/>
        <v>171462.06</v>
      </c>
      <c r="DZ79" s="25">
        <f t="shared" si="2395"/>
        <v>136466.84999999998</v>
      </c>
      <c r="EA79" s="25">
        <f t="shared" si="2395"/>
        <v>123188.79000000001</v>
      </c>
      <c r="EB79" s="25">
        <f t="shared" si="2395"/>
        <v>126963.18</v>
      </c>
      <c r="EC79" s="25">
        <f t="shared" si="2395"/>
        <v>132250.84</v>
      </c>
      <c r="ED79" s="25">
        <f t="shared" si="2395"/>
        <v>136764.69</v>
      </c>
      <c r="EE79" s="25">
        <f t="shared" si="2395"/>
        <v>142005.91</v>
      </c>
      <c r="EF79" s="25">
        <f t="shared" si="2395"/>
        <v>160948.59000000003</v>
      </c>
      <c r="EG79" s="25">
        <f t="shared" si="2395"/>
        <v>137883.01</v>
      </c>
      <c r="EH79" s="25">
        <f t="shared" si="2395"/>
        <v>142693.59</v>
      </c>
      <c r="EI79" s="25">
        <f t="shared" si="2395"/>
        <v>162137.26999999999</v>
      </c>
      <c r="EJ79" s="25">
        <f t="shared" si="2395"/>
        <v>137468.91999999998</v>
      </c>
      <c r="EK79" s="25">
        <f t="shared" si="2395"/>
        <v>150047.58000000002</v>
      </c>
      <c r="EL79" s="25">
        <f t="shared" si="2395"/>
        <v>186253.86000000002</v>
      </c>
      <c r="EM79" s="25">
        <f t="shared" si="2395"/>
        <v>168615.25</v>
      </c>
      <c r="EN79" s="25">
        <f t="shared" si="2395"/>
        <v>163189.97</v>
      </c>
      <c r="EO79" s="25">
        <f t="shared" si="2395"/>
        <v>152352.57999999999</v>
      </c>
      <c r="EP79" s="25">
        <f t="shared" si="2395"/>
        <v>152102.46</v>
      </c>
      <c r="EQ79" s="25">
        <f t="shared" si="2395"/>
        <v>170870.54000000004</v>
      </c>
      <c r="ER79" s="25">
        <f t="shared" si="2395"/>
        <v>167016.54999999999</v>
      </c>
      <c r="ES79" s="25">
        <f t="shared" si="2395"/>
        <v>147860.96999999997</v>
      </c>
      <c r="ET79" s="25">
        <f t="shared" si="2395"/>
        <v>178817.72999999998</v>
      </c>
      <c r="EU79" s="25">
        <f t="shared" si="2395"/>
        <v>180935.12</v>
      </c>
      <c r="EV79" s="25">
        <f t="shared" si="2395"/>
        <v>155258.57</v>
      </c>
      <c r="EW79" s="25">
        <f t="shared" si="2395"/>
        <v>176517.17</v>
      </c>
      <c r="EX79" s="25">
        <f t="shared" si="2395"/>
        <v>169874.57</v>
      </c>
      <c r="EY79" s="25">
        <f t="shared" si="2395"/>
        <v>172803.03000000003</v>
      </c>
      <c r="EZ79" s="25">
        <f t="shared" si="2395"/>
        <v>157167.34</v>
      </c>
      <c r="FA79" s="25">
        <f t="shared" si="2395"/>
        <v>170500.36000000002</v>
      </c>
      <c r="FB79" s="25">
        <f t="shared" si="2395"/>
        <v>175264.41999999998</v>
      </c>
      <c r="FC79" s="25">
        <f t="shared" si="2395"/>
        <v>171620.16999999998</v>
      </c>
      <c r="FD79" s="25">
        <f t="shared" si="2395"/>
        <v>193465.01</v>
      </c>
      <c r="FE79" s="25">
        <f t="shared" si="2395"/>
        <v>181650.91999999998</v>
      </c>
      <c r="FF79" s="25">
        <f t="shared" si="2395"/>
        <v>184877.66200000001</v>
      </c>
      <c r="FG79" s="25">
        <f t="shared" si="2395"/>
        <v>192807.63</v>
      </c>
      <c r="FH79" s="25">
        <f t="shared" ref="FH79:GL79" si="2396">DH77</f>
        <v>194059.65</v>
      </c>
      <c r="FI79" s="25">
        <f t="shared" si="2396"/>
        <v>157095.53</v>
      </c>
      <c r="FJ79" s="25">
        <f t="shared" si="2396"/>
        <v>135547.81999999998</v>
      </c>
      <c r="FK79" s="25">
        <f t="shared" si="2396"/>
        <v>159406.52499999999</v>
      </c>
      <c r="FL79" s="25">
        <f t="shared" si="2396"/>
        <v>165901.06</v>
      </c>
      <c r="FM79" s="25">
        <f t="shared" si="2396"/>
        <v>156055.11000000002</v>
      </c>
      <c r="FN79" s="25">
        <f t="shared" si="2396"/>
        <v>150341.62</v>
      </c>
      <c r="FO79" s="25">
        <f t="shared" si="2396"/>
        <v>153100.25</v>
      </c>
      <c r="FP79" s="25">
        <f t="shared" si="2396"/>
        <v>162343.15000000002</v>
      </c>
      <c r="FQ79" s="25">
        <f t="shared" si="2396"/>
        <v>166266.66999999998</v>
      </c>
      <c r="FR79" s="25">
        <f t="shared" si="2396"/>
        <v>149436.94</v>
      </c>
      <c r="FS79" s="25">
        <f t="shared" si="2396"/>
        <v>144772.46</v>
      </c>
      <c r="FT79" s="25">
        <f t="shared" si="2396"/>
        <v>152195.04999999999</v>
      </c>
      <c r="FU79" s="25">
        <f t="shared" si="2396"/>
        <v>196539.19</v>
      </c>
      <c r="FV79" s="25">
        <f t="shared" si="2396"/>
        <v>177225.13</v>
      </c>
      <c r="FW79" s="25">
        <f t="shared" si="2396"/>
        <v>209861.28</v>
      </c>
      <c r="FX79" s="25">
        <f t="shared" si="2396"/>
        <v>231141.68999999997</v>
      </c>
      <c r="FY79" s="25">
        <f t="shared" si="2396"/>
        <v>219511.05000000002</v>
      </c>
      <c r="FZ79" s="25">
        <f t="shared" si="2396"/>
        <v>226318.8</v>
      </c>
      <c r="GA79" s="25">
        <f t="shared" si="2396"/>
        <v>161109.76000000001</v>
      </c>
      <c r="GB79" s="25">
        <f t="shared" si="2396"/>
        <v>171591.44</v>
      </c>
      <c r="GC79" s="25">
        <f t="shared" si="2396"/>
        <v>166495.02000000002</v>
      </c>
      <c r="GD79" s="25">
        <f t="shared" si="2396"/>
        <v>200847.46000000002</v>
      </c>
      <c r="GE79" s="25">
        <f t="shared" si="2396"/>
        <v>188383.96000000002</v>
      </c>
      <c r="GF79" s="25">
        <f t="shared" si="2396"/>
        <v>206877.57</v>
      </c>
      <c r="GG79" s="25">
        <f t="shared" si="2396"/>
        <v>220337.15</v>
      </c>
      <c r="GH79" s="25">
        <f t="shared" si="2396"/>
        <v>213860.29</v>
      </c>
      <c r="GI79" s="25">
        <f t="shared" si="2396"/>
        <v>183511.53999999998</v>
      </c>
      <c r="GJ79" s="25">
        <f t="shared" si="2396"/>
        <v>203538.94</v>
      </c>
      <c r="GK79" s="25">
        <f t="shared" si="2396"/>
        <v>214475.91999999998</v>
      </c>
      <c r="GL79" s="25">
        <f t="shared" si="2396"/>
        <v>244112.74999999997</v>
      </c>
      <c r="GM79" s="25">
        <f t="shared" ref="GM79:GR79" si="2397">EL77</f>
        <v>244112.74999999997</v>
      </c>
      <c r="GN79" s="25">
        <f t="shared" si="2397"/>
        <v>220175.69999999998</v>
      </c>
      <c r="GO79" s="25">
        <f t="shared" si="2397"/>
        <v>226180.51</v>
      </c>
      <c r="GP79" s="25">
        <f t="shared" si="2397"/>
        <v>265505.84000000003</v>
      </c>
      <c r="GQ79" s="25">
        <f t="shared" si="2397"/>
        <v>230821.11</v>
      </c>
      <c r="GR79" s="110">
        <f t="shared" si="2397"/>
        <v>231429.09999999998</v>
      </c>
      <c r="GS79" s="157"/>
      <c r="GW79" s="60"/>
      <c r="GX79" s="60"/>
      <c r="GY79" s="60"/>
      <c r="GZ79" s="60"/>
      <c r="HA79" s="60"/>
    </row>
    <row r="80" spans="1:209" s="1" customFormat="1" ht="15" customHeight="1" x14ac:dyDescent="0.3">
      <c r="A80" s="173"/>
      <c r="B80" s="87" t="s">
        <v>365</v>
      </c>
      <c r="C80" s="45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28">
        <f t="shared" ref="BD80:BX80" si="2398">(BD77-BD79)/BD79</f>
        <v>0.40486418469439439</v>
      </c>
      <c r="BE80" s="28">
        <f t="shared" si="2398"/>
        <v>0.37717840818151166</v>
      </c>
      <c r="BF80" s="28">
        <f t="shared" si="2398"/>
        <v>0.33126756565507148</v>
      </c>
      <c r="BG80" s="28">
        <f t="shared" si="2398"/>
        <v>0.31763814237963056</v>
      </c>
      <c r="BH80" s="28">
        <f t="shared" si="2398"/>
        <v>0.56209691750120838</v>
      </c>
      <c r="BI80" s="28">
        <f t="shared" si="2398"/>
        <v>0.92748191998167007</v>
      </c>
      <c r="BJ80" s="28">
        <f t="shared" si="2398"/>
        <v>0.57773948244160589</v>
      </c>
      <c r="BK80" s="28">
        <f t="shared" si="2398"/>
        <v>0.46844438811450434</v>
      </c>
      <c r="BL80" s="28">
        <f t="shared" si="2398"/>
        <v>0.71069299374109995</v>
      </c>
      <c r="BM80" s="28">
        <f t="shared" si="2398"/>
        <v>0.65388375249607444</v>
      </c>
      <c r="BN80" s="28">
        <f t="shared" si="2398"/>
        <v>0.75985155047815944</v>
      </c>
      <c r="BO80" s="28">
        <f t="shared" si="2398"/>
        <v>0.70246034244029165</v>
      </c>
      <c r="BP80" s="28">
        <f t="shared" si="2398"/>
        <v>0.64233076381773624</v>
      </c>
      <c r="BQ80" s="28">
        <f t="shared" si="2398"/>
        <v>0.74917340140808875</v>
      </c>
      <c r="BR80" s="28">
        <f t="shared" si="2398"/>
        <v>0.66892837629223356</v>
      </c>
      <c r="BS80" s="28">
        <f t="shared" si="2398"/>
        <v>0.70342384190613472</v>
      </c>
      <c r="BT80" s="28">
        <f t="shared" si="2398"/>
        <v>0.84762962491636651</v>
      </c>
      <c r="BU80" s="28">
        <f t="shared" si="2398"/>
        <v>0.63717019096563077</v>
      </c>
      <c r="BV80" s="28">
        <f t="shared" si="2398"/>
        <v>0.84946254308734237</v>
      </c>
      <c r="BW80" s="28">
        <f t="shared" si="2398"/>
        <v>0.87305877252651742</v>
      </c>
      <c r="BX80" s="28">
        <f t="shared" si="2398"/>
        <v>1.1085512862214291</v>
      </c>
      <c r="BY80" s="28">
        <f t="shared" ref="BY80:CN80" si="2399">(BY77-BY79)/BY79</f>
        <v>0.71132339321828608</v>
      </c>
      <c r="BZ80" s="28">
        <f t="shared" si="2399"/>
        <v>0.75395764544997645</v>
      </c>
      <c r="CA80" s="28">
        <f t="shared" si="2399"/>
        <v>0.8332303535569543</v>
      </c>
      <c r="CB80" s="28">
        <f t="shared" si="2399"/>
        <v>0.76110518511531655</v>
      </c>
      <c r="CC80" s="28">
        <f t="shared" si="2399"/>
        <v>0.75049936896387626</v>
      </c>
      <c r="CD80" s="28">
        <f t="shared" si="2399"/>
        <v>0.67938428780879556</v>
      </c>
      <c r="CE80" s="28">
        <f t="shared" si="2399"/>
        <v>0.780263119460337</v>
      </c>
      <c r="CF80" s="28">
        <f t="shared" si="2399"/>
        <v>0.64899989508600908</v>
      </c>
      <c r="CG80" s="28">
        <f t="shared" si="2399"/>
        <v>0.68409465460629759</v>
      </c>
      <c r="CH80" s="28">
        <f t="shared" si="2399"/>
        <v>0.62468158169344523</v>
      </c>
      <c r="CI80" s="28">
        <f t="shared" si="2399"/>
        <v>1.0785627651529375</v>
      </c>
      <c r="CJ80" s="28">
        <f t="shared" si="2399"/>
        <v>0.47975044582851201</v>
      </c>
      <c r="CK80" s="28">
        <f t="shared" si="2399"/>
        <v>0.73667909194466508</v>
      </c>
      <c r="CL80" s="28">
        <f t="shared" si="2399"/>
        <v>0.66772318285066323</v>
      </c>
      <c r="CM80" s="28">
        <f t="shared" si="2399"/>
        <v>0.10109401362686321</v>
      </c>
      <c r="CN80" s="28">
        <f t="shared" si="2399"/>
        <v>0.29933120140744068</v>
      </c>
      <c r="CO80" s="28">
        <f t="shared" ref="CO80:CW80" si="2400">(CO77-CO79)/CO79</f>
        <v>0.43022721593220786</v>
      </c>
      <c r="CP80" s="28">
        <f t="shared" si="2400"/>
        <v>0.19250974866832676</v>
      </c>
      <c r="CQ80" s="28">
        <f t="shared" si="2400"/>
        <v>0.39956970350299248</v>
      </c>
      <c r="CR80" s="28">
        <f t="shared" si="2400"/>
        <v>0.54732678536173796</v>
      </c>
      <c r="CS80" s="28">
        <f t="shared" si="2400"/>
        <v>0.24565596549119206</v>
      </c>
      <c r="CT80" s="28">
        <f t="shared" si="2400"/>
        <v>0.33242137090329427</v>
      </c>
      <c r="CU80" s="28">
        <f t="shared" si="2400"/>
        <v>0.1772130073899531</v>
      </c>
      <c r="CV80" s="28">
        <f t="shared" si="2400"/>
        <v>0.23333183461666915</v>
      </c>
      <c r="CW80" s="28">
        <f t="shared" si="2400"/>
        <v>0.30021122510116727</v>
      </c>
      <c r="CX80" s="28">
        <f t="shared" ref="CX80:DC80" si="2401">(CX77-CX79)/CX79</f>
        <v>0.28744041570466788</v>
      </c>
      <c r="CY80" s="28">
        <f t="shared" si="2401"/>
        <v>0.25803818064368944</v>
      </c>
      <c r="CZ80" s="28">
        <f t="shared" si="2401"/>
        <v>0.18036326544008033</v>
      </c>
      <c r="DA80" s="28">
        <f t="shared" si="2401"/>
        <v>0.24355402760406961</v>
      </c>
      <c r="DB80" s="28">
        <f t="shared" si="2401"/>
        <v>0.21019223245489921</v>
      </c>
      <c r="DC80" s="28">
        <f t="shared" si="2401"/>
        <v>0.24510654820778333</v>
      </c>
      <c r="DD80" s="28">
        <f t="shared" ref="DD80:DE80" si="2402">(DD77-DD79)/DD79</f>
        <v>0.28625038203891534</v>
      </c>
      <c r="DE80" s="28">
        <f t="shared" si="2402"/>
        <v>0.28994555555468737</v>
      </c>
      <c r="DF80" s="28">
        <f t="shared" ref="DF80:DG80" si="2403">(DF77-DF79)/DF79</f>
        <v>0.38799565277387166</v>
      </c>
      <c r="DG80" s="28">
        <f t="shared" si="2403"/>
        <v>0.32404271654246253</v>
      </c>
      <c r="DH80" s="28">
        <f t="shared" ref="DH80:DI80" si="2404">(DH77-DH79)/DH79</f>
        <v>0.23674492685755205</v>
      </c>
      <c r="DI80" s="28">
        <f t="shared" si="2404"/>
        <v>3.515952486209608E-2</v>
      </c>
      <c r="DJ80" s="28">
        <f t="shared" ref="DJ80:DK80" si="2405">(DJ77-DJ79)/DJ79</f>
        <v>-3.3726241081160575E-2</v>
      </c>
      <c r="DK80" s="28">
        <f t="shared" si="2405"/>
        <v>0.35152044489485751</v>
      </c>
      <c r="DL80" s="28">
        <f t="shared" ref="DL80:DM80" si="2406">(DL77-DL79)/DL79</f>
        <v>0.24104143432353844</v>
      </c>
      <c r="DM80" s="28">
        <f t="shared" si="2406"/>
        <v>0.16493881154900686</v>
      </c>
      <c r="DN80" s="28">
        <f t="shared" ref="DN80" si="2407">(DN77-DN79)/DN79</f>
        <v>0.2156197940616392</v>
      </c>
      <c r="DO80" s="28">
        <f t="shared" ref="DO80:DT80" si="2408">(DO77-DO79)/DO79</f>
        <v>0.16481017581377186</v>
      </c>
      <c r="DP80" s="28">
        <f t="shared" si="2408"/>
        <v>0.13289325301675683</v>
      </c>
      <c r="DQ80" s="28">
        <f t="shared" si="2408"/>
        <v>0.29956753165546335</v>
      </c>
      <c r="DR80" s="28">
        <f t="shared" si="2408"/>
        <v>7.311646036662231E-2</v>
      </c>
      <c r="DS80" s="28">
        <f t="shared" si="2408"/>
        <v>7.2443247478093678E-2</v>
      </c>
      <c r="DT80" s="28">
        <f t="shared" si="2408"/>
        <v>0.13448590016258993</v>
      </c>
      <c r="DU80" s="28">
        <f t="shared" ref="DU80:DV80" si="2409">(DU77-DU79)/DU79</f>
        <v>0.50517788995307622</v>
      </c>
      <c r="DV80" s="28">
        <f t="shared" si="2409"/>
        <v>0.19833216086531655</v>
      </c>
      <c r="DW80" s="28">
        <f t="shared" ref="DW80:DX80" si="2410">(DW77-DW79)/DW79</f>
        <v>0.3366254737249863</v>
      </c>
      <c r="DX80" s="28">
        <f t="shared" si="2410"/>
        <v>0.26756532226792817</v>
      </c>
      <c r="DY80" s="28">
        <f t="shared" ref="DY80:DZ80" si="2411">(DY77-DY79)/DY79</f>
        <v>0.2802310318679247</v>
      </c>
      <c r="DZ80" s="28">
        <f t="shared" si="2411"/>
        <v>0.65841594497125144</v>
      </c>
      <c r="EA80" s="28">
        <f t="shared" ref="EA80:EB80" si="2412">(EA77-EA79)/EA79</f>
        <v>0.30782809052674354</v>
      </c>
      <c r="EB80" s="28">
        <f t="shared" si="2412"/>
        <v>0.35150553097362569</v>
      </c>
      <c r="EC80" s="28">
        <f t="shared" ref="EC80:ED80" si="2413">(EC77-EC79)/EC79</f>
        <v>0.25893355384359013</v>
      </c>
      <c r="ED80" s="28">
        <f t="shared" si="2413"/>
        <v>0.46856224366099186</v>
      </c>
      <c r="EE80" s="28">
        <f t="shared" ref="EE80:EF80" si="2414">(EE77-EE79)/EE79</f>
        <v>0.32659239323208461</v>
      </c>
      <c r="EF80" s="28">
        <f t="shared" si="2414"/>
        <v>0.28536428930505059</v>
      </c>
      <c r="EG80" s="28">
        <f t="shared" ref="EG80:EH80" si="2415">(EG77-EG79)/EG79</f>
        <v>0.59800072539756699</v>
      </c>
      <c r="EH80" s="28">
        <f t="shared" si="2415"/>
        <v>0.49873789004817953</v>
      </c>
      <c r="EI80" s="28">
        <f t="shared" ref="EI80:EJ80" si="2416">(EI77-EI79)/EI79</f>
        <v>0.13182823418699471</v>
      </c>
      <c r="EJ80" s="28">
        <f t="shared" si="2416"/>
        <v>0.48061787348005663</v>
      </c>
      <c r="EK80" s="28">
        <f t="shared" ref="EK80:EL80" si="2417">(EK77-EK79)/EK79</f>
        <v>0.42938606540671936</v>
      </c>
      <c r="EL80" s="28">
        <f t="shared" si="2417"/>
        <v>0.31064532031711961</v>
      </c>
      <c r="EM80" s="28">
        <f t="shared" ref="EM80:EN80" si="2418">(EM77-EM79)/EM79</f>
        <v>0.30578758445632875</v>
      </c>
      <c r="EN80" s="28">
        <f t="shared" si="2418"/>
        <v>0.38599516869817435</v>
      </c>
      <c r="EO80" s="28">
        <f t="shared" ref="EO80:EP80" si="2419">(EO77-EO79)/EO79</f>
        <v>0.74270655606882441</v>
      </c>
      <c r="EP80" s="28">
        <f t="shared" si="2419"/>
        <v>0.5175369944707009</v>
      </c>
      <c r="EQ80" s="28">
        <f t="shared" ref="EQ80:ER80" si="2420">(EQ77-EQ79)/EQ79</f>
        <v>0.35441194251507563</v>
      </c>
      <c r="ER80" s="28">
        <f t="shared" si="2420"/>
        <v>0.2813730735067872</v>
      </c>
      <c r="ES80" s="28">
        <f t="shared" ref="ES80:ET80" si="2421">(ES77-ES79)/ES79</f>
        <v>0.3790767773267012</v>
      </c>
      <c r="ET80" s="28">
        <f t="shared" si="2421"/>
        <v>0.1941232001994434</v>
      </c>
      <c r="EU80" s="28">
        <f t="shared" ref="EU80:EV80" si="2422">(EU77-EU79)/EU79</f>
        <v>0.41637449932329346</v>
      </c>
      <c r="EV80" s="28">
        <f t="shared" si="2422"/>
        <v>0.33854485456100741</v>
      </c>
      <c r="EW80" s="28">
        <f t="shared" ref="EW80:EX80" si="2423">(EW77-EW79)/EW79</f>
        <v>0.41408022800274874</v>
      </c>
      <c r="EX80" s="28">
        <f t="shared" si="2423"/>
        <v>0.26672561996772065</v>
      </c>
      <c r="EY80" s="28">
        <f t="shared" ref="EY80:EZ80" si="2424">(EY77-EY79)/EY79</f>
        <v>0.35650833205876054</v>
      </c>
      <c r="EZ80" s="28">
        <f t="shared" si="2424"/>
        <v>0.5073009443310551</v>
      </c>
      <c r="FA80" s="28">
        <f t="shared" ref="FA80:FB80" si="2425">(FA77-FA79)/FA79</f>
        <v>0.28001383692093079</v>
      </c>
      <c r="FB80" s="28">
        <f t="shared" si="2425"/>
        <v>0.42715560865120256</v>
      </c>
      <c r="FC80" s="28">
        <f t="shared" ref="FC80:FD80" si="2426">(FC77-FC79)/FC79</f>
        <v>0.41706315755310125</v>
      </c>
      <c r="FD80" s="28">
        <f t="shared" si="2426"/>
        <v>0.28971548912126294</v>
      </c>
      <c r="FE80" s="28">
        <f t="shared" ref="FE80:FF80" si="2427">(FE77-FE79)/FE79</f>
        <v>0.325515169424961</v>
      </c>
      <c r="FF80" s="28">
        <f t="shared" si="2427"/>
        <v>0.32125702671423867</v>
      </c>
      <c r="FG80" s="28">
        <f t="shared" ref="FG80" si="2428">(FG77-FG79)/FG79</f>
        <v>0.31154913319561034</v>
      </c>
      <c r="FH80" s="28">
        <f t="shared" ref="FH80:FM80" si="2429">(FH77-FH79)/FH79</f>
        <v>0.35266486361281207</v>
      </c>
      <c r="FI80" s="28">
        <f t="shared" si="2429"/>
        <v>0.38958566166713954</v>
      </c>
      <c r="FJ80" s="28">
        <f t="shared" si="2429"/>
        <v>0.69980588400462718</v>
      </c>
      <c r="FK80" s="28">
        <f t="shared" si="2429"/>
        <v>0.40141533102236582</v>
      </c>
      <c r="FL80" s="28">
        <f t="shared" si="2429"/>
        <v>0.28466146027035638</v>
      </c>
      <c r="FM80" s="28">
        <f t="shared" si="2429"/>
        <v>0.40338434287733343</v>
      </c>
      <c r="FN80" s="28">
        <f t="shared" ref="FN80:FO80" si="2430">(FN77-FN79)/FN79</f>
        <v>0.5140102255117377</v>
      </c>
      <c r="FO80" s="28">
        <f t="shared" si="2430"/>
        <v>0.37031592045081546</v>
      </c>
      <c r="FP80" s="28">
        <f t="shared" ref="FP80:FQ80" si="2431">(FP77-FP79)/FP79</f>
        <v>0.47265985660620718</v>
      </c>
      <c r="FQ80" s="28">
        <f t="shared" si="2431"/>
        <v>0.40017382918657129</v>
      </c>
      <c r="FR80" s="28">
        <f t="shared" ref="FR80:FS80" si="2432">(FR77-FR79)/FR79</f>
        <v>0.45386040426148971</v>
      </c>
      <c r="FS80" s="28">
        <f t="shared" si="2432"/>
        <v>0.53640872027732345</v>
      </c>
      <c r="FT80" s="28">
        <f t="shared" ref="FT80:FU80" si="2433">(FT77-FT79)/FT79</f>
        <v>0.48024906197672002</v>
      </c>
      <c r="FU80" s="28">
        <f t="shared" si="2433"/>
        <v>0.17773300073130438</v>
      </c>
      <c r="FV80" s="28">
        <f t="shared" ref="FV80:FW80" si="2434">(FV77-FV79)/FV79</f>
        <v>0.32650172128523758</v>
      </c>
      <c r="FW80" s="28">
        <f t="shared" si="2434"/>
        <v>0.24123201764517976</v>
      </c>
      <c r="FX80" s="28">
        <f t="shared" ref="FX80:FY80" si="2435">(FX77-FX79)/FX79</f>
        <v>0.22341949650017714</v>
      </c>
      <c r="FY80" s="28">
        <f t="shared" si="2435"/>
        <v>0.14544247316934605</v>
      </c>
      <c r="FZ80" s="28">
        <f t="shared" ref="FZ80:GA80" si="2436">(FZ77-FZ79)/FZ79</f>
        <v>0.58728704818159183</v>
      </c>
      <c r="GA80" s="28">
        <f t="shared" si="2436"/>
        <v>2.8447376496619409E-2</v>
      </c>
      <c r="GB80" s="28">
        <f t="shared" ref="GB80:GC80" si="2437">(GB77-GB79)/GB79</f>
        <v>0.11361848819498217</v>
      </c>
      <c r="GC80" s="28">
        <f t="shared" si="2437"/>
        <v>6.6797673588074771E-2</v>
      </c>
      <c r="GD80" s="28">
        <f t="shared" ref="GD80:GE80" si="2438">(GD77-GD79)/GD79</f>
        <v>4.2524859413208306E-2</v>
      </c>
      <c r="GE80" s="28">
        <f t="shared" si="2438"/>
        <v>5.0328807187193556E-2</v>
      </c>
      <c r="GF80" s="28">
        <f t="shared" ref="GF80:GG80" si="2439">(GF77-GF79)/GF79</f>
        <v>5.8723524256399505E-2</v>
      </c>
      <c r="GG80" s="28">
        <f t="shared" si="2439"/>
        <v>2.3224045513886446E-2</v>
      </c>
      <c r="GH80" s="28">
        <f t="shared" ref="GH80:GI80" si="2440">(GH77-GH79)/GH79</f>
        <v>-2.7057150254495642E-2</v>
      </c>
      <c r="GI80" s="28">
        <f t="shared" si="2440"/>
        <v>0.15282929890948566</v>
      </c>
      <c r="GJ80" s="28">
        <f t="shared" ref="GJ80:GK80" si="2441">(GJ77-GJ79)/GJ79</f>
        <v>0.23165532845950743</v>
      </c>
      <c r="GK80" s="28">
        <f t="shared" si="2441"/>
        <v>7.5913090849546186E-2</v>
      </c>
      <c r="GL80" s="28">
        <f t="shared" ref="GL80" si="2442">(GL79-GK79)/GK79</f>
        <v>0.13818255214851155</v>
      </c>
      <c r="GM80" s="28">
        <f t="shared" ref="GM80" si="2443">(GM79-GL79)/GL79</f>
        <v>0</v>
      </c>
      <c r="GN80" s="28">
        <f t="shared" ref="GN80" si="2444">(GN79-GM79)/GM79</f>
        <v>-9.8057352596290004E-2</v>
      </c>
      <c r="GO80" s="28">
        <f t="shared" ref="GO80:GR80" si="2445">(GO79-GN79)/GN79</f>
        <v>2.727280985140516E-2</v>
      </c>
      <c r="GP80" s="28">
        <f t="shared" si="2445"/>
        <v>0.17386701444788508</v>
      </c>
      <c r="GQ80" s="28">
        <f t="shared" si="2445"/>
        <v>-0.13063641086011529</v>
      </c>
      <c r="GR80" s="165">
        <f t="shared" si="2445"/>
        <v>2.6340311767844402E-3</v>
      </c>
      <c r="GS80" s="157"/>
      <c r="GW80" s="60"/>
      <c r="GX80" s="60"/>
      <c r="GY80" s="60"/>
      <c r="GZ80" s="60"/>
      <c r="HA80" s="60"/>
    </row>
    <row r="81" spans="1:209" s="2" customFormat="1" ht="7.5" customHeight="1" x14ac:dyDescent="0.3">
      <c r="A81" s="8"/>
      <c r="B81" s="29"/>
      <c r="C81" s="30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32"/>
      <c r="GR81" s="32"/>
      <c r="GS81" s="156"/>
      <c r="GT81" s="9"/>
      <c r="GU81" s="9"/>
      <c r="GV81" s="9"/>
    </row>
    <row r="82" spans="1:209" s="2" customFormat="1" ht="15" customHeight="1" x14ac:dyDescent="0.3">
      <c r="A82" s="170" t="s">
        <v>103</v>
      </c>
      <c r="B82" s="33" t="s">
        <v>103</v>
      </c>
      <c r="C82" s="17" t="s">
        <v>23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>
        <v>4706.2</v>
      </c>
      <c r="CW82" s="17">
        <v>9109.9</v>
      </c>
      <c r="CX82" s="17">
        <v>11280.4</v>
      </c>
      <c r="CY82" s="17">
        <v>10699.7</v>
      </c>
      <c r="CZ82" s="17">
        <v>8584.0499999999993</v>
      </c>
      <c r="DA82" s="17">
        <v>10195.9</v>
      </c>
      <c r="DB82" s="17">
        <v>8226.5499999999993</v>
      </c>
      <c r="DC82" s="17">
        <v>11623.45</v>
      </c>
      <c r="DD82" s="17">
        <v>11260.65</v>
      </c>
      <c r="DE82" s="17">
        <v>9211.15</v>
      </c>
      <c r="DF82" s="17">
        <v>13259.9</v>
      </c>
      <c r="DG82" s="17">
        <v>10333.75</v>
      </c>
      <c r="DH82" s="17">
        <v>12784.7</v>
      </c>
      <c r="DI82" s="17">
        <v>8891.6</v>
      </c>
      <c r="DJ82" s="17">
        <v>8846.9</v>
      </c>
      <c r="DK82" s="17">
        <v>9437.6</v>
      </c>
      <c r="DL82" s="17">
        <v>8256</v>
      </c>
      <c r="DM82" s="17">
        <v>7778.5</v>
      </c>
      <c r="DN82" s="17">
        <v>7717</v>
      </c>
      <c r="DO82" s="17">
        <v>8376.4</v>
      </c>
      <c r="DP82" s="17">
        <v>8821.65</v>
      </c>
      <c r="DQ82" s="17">
        <v>7375.95</v>
      </c>
      <c r="DR82" s="17">
        <v>7876.45</v>
      </c>
      <c r="DS82" s="17">
        <v>7793.25</v>
      </c>
      <c r="DT82" s="17">
        <v>7169.85</v>
      </c>
      <c r="DU82" s="17">
        <v>10912.05</v>
      </c>
      <c r="DV82" s="17">
        <v>7415</v>
      </c>
      <c r="DW82" s="17">
        <v>9382.5499999999993</v>
      </c>
      <c r="DX82" s="17">
        <v>12843.1</v>
      </c>
      <c r="DY82" s="17">
        <v>5533.8</v>
      </c>
      <c r="DZ82" s="17">
        <v>6073.8</v>
      </c>
      <c r="EA82" s="17">
        <v>6341.45</v>
      </c>
      <c r="EB82" s="17">
        <v>5926.05</v>
      </c>
      <c r="EC82" s="17">
        <v>6056.9</v>
      </c>
      <c r="ED82" s="17">
        <v>7578.95</v>
      </c>
      <c r="EE82" s="17">
        <v>7058.1</v>
      </c>
      <c r="EF82" s="17">
        <v>6257.25</v>
      </c>
      <c r="EG82" s="17">
        <v>7877.8</v>
      </c>
      <c r="EH82" s="17">
        <v>10646.15</v>
      </c>
      <c r="EI82" s="17">
        <v>9279.35</v>
      </c>
      <c r="EJ82" s="17">
        <v>8921.2000000000007</v>
      </c>
      <c r="EK82" s="17">
        <v>10643.2</v>
      </c>
      <c r="EL82" s="17">
        <v>10337.299999999999</v>
      </c>
      <c r="EM82" s="17">
        <v>13458.7</v>
      </c>
      <c r="EN82" s="17">
        <v>13379.45</v>
      </c>
      <c r="EO82" s="17">
        <v>12744.75</v>
      </c>
      <c r="EP82" s="17">
        <v>11075.3</v>
      </c>
      <c r="EQ82" s="17">
        <f>24885.55+3618.51-84</f>
        <v>28420.059999999998</v>
      </c>
      <c r="ER82" s="17">
        <v>10563.35</v>
      </c>
      <c r="ES82" s="17">
        <v>12657.35</v>
      </c>
      <c r="ET82" s="17">
        <v>11278.65</v>
      </c>
      <c r="EU82" s="17">
        <v>12237.8</v>
      </c>
      <c r="EV82" s="17">
        <v>10985.6</v>
      </c>
      <c r="EW82" s="17">
        <v>11926.8</v>
      </c>
      <c r="EX82" s="17">
        <v>18078.099999999999</v>
      </c>
      <c r="EY82" s="17">
        <f>17024.05+367.5</f>
        <v>17391.55</v>
      </c>
      <c r="EZ82" s="17">
        <v>17437.47</v>
      </c>
      <c r="FA82" s="17">
        <v>16230.68</v>
      </c>
      <c r="FB82" s="17">
        <v>12764.5</v>
      </c>
      <c r="FC82" s="17">
        <v>15331.55</v>
      </c>
      <c r="FD82" s="17">
        <v>12485.5</v>
      </c>
      <c r="FE82" s="17">
        <v>13891.1</v>
      </c>
      <c r="FF82" s="17">
        <v>16623.400000000001</v>
      </c>
      <c r="FG82" s="17">
        <f>22994.8+798</f>
        <v>23792.799999999999</v>
      </c>
      <c r="FH82" s="17">
        <v>16134.5</v>
      </c>
      <c r="FI82" s="17">
        <v>12024.1</v>
      </c>
      <c r="FJ82" s="17">
        <v>11476.1</v>
      </c>
      <c r="FK82" s="17">
        <v>14517.3</v>
      </c>
      <c r="FL82" s="17">
        <v>11436.6</v>
      </c>
      <c r="FM82" s="17">
        <v>12564.1</v>
      </c>
      <c r="FN82" s="17">
        <v>12240.1</v>
      </c>
      <c r="FO82" s="17">
        <v>10114.299999999999</v>
      </c>
      <c r="FP82" s="17">
        <v>10017</v>
      </c>
      <c r="FQ82" s="17">
        <v>7826.1</v>
      </c>
      <c r="FR82" s="17">
        <v>9862.2000000000007</v>
      </c>
      <c r="FS82" s="17">
        <v>10684.1</v>
      </c>
      <c r="FT82" s="17">
        <v>9678.6</v>
      </c>
      <c r="FU82" s="17">
        <v>11289.2</v>
      </c>
      <c r="FV82" s="17">
        <v>12694.1</v>
      </c>
      <c r="FW82" s="17">
        <v>14115.3</v>
      </c>
      <c r="FX82" s="17">
        <v>19640</v>
      </c>
      <c r="FY82" s="17">
        <v>12653.2</v>
      </c>
      <c r="FZ82" s="17">
        <v>10588.3</v>
      </c>
      <c r="GA82" s="17">
        <v>7769.3</v>
      </c>
      <c r="GB82" s="17">
        <v>11401.1</v>
      </c>
      <c r="GC82" s="17">
        <v>9519</v>
      </c>
      <c r="GD82" s="17">
        <v>12990.6</v>
      </c>
      <c r="GE82" s="17">
        <v>5805</v>
      </c>
      <c r="GF82" s="17">
        <v>9427.9</v>
      </c>
      <c r="GG82" s="17">
        <v>11281.93</v>
      </c>
      <c r="GH82" s="17">
        <v>12857.9</v>
      </c>
      <c r="GI82" s="17">
        <v>14628.2</v>
      </c>
      <c r="GJ82" s="17">
        <v>13164.5</v>
      </c>
      <c r="GK82" s="17">
        <v>19686.7</v>
      </c>
      <c r="GL82" s="17">
        <v>12623.65</v>
      </c>
      <c r="GM82" s="17">
        <v>15623.4</v>
      </c>
      <c r="GN82" s="17">
        <v>14328.8</v>
      </c>
      <c r="GO82" s="17">
        <v>11578.3</v>
      </c>
      <c r="GP82" s="17">
        <v>15456.3</v>
      </c>
      <c r="GQ82" s="17">
        <v>17479.599999999999</v>
      </c>
      <c r="GR82" s="107">
        <v>17469.400000000001</v>
      </c>
      <c r="GS82" s="153">
        <f>EQ82</f>
        <v>28420.059999999998</v>
      </c>
      <c r="GT82" s="84" t="s">
        <v>23</v>
      </c>
      <c r="GU82" s="92" t="s">
        <v>369</v>
      </c>
      <c r="GV82" s="93"/>
      <c r="GW82" s="58"/>
      <c r="GX82" s="58"/>
      <c r="GY82" s="58"/>
      <c r="GZ82" s="58"/>
      <c r="HA82" s="58"/>
    </row>
    <row r="83" spans="1:209" s="2" customFormat="1" ht="15" customHeight="1" x14ac:dyDescent="0.3">
      <c r="A83" s="171"/>
      <c r="B83" s="34"/>
      <c r="C83" s="17" t="s">
        <v>130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>
        <v>1577.5</v>
      </c>
      <c r="CW83" s="17">
        <v>4491.5</v>
      </c>
      <c r="CX83" s="17">
        <v>5962</v>
      </c>
      <c r="CY83" s="17">
        <v>6041.5</v>
      </c>
      <c r="CZ83" s="17">
        <v>5707.1</v>
      </c>
      <c r="DA83" s="17">
        <v>4941.3</v>
      </c>
      <c r="DB83" s="17">
        <v>5400.8</v>
      </c>
      <c r="DC83" s="17">
        <v>5799.9</v>
      </c>
      <c r="DD83" s="17">
        <v>5433.9</v>
      </c>
      <c r="DE83" s="17">
        <v>6890.65</v>
      </c>
      <c r="DF83" s="17">
        <v>7143.05</v>
      </c>
      <c r="DG83" s="17">
        <v>7033.25</v>
      </c>
      <c r="DH83" s="17">
        <v>7045.95</v>
      </c>
      <c r="DI83" s="17">
        <v>5272.4</v>
      </c>
      <c r="DJ83" s="17">
        <v>5385.25</v>
      </c>
      <c r="DK83" s="17">
        <v>4592.75</v>
      </c>
      <c r="DL83" s="17">
        <v>4623.75</v>
      </c>
      <c r="DM83" s="17">
        <v>4258.3999999999996</v>
      </c>
      <c r="DN83" s="17">
        <v>3351</v>
      </c>
      <c r="DO83" s="17">
        <v>4542.3500000000004</v>
      </c>
      <c r="DP83" s="17">
        <v>4281</v>
      </c>
      <c r="DQ83" s="17">
        <v>4369.3999999999996</v>
      </c>
      <c r="DR83" s="17">
        <v>3333.2</v>
      </c>
      <c r="DS83" s="17">
        <v>4043.55</v>
      </c>
      <c r="DT83" s="17">
        <v>4261.3999999999996</v>
      </c>
      <c r="DU83" s="17">
        <v>3315.75</v>
      </c>
      <c r="DV83" s="17">
        <v>3017.8</v>
      </c>
      <c r="DW83" s="17">
        <v>3172.15</v>
      </c>
      <c r="DX83" s="17">
        <v>4485.6000000000004</v>
      </c>
      <c r="DY83" s="17">
        <v>2539.9</v>
      </c>
      <c r="DZ83" s="17">
        <v>2198</v>
      </c>
      <c r="EA83" s="17">
        <v>3210.75</v>
      </c>
      <c r="EB83" s="17">
        <v>2732</v>
      </c>
      <c r="EC83" s="17">
        <v>2898.25</v>
      </c>
      <c r="ED83" s="17">
        <v>3538</v>
      </c>
      <c r="EE83" s="17">
        <v>3104</v>
      </c>
      <c r="EF83" s="17">
        <v>3650.1</v>
      </c>
      <c r="EG83" s="17">
        <v>4681.3999999999996</v>
      </c>
      <c r="EH83" s="17">
        <f>4886.85-281.5</f>
        <v>4605.3500000000004</v>
      </c>
      <c r="EI83" s="17">
        <f>4301.4-266.4</f>
        <v>4034.9999999999995</v>
      </c>
      <c r="EJ83" s="17">
        <f>5218-1013.35</f>
        <v>4204.6499999999996</v>
      </c>
      <c r="EK83" s="17">
        <f>5000.25-708.15</f>
        <v>4292.1000000000004</v>
      </c>
      <c r="EL83" s="17">
        <f>5024.75-172.9</f>
        <v>4851.8500000000004</v>
      </c>
      <c r="EM83" s="17">
        <f>5527.05-731.9</f>
        <v>4795.1500000000005</v>
      </c>
      <c r="EN83" s="17">
        <f>5436.6-687.2</f>
        <v>4749.4000000000005</v>
      </c>
      <c r="EO83" s="17">
        <f>5741.6-520.95</f>
        <v>5220.6500000000005</v>
      </c>
      <c r="EP83" s="17">
        <f>5166.25-805.2</f>
        <v>4361.05</v>
      </c>
      <c r="EQ83" s="17">
        <f>3914.25+1005</f>
        <v>4919.25</v>
      </c>
      <c r="ER83" s="17">
        <v>3843</v>
      </c>
      <c r="ES83" s="17">
        <v>3701.75</v>
      </c>
      <c r="ET83" s="17">
        <v>2678.4</v>
      </c>
      <c r="EU83" s="17">
        <v>3547.7</v>
      </c>
      <c r="EV83" s="17">
        <v>3677.65</v>
      </c>
      <c r="EW83" s="17">
        <v>13767</v>
      </c>
      <c r="EX83" s="17">
        <v>5273.05</v>
      </c>
      <c r="EY83" s="17">
        <v>4030.5</v>
      </c>
      <c r="EZ83" s="17">
        <v>4272.6499999999996</v>
      </c>
      <c r="FA83" s="17">
        <v>3826.1</v>
      </c>
      <c r="FB83" s="17">
        <v>4337.8</v>
      </c>
      <c r="FC83" s="17">
        <v>4141.5</v>
      </c>
      <c r="FD83" s="17">
        <v>4394.8500000000004</v>
      </c>
      <c r="FE83" s="17">
        <v>3679</v>
      </c>
      <c r="FF83" s="17">
        <v>4241.8</v>
      </c>
      <c r="FG83" s="17">
        <f>3176.5+2553.58</f>
        <v>5730.08</v>
      </c>
      <c r="FH83" s="17">
        <v>4076.15</v>
      </c>
      <c r="FI83" s="17">
        <v>4005.35</v>
      </c>
      <c r="FJ83" s="17">
        <v>3358.7</v>
      </c>
      <c r="FK83" s="17">
        <v>3547.8</v>
      </c>
      <c r="FL83" s="17">
        <v>3938.85</v>
      </c>
      <c r="FM83" s="17">
        <v>3989.3</v>
      </c>
      <c r="FN83" s="17">
        <v>3763.6</v>
      </c>
      <c r="FO83" s="17">
        <v>2967.5</v>
      </c>
      <c r="FP83" s="17">
        <v>2631.45</v>
      </c>
      <c r="FQ83" s="17">
        <v>2757.4</v>
      </c>
      <c r="FR83" s="17">
        <v>2288.5</v>
      </c>
      <c r="FS83" s="17">
        <v>3666.7</v>
      </c>
      <c r="FT83" s="17">
        <v>2339.4499999999998</v>
      </c>
      <c r="FU83" s="17">
        <v>906.6</v>
      </c>
      <c r="FV83" s="17">
        <v>2856.7</v>
      </c>
      <c r="FW83" s="17">
        <v>3087.25</v>
      </c>
      <c r="FX83" s="17">
        <v>3624.25</v>
      </c>
      <c r="FY83" s="17">
        <v>1966.55</v>
      </c>
      <c r="FZ83" s="17">
        <v>2740.75</v>
      </c>
      <c r="GA83" s="17">
        <v>1978.75</v>
      </c>
      <c r="GB83" s="17">
        <v>2650.4</v>
      </c>
      <c r="GC83" s="17">
        <v>2013.1</v>
      </c>
      <c r="GD83" s="17">
        <v>2839.55</v>
      </c>
      <c r="GE83" s="17">
        <v>1919.85</v>
      </c>
      <c r="GF83" s="17">
        <v>2548.1</v>
      </c>
      <c r="GG83" s="17">
        <v>3897.55</v>
      </c>
      <c r="GH83" s="17">
        <v>3376.1</v>
      </c>
      <c r="GI83" s="17">
        <v>3127.45</v>
      </c>
      <c r="GJ83" s="17">
        <v>3612.7</v>
      </c>
      <c r="GK83" s="17">
        <v>4278.6000000000004</v>
      </c>
      <c r="GL83" s="17">
        <v>3931.5</v>
      </c>
      <c r="GM83" s="17">
        <v>4611.8500000000004</v>
      </c>
      <c r="GN83" s="17">
        <v>4523.1499999999996</v>
      </c>
      <c r="GO83" s="17">
        <v>2675.7</v>
      </c>
      <c r="GP83" s="17">
        <v>5053.3500000000004</v>
      </c>
      <c r="GQ83" s="17">
        <v>4600.6499999999996</v>
      </c>
      <c r="GR83" s="107">
        <v>4176.45</v>
      </c>
      <c r="GS83" s="153">
        <f>EQ83</f>
        <v>4919.25</v>
      </c>
      <c r="GT83" s="5" t="s">
        <v>24</v>
      </c>
      <c r="GU83" s="166" t="s">
        <v>368</v>
      </c>
      <c r="GV83" s="167">
        <f>LABOUR!AG64</f>
        <v>0.20227628386087501</v>
      </c>
      <c r="GW83" s="58"/>
      <c r="GX83" s="58"/>
      <c r="GY83" s="58"/>
      <c r="GZ83" s="58"/>
      <c r="HA83" s="58"/>
    </row>
    <row r="84" spans="1:209" s="2" customFormat="1" ht="15" customHeight="1" x14ac:dyDescent="0.3">
      <c r="A84" s="171"/>
      <c r="B84" s="34"/>
      <c r="C84" s="17" t="s">
        <v>129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>
        <f>2775.35/1.2</f>
        <v>2312.7916666666665</v>
      </c>
      <c r="DU84" s="17">
        <f>632.5/1.2</f>
        <v>527.08333333333337</v>
      </c>
      <c r="DV84" s="17">
        <f>2629.84/1.2</f>
        <v>2191.5333333333338</v>
      </c>
      <c r="DW84" s="17">
        <f>1956.8/1.2</f>
        <v>1630.6666666666667</v>
      </c>
      <c r="DX84" s="17">
        <f>1838.44/1.2</f>
        <v>1532.0333333333335</v>
      </c>
      <c r="DY84" s="17">
        <v>0</v>
      </c>
      <c r="DZ84" s="17">
        <f>958.55/1.2</f>
        <v>798.79166666666663</v>
      </c>
      <c r="EA84" s="17">
        <f>1979.56/1.2</f>
        <v>1649.6333333333334</v>
      </c>
      <c r="EB84" s="17">
        <v>1728.76</v>
      </c>
      <c r="EC84" s="17">
        <v>2164.73</v>
      </c>
      <c r="ED84" s="17">
        <v>1673.95</v>
      </c>
      <c r="EE84" s="17">
        <v>2859.55</v>
      </c>
      <c r="EF84" s="17">
        <v>1763.99</v>
      </c>
      <c r="EG84" s="17">
        <v>2256.4499999999998</v>
      </c>
      <c r="EH84" s="17">
        <v>1471.66</v>
      </c>
      <c r="EI84" s="17">
        <v>1543.28</v>
      </c>
      <c r="EJ84" s="17">
        <v>1022.38</v>
      </c>
      <c r="EK84" s="17">
        <v>1494.41</v>
      </c>
      <c r="EL84" s="17">
        <v>597.78</v>
      </c>
      <c r="EM84" s="17">
        <v>1281.8</v>
      </c>
      <c r="EN84" s="17">
        <v>203.4</v>
      </c>
      <c r="EO84" s="17">
        <v>639.29999999999995</v>
      </c>
      <c r="EP84" s="17">
        <v>596.19000000000005</v>
      </c>
      <c r="EQ84" s="17">
        <v>348.95</v>
      </c>
      <c r="ER84" s="17">
        <v>527.69000000000005</v>
      </c>
      <c r="ES84" s="17">
        <v>477.26</v>
      </c>
      <c r="ET84" s="17">
        <v>663.76</v>
      </c>
      <c r="EU84" s="17">
        <v>537.14</v>
      </c>
      <c r="EV84" s="17">
        <v>586.34</v>
      </c>
      <c r="EW84" s="17">
        <v>1014.27</v>
      </c>
      <c r="EX84" s="17">
        <v>898.66</v>
      </c>
      <c r="EY84" s="17">
        <v>784.26</v>
      </c>
      <c r="EZ84" s="17">
        <v>875.25</v>
      </c>
      <c r="FA84" s="17">
        <v>786</v>
      </c>
      <c r="FB84" s="17">
        <v>846.33</v>
      </c>
      <c r="FC84" s="17">
        <v>600.33000000000004</v>
      </c>
      <c r="FD84" s="17">
        <v>745</v>
      </c>
      <c r="FE84" s="17">
        <f>957.75*0.6</f>
        <v>574.65</v>
      </c>
      <c r="FF84" s="17">
        <v>774</v>
      </c>
      <c r="FG84" s="17">
        <v>650.19000000000005</v>
      </c>
      <c r="FH84" s="17">
        <v>1019.19</v>
      </c>
      <c r="FI84" s="17">
        <v>1343</v>
      </c>
      <c r="FJ84" s="17">
        <v>1500.5</v>
      </c>
      <c r="FK84" s="17">
        <v>1493.5</v>
      </c>
      <c r="FL84" s="17">
        <v>1669.25</v>
      </c>
      <c r="FM84" s="17">
        <v>1150.2</v>
      </c>
      <c r="FN84" s="17">
        <v>1497.5</v>
      </c>
      <c r="FO84" s="17">
        <v>1196.7</v>
      </c>
      <c r="FP84" s="17">
        <v>1095.1600000000001</v>
      </c>
      <c r="FQ84" s="17">
        <v>932.5</v>
      </c>
      <c r="FR84" s="17">
        <v>961.34</v>
      </c>
      <c r="FS84" s="17">
        <f>1558.75*0.66</f>
        <v>1028.7750000000001</v>
      </c>
      <c r="FT84" s="17">
        <v>791.24</v>
      </c>
      <c r="FU84" s="17">
        <f>249.5*0.6</f>
        <v>149.69999999999999</v>
      </c>
      <c r="FV84" s="17">
        <v>1195.48</v>
      </c>
      <c r="FW84" s="17">
        <v>572.03</v>
      </c>
      <c r="FX84" s="17">
        <v>1467</v>
      </c>
      <c r="FY84" s="17">
        <v>579.51</v>
      </c>
      <c r="FZ84" s="17">
        <v>814.97</v>
      </c>
      <c r="GA84" s="17">
        <f>1726.67*0.6</f>
        <v>1036.002</v>
      </c>
      <c r="GB84" s="17">
        <v>1005.84</v>
      </c>
      <c r="GC84" s="17">
        <v>1039.6099999999999</v>
      </c>
      <c r="GD84" s="17">
        <v>1545.7</v>
      </c>
      <c r="GE84" s="17">
        <v>610.03</v>
      </c>
      <c r="GF84" s="17">
        <v>921.57</v>
      </c>
      <c r="GG84" s="17">
        <v>1172.0899999999999</v>
      </c>
      <c r="GH84" s="17">
        <v>1066</v>
      </c>
      <c r="GI84" s="17">
        <v>837.87</v>
      </c>
      <c r="GJ84" s="17">
        <v>987.35</v>
      </c>
      <c r="GK84" s="17">
        <v>1170</v>
      </c>
      <c r="GL84" s="17">
        <v>1185</v>
      </c>
      <c r="GM84" s="17">
        <v>2010</v>
      </c>
      <c r="GN84" s="17">
        <v>1130.67</v>
      </c>
      <c r="GO84" s="17">
        <v>828.32</v>
      </c>
      <c r="GP84" s="17">
        <v>957</v>
      </c>
      <c r="GQ84" s="17">
        <v>1568.21</v>
      </c>
      <c r="GR84" s="112">
        <f>1536.04*0.65</f>
        <v>998.42600000000004</v>
      </c>
      <c r="GS84" s="153">
        <f>EQ84</f>
        <v>348.95</v>
      </c>
      <c r="GT84" s="2" t="s">
        <v>391</v>
      </c>
      <c r="GW84" s="58"/>
      <c r="GX84" s="58"/>
      <c r="GY84" s="58"/>
      <c r="GZ84" s="58"/>
      <c r="HA84" s="58"/>
    </row>
    <row r="85" spans="1:209" s="2" customFormat="1" ht="15" customHeight="1" x14ac:dyDescent="0.3">
      <c r="A85" s="171"/>
      <c r="B85" s="19" t="s">
        <v>21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>
        <f t="shared" ref="CV85:CZ85" si="2446">+CV82+CV83</f>
        <v>6283.7</v>
      </c>
      <c r="CW85" s="20">
        <f t="shared" si="2446"/>
        <v>13601.4</v>
      </c>
      <c r="CX85" s="20">
        <f t="shared" si="2446"/>
        <v>17242.400000000001</v>
      </c>
      <c r="CY85" s="20">
        <f t="shared" si="2446"/>
        <v>16741.2</v>
      </c>
      <c r="CZ85" s="20">
        <f t="shared" si="2446"/>
        <v>14291.15</v>
      </c>
      <c r="DA85" s="20">
        <f t="shared" ref="DA85:DB85" si="2447">+DA82+DA83</f>
        <v>15137.2</v>
      </c>
      <c r="DB85" s="20">
        <f t="shared" si="2447"/>
        <v>13627.349999999999</v>
      </c>
      <c r="DC85" s="20">
        <f t="shared" ref="DC85:DD85" si="2448">+DC82+DC83</f>
        <v>17423.349999999999</v>
      </c>
      <c r="DD85" s="20">
        <f t="shared" si="2448"/>
        <v>16694.55</v>
      </c>
      <c r="DE85" s="20">
        <f t="shared" ref="DE85:DF85" si="2449">+DE82+DE83</f>
        <v>16101.8</v>
      </c>
      <c r="DF85" s="20">
        <f t="shared" si="2449"/>
        <v>20402.95</v>
      </c>
      <c r="DG85" s="20">
        <f t="shared" ref="DG85:DH85" si="2450">+DG82+DG83</f>
        <v>17367</v>
      </c>
      <c r="DH85" s="20">
        <f t="shared" si="2450"/>
        <v>19830.650000000001</v>
      </c>
      <c r="DI85" s="20">
        <f t="shared" ref="DI85:DJ85" si="2451">+DI82+DI83</f>
        <v>14164</v>
      </c>
      <c r="DJ85" s="20">
        <f t="shared" si="2451"/>
        <v>14232.15</v>
      </c>
      <c r="DK85" s="20">
        <f t="shared" ref="DK85:DL85" si="2452">+DK82+DK83</f>
        <v>14030.35</v>
      </c>
      <c r="DL85" s="20">
        <f t="shared" si="2452"/>
        <v>12879.75</v>
      </c>
      <c r="DM85" s="20">
        <f t="shared" ref="DM85:DN85" si="2453">+DM82+DM83</f>
        <v>12036.9</v>
      </c>
      <c r="DN85" s="20">
        <f t="shared" si="2453"/>
        <v>11068</v>
      </c>
      <c r="DO85" s="20">
        <f t="shared" ref="DO85:DP85" si="2454">+DO82+DO83</f>
        <v>12918.75</v>
      </c>
      <c r="DP85" s="20">
        <f t="shared" si="2454"/>
        <v>13102.65</v>
      </c>
      <c r="DQ85" s="20">
        <f t="shared" ref="DQ85" si="2455">+DQ82+DQ83</f>
        <v>11745.349999999999</v>
      </c>
      <c r="DR85" s="20">
        <f t="shared" ref="DR85:DS85" si="2456">+DR82+DR83+DR84</f>
        <v>11209.65</v>
      </c>
      <c r="DS85" s="20">
        <f t="shared" si="2456"/>
        <v>11836.8</v>
      </c>
      <c r="DT85" s="20">
        <f t="shared" ref="DT85" si="2457">+DT82+DT83+DT84</f>
        <v>13744.041666666666</v>
      </c>
      <c r="DU85" s="20">
        <f t="shared" ref="DU85" si="2458">+DU82+DU83+DU84</f>
        <v>14754.883333333333</v>
      </c>
      <c r="DV85" s="20">
        <f t="shared" ref="DV85" si="2459">+DV82+DV83+DV84</f>
        <v>12624.333333333332</v>
      </c>
      <c r="DW85" s="20">
        <f t="shared" ref="DW85" si="2460">+DW82+DW83+DW84</f>
        <v>14185.366666666665</v>
      </c>
      <c r="DX85" s="20">
        <f t="shared" ref="DX85" si="2461">+DX82+DX83+DX84</f>
        <v>18860.733333333334</v>
      </c>
      <c r="DY85" s="20">
        <f t="shared" ref="DY85" si="2462">+DY82+DY83+DY84</f>
        <v>8073.7000000000007</v>
      </c>
      <c r="DZ85" s="20">
        <f t="shared" ref="DZ85" si="2463">+DZ82+DZ83+DZ84</f>
        <v>9070.5916666666653</v>
      </c>
      <c r="EA85" s="20">
        <f t="shared" ref="EA85:EB85" si="2464">+EA82+EA83+EA84</f>
        <v>11201.833333333334</v>
      </c>
      <c r="EB85" s="20">
        <f t="shared" si="2464"/>
        <v>10386.81</v>
      </c>
      <c r="EC85" s="20">
        <f t="shared" ref="EC85:ED85" si="2465">+EC82+EC83+EC84</f>
        <v>11119.88</v>
      </c>
      <c r="ED85" s="20">
        <f t="shared" si="2465"/>
        <v>12790.900000000001</v>
      </c>
      <c r="EE85" s="20">
        <f t="shared" ref="EE85:EF85" si="2466">+EE82+EE83+EE84</f>
        <v>13021.650000000001</v>
      </c>
      <c r="EF85" s="20">
        <f t="shared" si="2466"/>
        <v>11671.34</v>
      </c>
      <c r="EG85" s="20">
        <f t="shared" ref="EG85:EH85" si="2467">+EG82+EG83+EG84</f>
        <v>14815.650000000001</v>
      </c>
      <c r="EH85" s="20">
        <f t="shared" si="2467"/>
        <v>16723.16</v>
      </c>
      <c r="EI85" s="20">
        <f t="shared" ref="EI85:EJ85" si="2468">+EI82+EI83+EI84</f>
        <v>14857.630000000001</v>
      </c>
      <c r="EJ85" s="20">
        <f t="shared" si="2468"/>
        <v>14148.23</v>
      </c>
      <c r="EK85" s="20">
        <f t="shared" ref="EK85:EL85" si="2469">+EK82+EK83+EK84</f>
        <v>16429.710000000003</v>
      </c>
      <c r="EL85" s="20">
        <f t="shared" si="2469"/>
        <v>15786.93</v>
      </c>
      <c r="EM85" s="20">
        <f t="shared" ref="EM85:EN85" si="2470">+EM82+EM83+EM84</f>
        <v>19535.650000000001</v>
      </c>
      <c r="EN85" s="20">
        <f t="shared" si="2470"/>
        <v>18332.250000000004</v>
      </c>
      <c r="EO85" s="20">
        <f t="shared" ref="EO85:EP85" si="2471">+EO82+EO83+EO84</f>
        <v>18604.7</v>
      </c>
      <c r="EP85" s="20">
        <f t="shared" si="2471"/>
        <v>16032.539999999999</v>
      </c>
      <c r="EQ85" s="20">
        <f t="shared" ref="EQ85:ER85" si="2472">+EQ82+EQ83+EQ84</f>
        <v>33688.259999999995</v>
      </c>
      <c r="ER85" s="20">
        <f t="shared" si="2472"/>
        <v>14934.04</v>
      </c>
      <c r="ES85" s="20">
        <f t="shared" ref="ES85:ET85" si="2473">+ES82+ES83+ES84</f>
        <v>16836.36</v>
      </c>
      <c r="ET85" s="20">
        <f t="shared" si="2473"/>
        <v>14620.81</v>
      </c>
      <c r="EU85" s="20">
        <f t="shared" ref="EU85:EV85" si="2474">+EU82+EU83+EU84</f>
        <v>16322.64</v>
      </c>
      <c r="EV85" s="20">
        <f t="shared" si="2474"/>
        <v>15249.59</v>
      </c>
      <c r="EW85" s="20">
        <f t="shared" ref="EW85:EX85" si="2475">+EW82+EW83+EW84</f>
        <v>26708.07</v>
      </c>
      <c r="EX85" s="20">
        <f t="shared" si="2475"/>
        <v>24249.809999999998</v>
      </c>
      <c r="EY85" s="20">
        <f t="shared" ref="EY85:EZ85" si="2476">+EY82+EY83+EY84</f>
        <v>22206.309999999998</v>
      </c>
      <c r="EZ85" s="20">
        <f t="shared" si="2476"/>
        <v>22585.370000000003</v>
      </c>
      <c r="FA85" s="20">
        <f t="shared" ref="FA85:FB85" si="2477">+FA82+FA83+FA84</f>
        <v>20842.78</v>
      </c>
      <c r="FB85" s="20">
        <f t="shared" si="2477"/>
        <v>17948.63</v>
      </c>
      <c r="FC85" s="20">
        <f t="shared" ref="FC85:FD85" si="2478">+FC82+FC83+FC84</f>
        <v>20073.38</v>
      </c>
      <c r="FD85" s="20">
        <f t="shared" si="2478"/>
        <v>17625.349999999999</v>
      </c>
      <c r="FE85" s="20">
        <f t="shared" ref="FE85:FF85" si="2479">+FE82+FE83+FE84</f>
        <v>18144.75</v>
      </c>
      <c r="FF85" s="20">
        <f t="shared" si="2479"/>
        <v>21639.200000000001</v>
      </c>
      <c r="FG85" s="20">
        <f t="shared" ref="FG85:FH85" si="2480">+FG82+FG83+FG84</f>
        <v>30173.069999999996</v>
      </c>
      <c r="FH85" s="20">
        <f t="shared" si="2480"/>
        <v>21229.84</v>
      </c>
      <c r="FI85" s="20">
        <f t="shared" ref="FI85:FJ85" si="2481">+FI82+FI83+FI84</f>
        <v>17372.45</v>
      </c>
      <c r="FJ85" s="20">
        <f t="shared" si="2481"/>
        <v>16335.3</v>
      </c>
      <c r="FK85" s="20">
        <f t="shared" ref="FK85:FL85" si="2482">+FK82+FK83+FK84</f>
        <v>19558.599999999999</v>
      </c>
      <c r="FL85" s="20">
        <f t="shared" si="2482"/>
        <v>17044.7</v>
      </c>
      <c r="FM85" s="20">
        <f t="shared" ref="FM85:FR85" si="2483">+FM83+FM82+FM84</f>
        <v>17703.600000000002</v>
      </c>
      <c r="FN85" s="20">
        <f t="shared" si="2483"/>
        <v>17501.2</v>
      </c>
      <c r="FO85" s="20">
        <f t="shared" si="2483"/>
        <v>14278.5</v>
      </c>
      <c r="FP85" s="20">
        <f t="shared" si="2483"/>
        <v>13743.61</v>
      </c>
      <c r="FQ85" s="20">
        <f t="shared" si="2483"/>
        <v>11516</v>
      </c>
      <c r="FR85" s="20">
        <f t="shared" si="2483"/>
        <v>13112.04</v>
      </c>
      <c r="FS85" s="20">
        <f t="shared" ref="FS85:FT85" si="2484">+FS83+FS82+FS84</f>
        <v>15379.574999999999</v>
      </c>
      <c r="FT85" s="20">
        <f t="shared" si="2484"/>
        <v>12809.289999999999</v>
      </c>
      <c r="FU85" s="20">
        <f t="shared" ref="FU85:FV85" si="2485">+FU83+FU82+FU84</f>
        <v>12345.500000000002</v>
      </c>
      <c r="FV85" s="20">
        <f t="shared" si="2485"/>
        <v>16746.28</v>
      </c>
      <c r="FW85" s="20">
        <f t="shared" ref="FW85:FX85" si="2486">+FW83+FW82+FW84</f>
        <v>17774.579999999998</v>
      </c>
      <c r="FX85" s="20">
        <f t="shared" si="2486"/>
        <v>24731.25</v>
      </c>
      <c r="FY85" s="20">
        <f t="shared" ref="FY85:FZ85" si="2487">+FY83+FY82+FY84</f>
        <v>15199.26</v>
      </c>
      <c r="FZ85" s="20">
        <f t="shared" si="2487"/>
        <v>14144.019999999999</v>
      </c>
      <c r="GA85" s="20">
        <f t="shared" ref="GA85:GB85" si="2488">+GA83+GA82+GA84</f>
        <v>10784.052</v>
      </c>
      <c r="GB85" s="20">
        <f t="shared" si="2488"/>
        <v>15057.34</v>
      </c>
      <c r="GC85" s="20">
        <f t="shared" ref="GC85:GD85" si="2489">+GC83+GC82+GC84</f>
        <v>12571.710000000001</v>
      </c>
      <c r="GD85" s="20">
        <f t="shared" si="2489"/>
        <v>17375.850000000002</v>
      </c>
      <c r="GE85" s="20">
        <f t="shared" ref="GE85:GF85" si="2490">+GE83+GE82+GE84</f>
        <v>8334.880000000001</v>
      </c>
      <c r="GF85" s="20">
        <f t="shared" si="2490"/>
        <v>12897.57</v>
      </c>
      <c r="GG85" s="20">
        <f t="shared" ref="GG85:GH85" si="2491">+GG83+GG82+GG84</f>
        <v>16351.57</v>
      </c>
      <c r="GH85" s="20">
        <f t="shared" si="2491"/>
        <v>17300</v>
      </c>
      <c r="GI85" s="20">
        <f t="shared" ref="GI85:GJ85" si="2492">+GI83+GI82+GI84</f>
        <v>18593.52</v>
      </c>
      <c r="GJ85" s="20">
        <f t="shared" si="2492"/>
        <v>17764.55</v>
      </c>
      <c r="GK85" s="20">
        <f t="shared" ref="GK85:GN85" si="2493">+GK83+GK82+GK84</f>
        <v>25135.300000000003</v>
      </c>
      <c r="GL85" s="20">
        <f t="shared" si="2493"/>
        <v>17740.150000000001</v>
      </c>
      <c r="GM85" s="20">
        <f t="shared" ref="GM85" si="2494">+GM83+GM82+GM84</f>
        <v>22245.25</v>
      </c>
      <c r="GN85" s="20">
        <f t="shared" si="2493"/>
        <v>19982.619999999995</v>
      </c>
      <c r="GO85" s="20">
        <f t="shared" ref="GO85:GP85" si="2495">+GO83+GO82+GO84</f>
        <v>15082.32</v>
      </c>
      <c r="GP85" s="20">
        <f t="shared" si="2495"/>
        <v>21466.65</v>
      </c>
      <c r="GQ85" s="20">
        <f t="shared" ref="GQ85:GR85" si="2496">+GQ83+GQ82+GQ84</f>
        <v>23648.46</v>
      </c>
      <c r="GR85" s="150">
        <f t="shared" si="2496"/>
        <v>22644.276000000002</v>
      </c>
      <c r="GS85" s="154">
        <f t="shared" ref="GS85" si="2497">GS82+GS83+GS84</f>
        <v>33688.259999999995</v>
      </c>
      <c r="GT85" s="10" t="str">
        <f>B82</f>
        <v>HETTIE BELLS</v>
      </c>
      <c r="GU85" s="11"/>
      <c r="GV85" s="11"/>
      <c r="GW85" s="56">
        <f>AVERAGE(ES85:GR85)</f>
        <v>17860.149673076921</v>
      </c>
      <c r="GX85" s="56">
        <f>AVERAGE(FS85:GR85)</f>
        <v>17080.993192307695</v>
      </c>
      <c r="GY85" s="56">
        <f>AVERAGE(GF85:GR85)</f>
        <v>19296.325846153846</v>
      </c>
      <c r="GZ85" s="56">
        <f>AVERAGE(GN85:GR85)</f>
        <v>20564.865199999997</v>
      </c>
      <c r="HA85" s="56">
        <f>MAX(D85:GR85)</f>
        <v>33688.259999999995</v>
      </c>
    </row>
    <row r="86" spans="1:209" s="2" customFormat="1" ht="15" customHeight="1" x14ac:dyDescent="0.3">
      <c r="A86" s="171"/>
      <c r="B86" s="35" t="s">
        <v>365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54">
        <f t="shared" ref="CW86:DH86" si="2498">SUM(CW85-CV85)</f>
        <v>7317.7</v>
      </c>
      <c r="CX86" s="54">
        <f t="shared" si="2498"/>
        <v>3641.0000000000018</v>
      </c>
      <c r="CY86" s="54">
        <f t="shared" si="2498"/>
        <v>-501.20000000000073</v>
      </c>
      <c r="CZ86" s="54">
        <f t="shared" si="2498"/>
        <v>-2450.0500000000011</v>
      </c>
      <c r="DA86" s="54">
        <f t="shared" si="2498"/>
        <v>846.05000000000109</v>
      </c>
      <c r="DB86" s="54">
        <f t="shared" si="2498"/>
        <v>-1509.8500000000022</v>
      </c>
      <c r="DC86" s="54">
        <f t="shared" si="2498"/>
        <v>3796</v>
      </c>
      <c r="DD86" s="54">
        <f t="shared" si="2498"/>
        <v>-728.79999999999927</v>
      </c>
      <c r="DE86" s="54">
        <f t="shared" si="2498"/>
        <v>-592.75</v>
      </c>
      <c r="DF86" s="54">
        <f t="shared" si="2498"/>
        <v>4301.1500000000015</v>
      </c>
      <c r="DG86" s="54">
        <f t="shared" si="2498"/>
        <v>-3035.9500000000007</v>
      </c>
      <c r="DH86" s="54">
        <f t="shared" si="2498"/>
        <v>2463.6500000000015</v>
      </c>
      <c r="DI86" s="28">
        <f t="shared" ref="DI86" si="2499">SUM(DI85-DH85)/DH85</f>
        <v>-0.28575210595719258</v>
      </c>
      <c r="DJ86" s="28">
        <f t="shared" ref="DJ86" si="2500">SUM(DJ85-DI85)/DI85</f>
        <v>4.8114939282688247E-3</v>
      </c>
      <c r="DK86" s="28">
        <f t="shared" ref="DK86" si="2501">SUM(DK85-DJ85)/DJ85</f>
        <v>-1.4179164778336322E-2</v>
      </c>
      <c r="DL86" s="28">
        <f t="shared" ref="DL86" si="2502">SUM(DL85-DK85)/DK85</f>
        <v>-8.2007932802816777E-2</v>
      </c>
      <c r="DM86" s="28">
        <f t="shared" ref="DM86" si="2503">SUM(DM85-DL85)/DL85</f>
        <v>-6.5439934781342829E-2</v>
      </c>
      <c r="DN86" s="28">
        <f t="shared" ref="DN86" si="2504">SUM(DN85-DM85)/DM85</f>
        <v>-8.0494147164136914E-2</v>
      </c>
      <c r="DO86" s="28">
        <f t="shared" ref="DO86" si="2505">SUM(DO85-DN85)/DN85</f>
        <v>0.1672162992410553</v>
      </c>
      <c r="DP86" s="28">
        <f t="shared" ref="DP86" si="2506">SUM(DP85-DO85)/DO85</f>
        <v>1.423512336719881E-2</v>
      </c>
      <c r="DQ86" s="28">
        <f t="shared" ref="DQ86" si="2507">SUM(DQ85-DP85)/DP85</f>
        <v>-0.10358973184813768</v>
      </c>
      <c r="DR86" s="28">
        <f t="shared" ref="DR86" si="2508">SUM(DR85-DQ85)/DQ85</f>
        <v>-4.5609539094194636E-2</v>
      </c>
      <c r="DS86" s="28">
        <f t="shared" ref="DS86" si="2509">SUM(DS85-DR85)/DR85</f>
        <v>5.5947331094191137E-2</v>
      </c>
      <c r="DT86" s="28">
        <f t="shared" ref="DT86" si="2510">SUM(DT85-DS85)/DS85</f>
        <v>0.16112814837343428</v>
      </c>
      <c r="DU86" s="28">
        <f t="shared" ref="DU86" si="2511">SUM(DU85-DT85)/DT85</f>
        <v>7.3547628214650634E-2</v>
      </c>
      <c r="DV86" s="28">
        <f t="shared" ref="DV86" si="2512">SUM(DV85-DU85)/DU85</f>
        <v>-0.14439626202850364</v>
      </c>
      <c r="DW86" s="28">
        <f t="shared" ref="DW86" si="2513">SUM(DW85-DV85)/DV85</f>
        <v>0.12365273413777622</v>
      </c>
      <c r="DX86" s="28">
        <f t="shared" ref="DX86" si="2514">SUM(DX85-DW85)/DW85</f>
        <v>0.32959082246728455</v>
      </c>
      <c r="DY86" s="28">
        <f t="shared" ref="DY86" si="2515">SUM(DY85-DX85)/DX85</f>
        <v>-0.57193074853929327</v>
      </c>
      <c r="DZ86" s="28">
        <f t="shared" ref="DZ86" si="2516">SUM(DZ85-DY85)/DY85</f>
        <v>0.12347395452725077</v>
      </c>
      <c r="EA86" s="28">
        <f t="shared" ref="EA86" si="2517">SUM(EA85-DZ85)/DZ85</f>
        <v>0.2349617031597537</v>
      </c>
      <c r="EB86" s="28">
        <f t="shared" ref="EB86" si="2518">SUM(EB85-EA85)/EA85</f>
        <v>-7.2758030679501956E-2</v>
      </c>
      <c r="EC86" s="28">
        <f t="shared" ref="EC86" si="2519">SUM(EC85-EB85)/EB85</f>
        <v>7.0577010651008326E-2</v>
      </c>
      <c r="ED86" s="28">
        <f t="shared" ref="ED86" si="2520">SUM(ED85-EC85)/EC85</f>
        <v>0.1502732043870979</v>
      </c>
      <c r="EE86" s="28">
        <f t="shared" ref="EE86" si="2521">SUM(EE85-ED85)/ED85</f>
        <v>1.8040169182778381E-2</v>
      </c>
      <c r="EF86" s="28">
        <f t="shared" ref="EF86" si="2522">SUM(EF85-EE85)/EE85</f>
        <v>-0.10369730410508662</v>
      </c>
      <c r="EG86" s="28">
        <f t="shared" ref="EG86" si="2523">SUM(EG85-EF85)/EF85</f>
        <v>0.26940437002092316</v>
      </c>
      <c r="EH86" s="28">
        <f t="shared" ref="EH86" si="2524">SUM(EH85-EG85)/EG85</f>
        <v>0.12874966673753754</v>
      </c>
      <c r="EI86" s="28">
        <f t="shared" ref="EI86" si="2525">SUM(EI85-EH85)/EH85</f>
        <v>-0.11155367765422318</v>
      </c>
      <c r="EJ86" s="28">
        <f t="shared" ref="EJ86" si="2526">SUM(EJ85-EI85)/EI85</f>
        <v>-4.7746511388424763E-2</v>
      </c>
      <c r="EK86" s="28">
        <f t="shared" ref="EK86" si="2527">SUM(EK85-EJ85)/EJ85</f>
        <v>0.16125550687259135</v>
      </c>
      <c r="EL86" s="28">
        <f t="shared" ref="EL86" si="2528">SUM(EL85-EK85)/EK85</f>
        <v>-3.9123027734512802E-2</v>
      </c>
      <c r="EM86" s="28">
        <f t="shared" ref="EM86" si="2529">SUM(EM85-EL85)/EL85</f>
        <v>0.23745718768626967</v>
      </c>
      <c r="EN86" s="28">
        <f t="shared" ref="EN86" si="2530">SUM(EN85-EM85)/EM85</f>
        <v>-6.1600202706334199E-2</v>
      </c>
      <c r="EO86" s="28">
        <f t="shared" ref="EO86" si="2531">SUM(EO85-EN85)/EN85</f>
        <v>1.4861787287430459E-2</v>
      </c>
      <c r="EP86" s="28">
        <f t="shared" ref="EP86" si="2532">SUM(EP85-EO85)/EO85</f>
        <v>-0.13825323708525272</v>
      </c>
      <c r="EQ86" s="28">
        <f t="shared" ref="EQ86" si="2533">SUM(EQ85-EP85)/EP85</f>
        <v>1.1012428473591829</v>
      </c>
      <c r="ER86" s="28">
        <f t="shared" ref="ER86" si="2534">SUM(ER85-EQ85)/EQ85</f>
        <v>-0.55669898059442657</v>
      </c>
      <c r="ES86" s="28">
        <f t="shared" ref="ES86" si="2535">SUM(ES85-ER85)/ER85</f>
        <v>0.1273814721267654</v>
      </c>
      <c r="ET86" s="28">
        <f t="shared" ref="ET86" si="2536">SUM(ET85-ES85)/ES85</f>
        <v>-0.13159317097044734</v>
      </c>
      <c r="EU86" s="28">
        <f t="shared" ref="EU86" si="2537">SUM(EU85-ET85)/ET85</f>
        <v>0.11639779191440146</v>
      </c>
      <c r="EV86" s="28">
        <f t="shared" ref="EV86" si="2538">SUM(EV85-EU85)/EU85</f>
        <v>-6.5739978336837632E-2</v>
      </c>
      <c r="EW86" s="28">
        <f t="shared" ref="EW86" si="2539">SUM(EW85-EV85)/EV85</f>
        <v>0.75139593916951208</v>
      </c>
      <c r="EX86" s="28">
        <f t="shared" ref="EX86" si="2540">SUM(EX85-EW85)/EW85</f>
        <v>-9.2041843532685144E-2</v>
      </c>
      <c r="EY86" s="28">
        <f t="shared" ref="EY86" si="2541">SUM(EY85-EX85)/EX85</f>
        <v>-8.4268701486733308E-2</v>
      </c>
      <c r="EZ86" s="28">
        <f t="shared" ref="EZ86" si="2542">SUM(EZ85-EY85)/EY85</f>
        <v>1.7069922918305877E-2</v>
      </c>
      <c r="FA86" s="28">
        <f t="shared" ref="FA86" si="2543">SUM(FA85-EZ85)/EZ85</f>
        <v>-7.7155698578327631E-2</v>
      </c>
      <c r="FB86" s="28">
        <f t="shared" ref="FB86" si="2544">SUM(FB85-FA85)/FA85</f>
        <v>-0.13885623702788197</v>
      </c>
      <c r="FC86" s="28">
        <f t="shared" ref="FC86" si="2545">SUM(FC85-FB85)/FB85</f>
        <v>0.11837950863102085</v>
      </c>
      <c r="FD86" s="28">
        <f t="shared" ref="FD86" si="2546">SUM(FD85-FC85)/FC85</f>
        <v>-0.12195405058839132</v>
      </c>
      <c r="FE86" s="28">
        <f t="shared" ref="FE86" si="2547">SUM(FE85-FD85)/FD85</f>
        <v>2.9468918347720838E-2</v>
      </c>
      <c r="FF86" s="28">
        <f t="shared" ref="FF86" si="2548">SUM(FF85-FE85)/FE85</f>
        <v>0.19258738753633975</v>
      </c>
      <c r="FG86" s="28">
        <f t="shared" ref="FG86" si="2549">SUM(FG85-FF85)/FF85</f>
        <v>0.39437086398757787</v>
      </c>
      <c r="FH86" s="28">
        <f t="shared" ref="FH86" si="2550">SUM(FH85-FG85)/FG85</f>
        <v>-0.2963977480581193</v>
      </c>
      <c r="FI86" s="28">
        <f t="shared" ref="FI86" si="2551">SUM(FI85-FH85)/FH85</f>
        <v>-0.18169661193866743</v>
      </c>
      <c r="FJ86" s="28">
        <f t="shared" ref="FJ86" si="2552">SUM(FJ85-FI85)/FI85</f>
        <v>-5.9700848182035429E-2</v>
      </c>
      <c r="FK86" s="28">
        <f t="shared" ref="FK86" si="2553">SUM(FK85-FJ85)/FJ85</f>
        <v>0.19732113888327729</v>
      </c>
      <c r="FL86" s="28">
        <f t="shared" ref="FL86" si="2554">SUM(FL85-FK85)/FK85</f>
        <v>-0.12853169449756108</v>
      </c>
      <c r="FM86" s="28">
        <f t="shared" ref="FM86:GK86" si="2555">SUM(FM85-FL85)/FL85</f>
        <v>3.8657177891074729E-2</v>
      </c>
      <c r="FN86" s="28">
        <f t="shared" si="2555"/>
        <v>-1.1432702953071772E-2</v>
      </c>
      <c r="FO86" s="28">
        <f t="shared" si="2555"/>
        <v>-0.18414165885767836</v>
      </c>
      <c r="FP86" s="28">
        <f t="shared" si="2555"/>
        <v>-3.7461217915047057E-2</v>
      </c>
      <c r="FQ86" s="28">
        <f t="shared" si="2555"/>
        <v>-0.16208332454136873</v>
      </c>
      <c r="FR86" s="28">
        <f t="shared" si="2555"/>
        <v>0.13859326154914908</v>
      </c>
      <c r="FS86" s="28">
        <f t="shared" si="2555"/>
        <v>0.17293533271710565</v>
      </c>
      <c r="FT86" s="28">
        <f t="shared" si="2555"/>
        <v>-0.16712327876420513</v>
      </c>
      <c r="FU86" s="28">
        <f t="shared" si="2555"/>
        <v>-3.6207315159544146E-2</v>
      </c>
      <c r="FV86" s="28">
        <f t="shared" si="2555"/>
        <v>0.35646834879105715</v>
      </c>
      <c r="FW86" s="28">
        <f t="shared" si="2555"/>
        <v>6.1404682114475535E-2</v>
      </c>
      <c r="FX86" s="28">
        <f t="shared" si="2555"/>
        <v>0.3913830875328701</v>
      </c>
      <c r="FY86" s="28">
        <f t="shared" si="2555"/>
        <v>-0.38542289613343439</v>
      </c>
      <c r="FZ86" s="28">
        <f t="shared" si="2555"/>
        <v>-6.9427064212336756E-2</v>
      </c>
      <c r="GA86" s="28">
        <f t="shared" si="2555"/>
        <v>-0.23755396273478116</v>
      </c>
      <c r="GB86" s="28">
        <f t="shared" si="2555"/>
        <v>0.39625995868714287</v>
      </c>
      <c r="GC86" s="28">
        <f t="shared" si="2555"/>
        <v>-0.16507762991338437</v>
      </c>
      <c r="GD86" s="28">
        <f t="shared" si="2555"/>
        <v>0.38213894529861098</v>
      </c>
      <c r="GE86" s="28">
        <f t="shared" si="2555"/>
        <v>-0.52031814270956533</v>
      </c>
      <c r="GF86" s="28">
        <f t="shared" si="2555"/>
        <v>0.54742119862553484</v>
      </c>
      <c r="GG86" s="28">
        <f t="shared" si="2555"/>
        <v>0.26780238448017729</v>
      </c>
      <c r="GH86" s="28">
        <f t="shared" si="2555"/>
        <v>5.8002381422701324E-2</v>
      </c>
      <c r="GI86" s="28">
        <f t="shared" si="2555"/>
        <v>7.4769942196531811E-2</v>
      </c>
      <c r="GJ86" s="28">
        <f t="shared" si="2555"/>
        <v>-4.4583811994716498E-2</v>
      </c>
      <c r="GK86" s="28">
        <f t="shared" si="2555"/>
        <v>0.41491340900839052</v>
      </c>
      <c r="GL86" s="28">
        <f t="shared" ref="GL86" si="2556">(GL85-GK85)/GK85</f>
        <v>-0.29421371537240459</v>
      </c>
      <c r="GM86" s="28">
        <f t="shared" ref="GM86" si="2557">(GM85-GL85)/GL85</f>
        <v>0.25394937472343798</v>
      </c>
      <c r="GN86" s="28">
        <f t="shared" ref="GN86" si="2558">(GN85-GM85)/GM85</f>
        <v>-0.10171294995560871</v>
      </c>
      <c r="GO86" s="28">
        <f t="shared" ref="GO86:GR86" si="2559">(GO85-GN85)/GN85</f>
        <v>-0.24522810322169949</v>
      </c>
      <c r="GP86" s="28">
        <f t="shared" si="2559"/>
        <v>0.4232989354422928</v>
      </c>
      <c r="GQ86" s="28">
        <f t="shared" si="2559"/>
        <v>0.10163719071210447</v>
      </c>
      <c r="GR86" s="165">
        <f t="shared" si="2559"/>
        <v>-4.2462976447514872E-2</v>
      </c>
      <c r="GS86" s="159"/>
      <c r="GW86" s="58"/>
      <c r="GX86" s="58"/>
      <c r="GY86" s="58"/>
      <c r="GZ86" s="58"/>
      <c r="HA86" s="58"/>
    </row>
    <row r="87" spans="1:209" s="2" customFormat="1" ht="15" customHeight="1" x14ac:dyDescent="0.3">
      <c r="A87" s="171"/>
      <c r="B87" s="22" t="s">
        <v>91</v>
      </c>
      <c r="C87" s="23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25">
        <f t="shared" ref="BD87" si="2560">D85</f>
        <v>0</v>
      </c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>
        <f t="shared" ref="EV87" si="2561">CV85</f>
        <v>6283.7</v>
      </c>
      <c r="EW87" s="25">
        <f t="shared" ref="EW87" si="2562">CW85</f>
        <v>13601.4</v>
      </c>
      <c r="EX87" s="25">
        <f t="shared" ref="EX87:GL87" si="2563">CX85</f>
        <v>17242.400000000001</v>
      </c>
      <c r="EY87" s="25">
        <f t="shared" si="2563"/>
        <v>16741.2</v>
      </c>
      <c r="EZ87" s="25">
        <f t="shared" si="2563"/>
        <v>14291.15</v>
      </c>
      <c r="FA87" s="25">
        <f t="shared" si="2563"/>
        <v>15137.2</v>
      </c>
      <c r="FB87" s="25">
        <f t="shared" si="2563"/>
        <v>13627.349999999999</v>
      </c>
      <c r="FC87" s="25">
        <f t="shared" si="2563"/>
        <v>17423.349999999999</v>
      </c>
      <c r="FD87" s="25">
        <f t="shared" si="2563"/>
        <v>16694.55</v>
      </c>
      <c r="FE87" s="25">
        <f t="shared" si="2563"/>
        <v>16101.8</v>
      </c>
      <c r="FF87" s="25">
        <f t="shared" si="2563"/>
        <v>20402.95</v>
      </c>
      <c r="FG87" s="25">
        <f t="shared" si="2563"/>
        <v>17367</v>
      </c>
      <c r="FH87" s="25">
        <f t="shared" si="2563"/>
        <v>19830.650000000001</v>
      </c>
      <c r="FI87" s="25">
        <f t="shared" si="2563"/>
        <v>14164</v>
      </c>
      <c r="FJ87" s="25">
        <f t="shared" si="2563"/>
        <v>14232.15</v>
      </c>
      <c r="FK87" s="25">
        <f t="shared" si="2563"/>
        <v>14030.35</v>
      </c>
      <c r="FL87" s="25">
        <f t="shared" si="2563"/>
        <v>12879.75</v>
      </c>
      <c r="FM87" s="25">
        <f t="shared" si="2563"/>
        <v>12036.9</v>
      </c>
      <c r="FN87" s="25">
        <f t="shared" si="2563"/>
        <v>11068</v>
      </c>
      <c r="FO87" s="25">
        <f t="shared" si="2563"/>
        <v>12918.75</v>
      </c>
      <c r="FP87" s="25">
        <f t="shared" si="2563"/>
        <v>13102.65</v>
      </c>
      <c r="FQ87" s="25">
        <f t="shared" si="2563"/>
        <v>11745.349999999999</v>
      </c>
      <c r="FR87" s="25">
        <f t="shared" si="2563"/>
        <v>11209.65</v>
      </c>
      <c r="FS87" s="25">
        <f t="shared" si="2563"/>
        <v>11836.8</v>
      </c>
      <c r="FT87" s="25">
        <f t="shared" si="2563"/>
        <v>13744.041666666666</v>
      </c>
      <c r="FU87" s="25">
        <f t="shared" si="2563"/>
        <v>14754.883333333333</v>
      </c>
      <c r="FV87" s="25">
        <f t="shared" si="2563"/>
        <v>12624.333333333332</v>
      </c>
      <c r="FW87" s="25">
        <f t="shared" si="2563"/>
        <v>14185.366666666665</v>
      </c>
      <c r="FX87" s="25">
        <f t="shared" si="2563"/>
        <v>18860.733333333334</v>
      </c>
      <c r="FY87" s="25">
        <f t="shared" si="2563"/>
        <v>8073.7000000000007</v>
      </c>
      <c r="FZ87" s="25">
        <f t="shared" si="2563"/>
        <v>9070.5916666666653</v>
      </c>
      <c r="GA87" s="25">
        <f t="shared" si="2563"/>
        <v>11201.833333333334</v>
      </c>
      <c r="GB87" s="25">
        <f t="shared" si="2563"/>
        <v>10386.81</v>
      </c>
      <c r="GC87" s="25">
        <f t="shared" si="2563"/>
        <v>11119.88</v>
      </c>
      <c r="GD87" s="25">
        <f t="shared" si="2563"/>
        <v>12790.900000000001</v>
      </c>
      <c r="GE87" s="25">
        <f t="shared" si="2563"/>
        <v>13021.650000000001</v>
      </c>
      <c r="GF87" s="25">
        <f t="shared" si="2563"/>
        <v>11671.34</v>
      </c>
      <c r="GG87" s="25">
        <f t="shared" si="2563"/>
        <v>14815.650000000001</v>
      </c>
      <c r="GH87" s="25">
        <f t="shared" si="2563"/>
        <v>16723.16</v>
      </c>
      <c r="GI87" s="25">
        <f t="shared" si="2563"/>
        <v>14857.630000000001</v>
      </c>
      <c r="GJ87" s="25">
        <f t="shared" si="2563"/>
        <v>14148.23</v>
      </c>
      <c r="GK87" s="25">
        <f t="shared" si="2563"/>
        <v>16429.710000000003</v>
      </c>
      <c r="GL87" s="25">
        <f t="shared" si="2563"/>
        <v>15786.93</v>
      </c>
      <c r="GM87" s="25">
        <f t="shared" ref="GM87:GR87" si="2564">EL85</f>
        <v>15786.93</v>
      </c>
      <c r="GN87" s="25">
        <f t="shared" si="2564"/>
        <v>19535.650000000001</v>
      </c>
      <c r="GO87" s="25">
        <f t="shared" si="2564"/>
        <v>18332.250000000004</v>
      </c>
      <c r="GP87" s="25">
        <f t="shared" si="2564"/>
        <v>18604.7</v>
      </c>
      <c r="GQ87" s="25">
        <f t="shared" si="2564"/>
        <v>16032.539999999999</v>
      </c>
      <c r="GR87" s="110">
        <f t="shared" si="2564"/>
        <v>33688.259999999995</v>
      </c>
      <c r="GS87" s="159"/>
      <c r="GT87" s="11"/>
      <c r="GU87" s="11"/>
      <c r="GV87" s="11"/>
      <c r="GW87" s="58"/>
      <c r="GX87" s="58"/>
      <c r="GY87" s="58"/>
      <c r="GZ87" s="58"/>
      <c r="HA87" s="58"/>
    </row>
    <row r="88" spans="1:209" s="2" customFormat="1" ht="15" customHeight="1" x14ac:dyDescent="0.3">
      <c r="A88" s="171"/>
      <c r="B88" s="26" t="s">
        <v>366</v>
      </c>
      <c r="C88" s="45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8"/>
      <c r="EQ88" s="28"/>
      <c r="ER88" s="28"/>
      <c r="ES88" s="28"/>
      <c r="ET88" s="28"/>
      <c r="EU88" s="28"/>
      <c r="EV88" s="28">
        <f t="shared" ref="EV88:EX88" si="2565">(EV85-EV87)/EV87</f>
        <v>1.4268488311026941</v>
      </c>
      <c r="EW88" s="28">
        <f t="shared" si="2565"/>
        <v>0.96362653844457191</v>
      </c>
      <c r="EX88" s="28">
        <f t="shared" si="2565"/>
        <v>0.40640572078132947</v>
      </c>
      <c r="EY88" s="28">
        <f t="shared" ref="EY88:FA88" si="2566">(EY85-EY87)/EY87</f>
        <v>0.32644673022244503</v>
      </c>
      <c r="EZ88" s="28">
        <f t="shared" si="2566"/>
        <v>0.58037456747707517</v>
      </c>
      <c r="FA88" s="28">
        <f t="shared" si="2566"/>
        <v>0.37692439817139217</v>
      </c>
      <c r="FB88" s="28">
        <f t="shared" ref="FB88:FC88" si="2567">(FB85-FB87)/FB87</f>
        <v>0.31710347206169964</v>
      </c>
      <c r="FC88" s="28">
        <f t="shared" si="2567"/>
        <v>0.15209646824519985</v>
      </c>
      <c r="FD88" s="28">
        <f t="shared" ref="FD88:FE88" si="2568">(FD85-FD87)/FD87</f>
        <v>5.5754722349509227E-2</v>
      </c>
      <c r="FE88" s="28">
        <f t="shared" si="2568"/>
        <v>0.12687711932827392</v>
      </c>
      <c r="FF88" s="28">
        <f t="shared" ref="FF88:FG88" si="2569">(FF85-FF87)/FF87</f>
        <v>6.0591728156957694E-2</v>
      </c>
      <c r="FG88" s="28">
        <f t="shared" si="2569"/>
        <v>0.73737951286923453</v>
      </c>
      <c r="FH88" s="28">
        <f t="shared" ref="FH88:FI88" si="2570">(FH85-FH87)/FH87</f>
        <v>7.0556940897045659E-2</v>
      </c>
      <c r="FI88" s="28">
        <f t="shared" si="2570"/>
        <v>0.22652146286359789</v>
      </c>
      <c r="FJ88" s="28">
        <f t="shared" ref="FJ88:FK88" si="2571">(FJ85-FJ87)/FJ87</f>
        <v>0.14777458079067463</v>
      </c>
      <c r="FK88" s="28">
        <f t="shared" si="2571"/>
        <v>0.3940208191527651</v>
      </c>
      <c r="FL88" s="28">
        <f t="shared" ref="FL88:FM88" si="2572">(FL85-FL87)/FL87</f>
        <v>0.32337195985946937</v>
      </c>
      <c r="FM88" s="28">
        <f t="shared" si="2572"/>
        <v>0.47077735961917128</v>
      </c>
      <c r="FN88" s="28">
        <f t="shared" ref="FN88:FO88" si="2573">(FN85-FN87)/FN87</f>
        <v>0.58124322370798709</v>
      </c>
      <c r="FO88" s="28">
        <f t="shared" si="2573"/>
        <v>0.10525399129172715</v>
      </c>
      <c r="FP88" s="28">
        <f t="shared" ref="FP88:FQ88" si="2574">(FP85-FP87)/FP87</f>
        <v>4.8918348578341098E-2</v>
      </c>
      <c r="FQ88" s="28">
        <f t="shared" si="2574"/>
        <v>-1.952687659371569E-2</v>
      </c>
      <c r="FR88" s="28">
        <f t="shared" ref="FR88:FS88" si="2575">(FR85-FR87)/FR87</f>
        <v>0.16971002662884224</v>
      </c>
      <c r="FS88" s="28">
        <f t="shared" si="2575"/>
        <v>0.29930175385239255</v>
      </c>
      <c r="FT88" s="28">
        <f t="shared" ref="FT88:FU88" si="2576">(FT85-FT87)/FT87</f>
        <v>-6.8011411005375083E-2</v>
      </c>
      <c r="FU88" s="28">
        <f t="shared" si="2576"/>
        <v>-0.16329396030466736</v>
      </c>
      <c r="FV88" s="28">
        <f t="shared" ref="FV88:FW88" si="2577">(FV85-FV87)/FV87</f>
        <v>0.32650806643255093</v>
      </c>
      <c r="FW88" s="28">
        <f t="shared" si="2577"/>
        <v>0.25302224592949074</v>
      </c>
      <c r="FX88" s="28">
        <f t="shared" ref="FX88:FY88" si="2578">(FX85-FX87)/FX87</f>
        <v>0.31125601337523107</v>
      </c>
      <c r="FY88" s="28">
        <f t="shared" si="2578"/>
        <v>0.88256437568896529</v>
      </c>
      <c r="FZ88" s="28">
        <f t="shared" ref="FZ88:GA88" si="2579">(FZ85-FZ87)/FZ87</f>
        <v>0.55932716627268897</v>
      </c>
      <c r="GA88" s="28">
        <f t="shared" si="2579"/>
        <v>-3.7295799794676544E-2</v>
      </c>
      <c r="GB88" s="28">
        <f t="shared" ref="GB88:GC88" si="2580">(GB85-GB87)/GB87</f>
        <v>0.44965971265479976</v>
      </c>
      <c r="GC88" s="28">
        <f t="shared" si="2580"/>
        <v>0.13056166073734626</v>
      </c>
      <c r="GD88" s="28">
        <f t="shared" ref="GD88:GE88" si="2581">(GD85-GD87)/GD87</f>
        <v>0.35845405718127732</v>
      </c>
      <c r="GE88" s="28">
        <f t="shared" si="2581"/>
        <v>-0.35992136173219214</v>
      </c>
      <c r="GF88" s="28">
        <f t="shared" ref="GF88:GG88" si="2582">(GF85-GF87)/GF87</f>
        <v>0.10506334319795324</v>
      </c>
      <c r="GG88" s="28">
        <f t="shared" si="2582"/>
        <v>0.10366875567389876</v>
      </c>
      <c r="GH88" s="28">
        <f t="shared" ref="GH88:GI88" si="2583">(GH85-GH87)/GH87</f>
        <v>3.4493480897151027E-2</v>
      </c>
      <c r="GI88" s="28">
        <f t="shared" si="2583"/>
        <v>0.25144589009148827</v>
      </c>
      <c r="GJ88" s="28">
        <f t="shared" ref="GJ88:GK88" si="2584">(GJ85-GJ87)/GJ87</f>
        <v>0.25560229088726999</v>
      </c>
      <c r="GK88" s="28">
        <f t="shared" si="2584"/>
        <v>0.52986875605229788</v>
      </c>
      <c r="GL88" s="28">
        <f t="shared" ref="GL88:GN88" si="2585">(GL85-GL87)/GL87</f>
        <v>0.12372386524802487</v>
      </c>
      <c r="GM88" s="28">
        <f t="shared" ref="GM88" si="2586">(GM85-GM87)/GM87</f>
        <v>0.40909283818956566</v>
      </c>
      <c r="GN88" s="28">
        <f t="shared" si="2585"/>
        <v>2.2879709659007704E-2</v>
      </c>
      <c r="GO88" s="28">
        <f t="shared" ref="GO88:GP88" si="2587">(GO85-GO87)/GO87</f>
        <v>-0.17727938469091373</v>
      </c>
      <c r="GP88" s="28">
        <f t="shared" si="2587"/>
        <v>0.15382940869780221</v>
      </c>
      <c r="GQ88" s="28">
        <f t="shared" ref="GQ88:GR88" si="2588">(GQ85-GQ87)/GQ87</f>
        <v>0.4750289099543803</v>
      </c>
      <c r="GR88" s="109">
        <f t="shared" si="2588"/>
        <v>-0.32782886382377702</v>
      </c>
      <c r="GS88" s="159"/>
      <c r="GT88" s="1"/>
      <c r="GU88" s="1"/>
      <c r="GV88" s="1"/>
      <c r="GW88" s="58"/>
      <c r="GX88" s="58"/>
      <c r="GY88" s="58"/>
      <c r="GZ88" s="58"/>
      <c r="HA88" s="58"/>
    </row>
    <row r="89" spans="1:209" s="2" customFormat="1" ht="7.5" customHeight="1" x14ac:dyDescent="0.3">
      <c r="A89" s="8"/>
      <c r="B89" s="29"/>
      <c r="C89" s="30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32"/>
      <c r="FI89" s="32"/>
      <c r="FJ89" s="32"/>
      <c r="FK89" s="32"/>
      <c r="FL89" s="32"/>
      <c r="FM89" s="32"/>
      <c r="FN89" s="32"/>
      <c r="FO89" s="32"/>
      <c r="FP89" s="32"/>
      <c r="FQ89" s="32"/>
      <c r="FR89" s="32"/>
      <c r="FS89" s="32"/>
      <c r="FT89" s="32"/>
      <c r="FU89" s="32"/>
      <c r="FV89" s="32"/>
      <c r="FW89" s="32"/>
      <c r="FX89" s="32"/>
      <c r="FY89" s="32"/>
      <c r="FZ89" s="32"/>
      <c r="GA89" s="32"/>
      <c r="GB89" s="32"/>
      <c r="GC89" s="32"/>
      <c r="GD89" s="32"/>
      <c r="GE89" s="32"/>
      <c r="GF89" s="32"/>
      <c r="GG89" s="32"/>
      <c r="GH89" s="32"/>
      <c r="GI89" s="32"/>
      <c r="GJ89" s="32"/>
      <c r="GK89" s="32"/>
      <c r="GL89" s="32"/>
      <c r="GM89" s="32"/>
      <c r="GN89" s="32"/>
      <c r="GO89" s="32"/>
      <c r="GP89" s="32"/>
      <c r="GQ89" s="32"/>
      <c r="GR89" s="111"/>
      <c r="GS89" s="156"/>
      <c r="GT89" s="9"/>
      <c r="GU89" s="9"/>
      <c r="GV89" s="9"/>
    </row>
    <row r="90" spans="1:209" s="2" customFormat="1" ht="15" hidden="1" customHeight="1" x14ac:dyDescent="0.3">
      <c r="A90" s="170" t="s">
        <v>102</v>
      </c>
      <c r="B90" s="33" t="s">
        <v>102</v>
      </c>
      <c r="C90" s="17" t="s">
        <v>23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>
        <v>13074.09</v>
      </c>
      <c r="CM90" s="17">
        <v>14333.1</v>
      </c>
      <c r="CN90" s="17">
        <v>12574.13</v>
      </c>
      <c r="CO90" s="17">
        <v>11744.67</v>
      </c>
      <c r="CP90" s="17">
        <v>9835.43</v>
      </c>
      <c r="CQ90" s="17">
        <v>11269.88</v>
      </c>
      <c r="CR90" s="17">
        <v>13421.21</v>
      </c>
      <c r="CS90" s="17">
        <v>12873.18</v>
      </c>
      <c r="CT90" s="17">
        <v>15138.24</v>
      </c>
      <c r="CU90" s="17">
        <v>14813.51</v>
      </c>
      <c r="CV90" s="17">
        <v>12239.8</v>
      </c>
      <c r="CW90" s="17">
        <v>12172.88</v>
      </c>
      <c r="CX90" s="17">
        <v>15039.88</v>
      </c>
      <c r="CY90" s="17">
        <v>15740.7</v>
      </c>
      <c r="CZ90" s="17">
        <v>10694.56</v>
      </c>
      <c r="DA90" s="17">
        <v>14919.02</v>
      </c>
      <c r="DB90" s="17">
        <v>15032.16</v>
      </c>
      <c r="DC90" s="17">
        <v>17662.150000000001</v>
      </c>
      <c r="DD90" s="17">
        <v>19291.11</v>
      </c>
      <c r="DE90" s="17">
        <v>16695.635999999999</v>
      </c>
      <c r="DF90" s="17">
        <v>19283.43</v>
      </c>
      <c r="DG90" s="17">
        <v>16982.5</v>
      </c>
      <c r="DH90" s="17">
        <v>20013.39</v>
      </c>
      <c r="DI90" s="17">
        <v>10374.34</v>
      </c>
      <c r="DJ90" s="17">
        <v>13517.28</v>
      </c>
      <c r="DK90" s="17">
        <v>14785.44</v>
      </c>
      <c r="DL90" s="17">
        <v>10838.96</v>
      </c>
      <c r="DM90" s="17">
        <v>10957.88</v>
      </c>
      <c r="DN90" s="17">
        <v>10256.25</v>
      </c>
      <c r="DO90" s="17">
        <v>9424.4500000000007</v>
      </c>
      <c r="DP90" s="17">
        <f>12246.91+2540</f>
        <v>14786.91</v>
      </c>
      <c r="DQ90" s="17">
        <v>11567.5</v>
      </c>
      <c r="DR90" s="17">
        <v>12729.3</v>
      </c>
      <c r="DS90" s="17">
        <v>11896.7</v>
      </c>
      <c r="DT90" s="17">
        <v>11270.8</v>
      </c>
      <c r="DU90" s="17">
        <v>13738.26</v>
      </c>
      <c r="DV90" s="17">
        <v>16147.38</v>
      </c>
      <c r="DW90" s="17">
        <v>19768</v>
      </c>
      <c r="DX90" s="17">
        <v>21138</v>
      </c>
      <c r="DY90" s="17">
        <v>20303.900000000001</v>
      </c>
      <c r="DZ90" s="17">
        <v>11761.55</v>
      </c>
      <c r="EA90" s="17">
        <v>9104.7999999999993</v>
      </c>
      <c r="EB90" s="17">
        <v>9391.2999999999993</v>
      </c>
      <c r="EC90" s="17">
        <v>11526.45</v>
      </c>
      <c r="ED90" s="17">
        <v>11592.25</v>
      </c>
      <c r="EE90" s="17">
        <v>10701.35</v>
      </c>
      <c r="EF90" s="17">
        <v>13022</v>
      </c>
      <c r="EG90" s="17">
        <v>13494.55</v>
      </c>
      <c r="EH90" s="17">
        <v>12466.85</v>
      </c>
      <c r="EI90" s="17">
        <v>11288.7</v>
      </c>
      <c r="EJ90" s="17">
        <v>11269.9</v>
      </c>
      <c r="EK90" s="17">
        <v>11990.52</v>
      </c>
      <c r="EL90" s="17">
        <v>16303.7</v>
      </c>
      <c r="EM90" s="17">
        <v>17186.95</v>
      </c>
      <c r="EN90" s="17">
        <v>17846.689999999999</v>
      </c>
      <c r="EO90" s="17">
        <v>18547.3</v>
      </c>
      <c r="EP90" s="17">
        <v>17164.46</v>
      </c>
      <c r="EQ90" s="17">
        <v>26563.119999999999</v>
      </c>
      <c r="ER90" s="17">
        <v>16550.98</v>
      </c>
      <c r="ES90" s="17">
        <v>17704.86</v>
      </c>
      <c r="ET90" s="17">
        <v>22997.200000000001</v>
      </c>
      <c r="EU90" s="17">
        <v>19272.580000000002</v>
      </c>
      <c r="EV90" s="17">
        <v>16725.46</v>
      </c>
      <c r="EW90" s="17">
        <v>21287.13</v>
      </c>
      <c r="EX90" s="17">
        <v>24652.54</v>
      </c>
      <c r="EY90" s="17">
        <v>22422.6</v>
      </c>
      <c r="EZ90" s="17">
        <v>24189.15</v>
      </c>
      <c r="FA90" s="17">
        <v>26088.26</v>
      </c>
      <c r="FB90" s="17">
        <v>21277.02</v>
      </c>
      <c r="FC90" s="17">
        <v>21291.26</v>
      </c>
      <c r="FD90" s="17">
        <v>20930.560000000001</v>
      </c>
      <c r="FE90" s="17">
        <v>22333.1</v>
      </c>
      <c r="FF90" s="17">
        <v>23785.9</v>
      </c>
      <c r="FG90" s="17">
        <v>20445</v>
      </c>
      <c r="FH90" s="17">
        <v>19391.8</v>
      </c>
      <c r="FI90" s="17">
        <v>18445.86</v>
      </c>
      <c r="FJ90" s="17">
        <v>12635.98</v>
      </c>
      <c r="FK90" s="17">
        <v>15195.67</v>
      </c>
      <c r="FL90" s="17">
        <v>16201.4</v>
      </c>
      <c r="FM90" s="17">
        <v>13460.3</v>
      </c>
      <c r="FN90" s="17">
        <v>16503.939999999999</v>
      </c>
      <c r="FO90" s="17">
        <v>12561.14</v>
      </c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07"/>
      <c r="GS90" s="160">
        <f>EJ90</f>
        <v>11269.9</v>
      </c>
      <c r="GT90" s="84" t="s">
        <v>23</v>
      </c>
      <c r="GU90" s="84"/>
      <c r="GV90" s="84"/>
      <c r="GW90" s="58"/>
      <c r="GX90" s="58"/>
      <c r="GY90" s="58"/>
      <c r="GZ90" s="58"/>
      <c r="HA90" s="58"/>
    </row>
    <row r="91" spans="1:209" s="2" customFormat="1" ht="15" hidden="1" customHeight="1" x14ac:dyDescent="0.3">
      <c r="A91" s="171"/>
      <c r="B91" s="34"/>
      <c r="C91" s="17" t="s">
        <v>24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>
        <v>1343.5</v>
      </c>
      <c r="CM91" s="17">
        <v>2506</v>
      </c>
      <c r="CN91" s="17">
        <v>345</v>
      </c>
      <c r="CO91" s="17">
        <f>2113.75-1956.75</f>
        <v>157</v>
      </c>
      <c r="CP91" s="17">
        <v>173.5</v>
      </c>
      <c r="CQ91" s="17">
        <v>143</v>
      </c>
      <c r="CR91" s="17">
        <v>131.75</v>
      </c>
      <c r="CS91" s="17">
        <v>72</v>
      </c>
      <c r="CT91" s="17">
        <v>175.5</v>
      </c>
      <c r="CU91" s="17">
        <v>213</v>
      </c>
      <c r="CV91" s="17">
        <v>170.75</v>
      </c>
      <c r="CW91" s="17">
        <v>163.5</v>
      </c>
      <c r="CX91" s="17">
        <v>142.75</v>
      </c>
      <c r="CY91" s="17">
        <v>144</v>
      </c>
      <c r="CZ91" s="17">
        <v>158.5</v>
      </c>
      <c r="DA91" s="17">
        <f>3656.75-3452.75</f>
        <v>204</v>
      </c>
      <c r="DB91" s="17">
        <v>139.5</v>
      </c>
      <c r="DC91" s="17">
        <v>203</v>
      </c>
      <c r="DD91" s="17">
        <v>116</v>
      </c>
      <c r="DE91" s="17">
        <v>115.5</v>
      </c>
      <c r="DF91" s="17">
        <v>128</v>
      </c>
      <c r="DG91" s="17">
        <v>167</v>
      </c>
      <c r="DH91" s="17">
        <v>132.5</v>
      </c>
      <c r="DI91" s="17">
        <v>72</v>
      </c>
      <c r="DJ91" s="17">
        <v>114</v>
      </c>
      <c r="DK91" s="17">
        <v>117</v>
      </c>
      <c r="DL91" s="17">
        <v>82</v>
      </c>
      <c r="DM91" s="17">
        <v>120</v>
      </c>
      <c r="DN91" s="17">
        <v>115.5</v>
      </c>
      <c r="DO91" s="17">
        <v>57</v>
      </c>
      <c r="DP91" s="17">
        <v>331</v>
      </c>
      <c r="DQ91" s="17">
        <v>223.1</v>
      </c>
      <c r="DR91" s="17">
        <v>268.10000000000002</v>
      </c>
      <c r="DS91" s="17">
        <v>197.2</v>
      </c>
      <c r="DT91" s="17">
        <v>206.2</v>
      </c>
      <c r="DU91" s="17">
        <f>115.5+187.2</f>
        <v>302.7</v>
      </c>
      <c r="DV91" s="17">
        <v>272.5</v>
      </c>
      <c r="DW91" s="17">
        <f>118.5+182.8</f>
        <v>301.3</v>
      </c>
      <c r="DX91" s="17">
        <f>340.5+154.4</f>
        <v>494.9</v>
      </c>
      <c r="DY91" s="17">
        <f>321+218.4</f>
        <v>539.4</v>
      </c>
      <c r="DZ91" s="17">
        <f>175.5+132.8</f>
        <v>308.3</v>
      </c>
      <c r="EA91" s="17">
        <v>252.5</v>
      </c>
      <c r="EB91" s="17">
        <f>93+126.4</f>
        <v>219.4</v>
      </c>
      <c r="EC91" s="17">
        <f>141+198.4</f>
        <v>339.4</v>
      </c>
      <c r="ED91" s="17">
        <f>229+174.8</f>
        <v>403.8</v>
      </c>
      <c r="EE91" s="17">
        <f>116+131</f>
        <v>247</v>
      </c>
      <c r="EF91" s="17">
        <f>93+194.4</f>
        <v>287.39999999999998</v>
      </c>
      <c r="EG91" s="17">
        <v>217.3</v>
      </c>
      <c r="EH91" s="17">
        <v>315</v>
      </c>
      <c r="EI91" s="17">
        <f>168+114</f>
        <v>282</v>
      </c>
      <c r="EJ91" s="17">
        <f>103.5+193.6</f>
        <v>297.10000000000002</v>
      </c>
      <c r="EK91" s="17">
        <f>147.5+190.4</f>
        <v>337.9</v>
      </c>
      <c r="EL91" s="17">
        <f>115.5+130.8</f>
        <v>246.3</v>
      </c>
      <c r="EM91" s="17">
        <f>248+157.2</f>
        <v>405.2</v>
      </c>
      <c r="EN91" s="17">
        <v>389.05</v>
      </c>
      <c r="EO91" s="17">
        <v>382.2</v>
      </c>
      <c r="EP91" s="17">
        <f>133.5+126.4</f>
        <v>259.89999999999998</v>
      </c>
      <c r="EQ91" s="17">
        <f>266.5+169.6</f>
        <v>436.1</v>
      </c>
      <c r="ER91" s="17">
        <v>337.3</v>
      </c>
      <c r="ES91" s="17">
        <f>156+213.6</f>
        <v>369.6</v>
      </c>
      <c r="ET91" s="17">
        <f>208.5+126.4</f>
        <v>334.9</v>
      </c>
      <c r="EU91" s="17">
        <f>156+171.2</f>
        <v>327.2</v>
      </c>
      <c r="EV91" s="17">
        <f>180.5+151.2</f>
        <v>331.7</v>
      </c>
      <c r="EW91" s="17">
        <f>166.5+162.4</f>
        <v>328.9</v>
      </c>
      <c r="EX91" s="17">
        <v>259.2</v>
      </c>
      <c r="EY91" s="17">
        <f>156.75+133.6</f>
        <v>290.35000000000002</v>
      </c>
      <c r="EZ91" s="17">
        <v>169.5</v>
      </c>
      <c r="FA91" s="17">
        <f>102.4+181.5</f>
        <v>283.89999999999998</v>
      </c>
      <c r="FB91" s="17">
        <f>172.5+164.8</f>
        <v>337.3</v>
      </c>
      <c r="FC91" s="17">
        <f>196.5+202.4</f>
        <v>398.9</v>
      </c>
      <c r="FD91" s="17">
        <f>183+202.4</f>
        <v>385.4</v>
      </c>
      <c r="FE91" s="17">
        <f>180+182.8</f>
        <v>362.8</v>
      </c>
      <c r="FF91" s="17">
        <f>181.5+117.2</f>
        <v>298.7</v>
      </c>
      <c r="FG91" s="17">
        <f>151.5+137.6</f>
        <v>289.10000000000002</v>
      </c>
      <c r="FH91" s="17">
        <v>312.39999999999998</v>
      </c>
      <c r="FI91" s="17">
        <f>109.5+211.2</f>
        <v>320.7</v>
      </c>
      <c r="FJ91" s="17">
        <v>255.2</v>
      </c>
      <c r="FK91" s="17">
        <v>267</v>
      </c>
      <c r="FL91" s="17">
        <f>156+231.6</f>
        <v>387.6</v>
      </c>
      <c r="FM91" s="17">
        <f>118.5+176.8</f>
        <v>295.3</v>
      </c>
      <c r="FN91" s="17">
        <f>189+200.8</f>
        <v>389.8</v>
      </c>
      <c r="FO91" s="17">
        <f>102+90.2</f>
        <v>192.2</v>
      </c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07"/>
      <c r="GS91" s="160">
        <f>EJ91</f>
        <v>297.10000000000002</v>
      </c>
      <c r="GT91" s="5" t="s">
        <v>24</v>
      </c>
      <c r="GU91" s="5"/>
      <c r="GV91" s="5"/>
      <c r="GW91" s="55"/>
      <c r="GX91" s="55"/>
      <c r="GY91" s="55"/>
      <c r="GZ91" s="55"/>
      <c r="HA91" s="55"/>
    </row>
    <row r="92" spans="1:209" s="2" customFormat="1" ht="15" customHeight="1" x14ac:dyDescent="0.3">
      <c r="A92" s="171"/>
      <c r="B92" s="19" t="s">
        <v>21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>
        <f t="shared" ref="CL92:DQ92" si="2589">+CL90+CL91</f>
        <v>14417.59</v>
      </c>
      <c r="CM92" s="20">
        <f t="shared" si="2589"/>
        <v>16839.099999999999</v>
      </c>
      <c r="CN92" s="20">
        <f t="shared" si="2589"/>
        <v>12919.13</v>
      </c>
      <c r="CO92" s="20">
        <f t="shared" si="2589"/>
        <v>11901.67</v>
      </c>
      <c r="CP92" s="20">
        <f t="shared" si="2589"/>
        <v>10008.93</v>
      </c>
      <c r="CQ92" s="20">
        <f t="shared" si="2589"/>
        <v>11412.88</v>
      </c>
      <c r="CR92" s="20">
        <f t="shared" si="2589"/>
        <v>13552.96</v>
      </c>
      <c r="CS92" s="20">
        <f t="shared" si="2589"/>
        <v>12945.18</v>
      </c>
      <c r="CT92" s="20">
        <f t="shared" si="2589"/>
        <v>15313.74</v>
      </c>
      <c r="CU92" s="20">
        <f t="shared" si="2589"/>
        <v>15026.51</v>
      </c>
      <c r="CV92" s="20">
        <f t="shared" si="2589"/>
        <v>12410.55</v>
      </c>
      <c r="CW92" s="20">
        <f t="shared" si="2589"/>
        <v>12336.38</v>
      </c>
      <c r="CX92" s="20">
        <f t="shared" si="2589"/>
        <v>15182.63</v>
      </c>
      <c r="CY92" s="20">
        <f t="shared" si="2589"/>
        <v>15884.7</v>
      </c>
      <c r="CZ92" s="20">
        <f t="shared" si="2589"/>
        <v>10853.06</v>
      </c>
      <c r="DA92" s="20">
        <f t="shared" si="2589"/>
        <v>15123.02</v>
      </c>
      <c r="DB92" s="20">
        <f t="shared" si="2589"/>
        <v>15171.66</v>
      </c>
      <c r="DC92" s="20">
        <f t="shared" si="2589"/>
        <v>17865.150000000001</v>
      </c>
      <c r="DD92" s="20">
        <f t="shared" si="2589"/>
        <v>19407.11</v>
      </c>
      <c r="DE92" s="20">
        <f t="shared" si="2589"/>
        <v>16811.135999999999</v>
      </c>
      <c r="DF92" s="20">
        <f t="shared" si="2589"/>
        <v>19411.43</v>
      </c>
      <c r="DG92" s="20">
        <f t="shared" si="2589"/>
        <v>17149.5</v>
      </c>
      <c r="DH92" s="20">
        <f t="shared" si="2589"/>
        <v>20145.89</v>
      </c>
      <c r="DI92" s="20">
        <f t="shared" si="2589"/>
        <v>10446.34</v>
      </c>
      <c r="DJ92" s="20">
        <f t="shared" si="2589"/>
        <v>13631.28</v>
      </c>
      <c r="DK92" s="20">
        <f t="shared" si="2589"/>
        <v>14902.44</v>
      </c>
      <c r="DL92" s="20">
        <f t="shared" si="2589"/>
        <v>10920.96</v>
      </c>
      <c r="DM92" s="20">
        <f t="shared" si="2589"/>
        <v>11077.88</v>
      </c>
      <c r="DN92" s="20">
        <f t="shared" si="2589"/>
        <v>10371.75</v>
      </c>
      <c r="DO92" s="20">
        <f t="shared" si="2589"/>
        <v>9481.4500000000007</v>
      </c>
      <c r="DP92" s="20">
        <f t="shared" si="2589"/>
        <v>15117.91</v>
      </c>
      <c r="DQ92" s="20">
        <f t="shared" si="2589"/>
        <v>11790.6</v>
      </c>
      <c r="DR92" s="20">
        <f t="shared" ref="DR92:EW92" si="2590">+DR90+DR91</f>
        <v>12997.4</v>
      </c>
      <c r="DS92" s="20">
        <f t="shared" si="2590"/>
        <v>12093.900000000001</v>
      </c>
      <c r="DT92" s="20">
        <f t="shared" si="2590"/>
        <v>11477</v>
      </c>
      <c r="DU92" s="20">
        <f t="shared" si="2590"/>
        <v>14040.960000000001</v>
      </c>
      <c r="DV92" s="20">
        <f t="shared" si="2590"/>
        <v>16419.879999999997</v>
      </c>
      <c r="DW92" s="20">
        <f t="shared" si="2590"/>
        <v>20069.3</v>
      </c>
      <c r="DX92" s="20">
        <f t="shared" si="2590"/>
        <v>21632.9</v>
      </c>
      <c r="DY92" s="20">
        <f t="shared" si="2590"/>
        <v>20843.300000000003</v>
      </c>
      <c r="DZ92" s="20">
        <f t="shared" si="2590"/>
        <v>12069.849999999999</v>
      </c>
      <c r="EA92" s="20">
        <f t="shared" si="2590"/>
        <v>9357.2999999999993</v>
      </c>
      <c r="EB92" s="20">
        <f t="shared" si="2590"/>
        <v>9610.6999999999989</v>
      </c>
      <c r="EC92" s="20">
        <f t="shared" si="2590"/>
        <v>11865.85</v>
      </c>
      <c r="ED92" s="20">
        <f t="shared" si="2590"/>
        <v>11996.05</v>
      </c>
      <c r="EE92" s="20">
        <f t="shared" si="2590"/>
        <v>10948.35</v>
      </c>
      <c r="EF92" s="20">
        <f t="shared" si="2590"/>
        <v>13309.4</v>
      </c>
      <c r="EG92" s="20">
        <f t="shared" si="2590"/>
        <v>13711.849999999999</v>
      </c>
      <c r="EH92" s="20">
        <f t="shared" si="2590"/>
        <v>12781.85</v>
      </c>
      <c r="EI92" s="20">
        <f t="shared" si="2590"/>
        <v>11570.7</v>
      </c>
      <c r="EJ92" s="20">
        <f t="shared" si="2590"/>
        <v>11567</v>
      </c>
      <c r="EK92" s="20">
        <f t="shared" si="2590"/>
        <v>12328.42</v>
      </c>
      <c r="EL92" s="20">
        <f t="shared" si="2590"/>
        <v>16550</v>
      </c>
      <c r="EM92" s="20">
        <f t="shared" si="2590"/>
        <v>17592.150000000001</v>
      </c>
      <c r="EN92" s="20">
        <f t="shared" si="2590"/>
        <v>18235.739999999998</v>
      </c>
      <c r="EO92" s="20">
        <f t="shared" si="2590"/>
        <v>18929.5</v>
      </c>
      <c r="EP92" s="20">
        <f t="shared" si="2590"/>
        <v>17424.36</v>
      </c>
      <c r="EQ92" s="20">
        <f t="shared" si="2590"/>
        <v>26999.219999999998</v>
      </c>
      <c r="ER92" s="20">
        <f t="shared" si="2590"/>
        <v>16888.28</v>
      </c>
      <c r="ES92" s="20">
        <f t="shared" si="2590"/>
        <v>18074.46</v>
      </c>
      <c r="ET92" s="20">
        <f t="shared" si="2590"/>
        <v>23332.100000000002</v>
      </c>
      <c r="EU92" s="20">
        <f t="shared" si="2590"/>
        <v>19599.780000000002</v>
      </c>
      <c r="EV92" s="20">
        <f t="shared" si="2590"/>
        <v>17057.16</v>
      </c>
      <c r="EW92" s="20">
        <f t="shared" si="2590"/>
        <v>21616.030000000002</v>
      </c>
      <c r="EX92" s="20">
        <f t="shared" ref="EX92:FH92" si="2591">+EX90+EX91</f>
        <v>24911.74</v>
      </c>
      <c r="EY92" s="20">
        <f t="shared" si="2591"/>
        <v>22712.949999999997</v>
      </c>
      <c r="EZ92" s="20">
        <f t="shared" si="2591"/>
        <v>24358.65</v>
      </c>
      <c r="FA92" s="20">
        <f t="shared" si="2591"/>
        <v>26372.16</v>
      </c>
      <c r="FB92" s="20">
        <f t="shared" si="2591"/>
        <v>21614.32</v>
      </c>
      <c r="FC92" s="20">
        <f t="shared" si="2591"/>
        <v>21690.16</v>
      </c>
      <c r="FD92" s="20">
        <f t="shared" si="2591"/>
        <v>21315.960000000003</v>
      </c>
      <c r="FE92" s="20">
        <f t="shared" si="2591"/>
        <v>22695.899999999998</v>
      </c>
      <c r="FF92" s="20">
        <f t="shared" si="2591"/>
        <v>24084.600000000002</v>
      </c>
      <c r="FG92" s="20">
        <f t="shared" si="2591"/>
        <v>20734.099999999999</v>
      </c>
      <c r="FH92" s="20">
        <f t="shared" si="2591"/>
        <v>19704.2</v>
      </c>
      <c r="FI92" s="20">
        <f t="shared" ref="FI92:FJ92" si="2592">+FI90+FI91</f>
        <v>18766.560000000001</v>
      </c>
      <c r="FJ92" s="20">
        <f t="shared" si="2592"/>
        <v>12891.18</v>
      </c>
      <c r="FK92" s="20">
        <f t="shared" ref="FK92:FL92" si="2593">+FK90+FK91</f>
        <v>15462.67</v>
      </c>
      <c r="FL92" s="20">
        <f t="shared" si="2593"/>
        <v>16589</v>
      </c>
      <c r="FM92" s="20">
        <f t="shared" ref="FM92:FN92" si="2594">+FM90+FM91</f>
        <v>13755.599999999999</v>
      </c>
      <c r="FN92" s="20">
        <f t="shared" si="2594"/>
        <v>16893.739999999998</v>
      </c>
      <c r="FO92" s="20">
        <f t="shared" ref="FO92" si="2595">+FO90+FO91</f>
        <v>12753.34</v>
      </c>
      <c r="FP92" s="20">
        <f>8925.2+137.1</f>
        <v>9062.3000000000011</v>
      </c>
      <c r="FQ92" s="20">
        <f>13025.7+206.8</f>
        <v>13232.5</v>
      </c>
      <c r="FR92" s="20">
        <f>14726.58+242.8</f>
        <v>14969.38</v>
      </c>
      <c r="FS92" s="20">
        <f>13812.06+240.4</f>
        <v>14052.46</v>
      </c>
      <c r="FT92" s="20">
        <f>14855.2+280.3</f>
        <v>15135.5</v>
      </c>
      <c r="FU92" s="20">
        <f>17255.1+325.8</f>
        <v>17580.899999999998</v>
      </c>
      <c r="FV92" s="20">
        <f>19155.2+274.8</f>
        <v>19430</v>
      </c>
      <c r="FW92" s="20">
        <f>24353.94+290.3</f>
        <v>24644.239999999998</v>
      </c>
      <c r="FX92" s="20">
        <f>24764.2+149</f>
        <v>24913.200000000001</v>
      </c>
      <c r="FY92" s="20">
        <f>25392.2+497+120</f>
        <v>26009.200000000001</v>
      </c>
      <c r="FZ92" s="20">
        <f>17988.4+402.2+440</f>
        <v>18830.600000000002</v>
      </c>
      <c r="GA92" s="20">
        <f>10103+199</f>
        <v>10302</v>
      </c>
      <c r="GB92" s="20">
        <f>10602.1+186.3</f>
        <v>10788.4</v>
      </c>
      <c r="GC92" s="20">
        <f>12396.2+201</f>
        <v>12597.2</v>
      </c>
      <c r="GD92" s="20">
        <f>13608.9+245.9</f>
        <v>13854.8</v>
      </c>
      <c r="GE92" s="20">
        <f>10654.3+132.2</f>
        <v>10786.5</v>
      </c>
      <c r="GF92" s="20">
        <f>13842.1+195.7</f>
        <v>14037.800000000001</v>
      </c>
      <c r="GG92" s="20">
        <f>14332.5+330.1</f>
        <v>14662.6</v>
      </c>
      <c r="GH92" s="20">
        <f>14737.5+196.7</f>
        <v>14934.2</v>
      </c>
      <c r="GI92" s="20">
        <f>14628.2+132.2</f>
        <v>14760.400000000001</v>
      </c>
      <c r="GJ92" s="20">
        <f>12166.8+128.6</f>
        <v>12295.4</v>
      </c>
      <c r="GK92" s="20">
        <f>18890.78+214.4</f>
        <v>19105.18</v>
      </c>
      <c r="GL92" s="20">
        <f>15152.8+191.7</f>
        <v>15344.5</v>
      </c>
      <c r="GM92" s="20">
        <v>23812.799999999999</v>
      </c>
      <c r="GN92" s="20">
        <f>20095.4+224.9</f>
        <v>20320.300000000003</v>
      </c>
      <c r="GO92" s="20">
        <f>17990.8+798</f>
        <v>18788.8</v>
      </c>
      <c r="GP92" s="20">
        <f>29178.6+236.3</f>
        <v>29414.899999999998</v>
      </c>
      <c r="GQ92" s="20">
        <f>141+27473.49</f>
        <v>27614.49</v>
      </c>
      <c r="GR92" s="108">
        <f>19360.8+260.4</f>
        <v>19621.2</v>
      </c>
      <c r="GS92" s="154">
        <f>EQ92</f>
        <v>26999.219999999998</v>
      </c>
      <c r="GT92" s="10" t="str">
        <f>B90</f>
        <v>MARKET TAVERN</v>
      </c>
      <c r="GU92" s="92" t="s">
        <v>369</v>
      </c>
      <c r="GV92" s="93"/>
      <c r="GW92" s="56">
        <f>AVERAGE(ES92:GR92)</f>
        <v>18420.925192307695</v>
      </c>
      <c r="GX92" s="56">
        <f>AVERAGE(FS92:GR92)</f>
        <v>17832.21423076923</v>
      </c>
      <c r="GY92" s="56">
        <f>AVERAGE(GF92:GR92)</f>
        <v>18824.043846153847</v>
      </c>
      <c r="GZ92" s="56">
        <f>AVERAGE(GN92:GR92)</f>
        <v>23151.938000000002</v>
      </c>
      <c r="HA92" s="56">
        <f>MAX(D92:GR92)</f>
        <v>29414.899999999998</v>
      </c>
    </row>
    <row r="93" spans="1:209" s="2" customFormat="1" ht="15" customHeight="1" x14ac:dyDescent="0.3">
      <c r="A93" s="171"/>
      <c r="B93" s="35" t="s">
        <v>365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106" t="e">
        <f t="shared" ref="CL93" si="2596">SUM(CL92-CK92)/CK92</f>
        <v>#DIV/0!</v>
      </c>
      <c r="CM93" s="106">
        <f t="shared" ref="CM93" si="2597">SUM(CM92-CL92)/CL92</f>
        <v>0.16795525465767847</v>
      </c>
      <c r="CN93" s="106">
        <f t="shared" ref="CN93" si="2598">SUM(CN92-CM92)/CM92</f>
        <v>-0.23278975717229541</v>
      </c>
      <c r="CO93" s="106">
        <f t="shared" ref="CO93" si="2599">SUM(CO92-CN92)/CN92</f>
        <v>-7.8756077228110496E-2</v>
      </c>
      <c r="CP93" s="106">
        <f t="shared" ref="CP93" si="2600">SUM(CP92-CO92)/CO92</f>
        <v>-0.15903146365173962</v>
      </c>
      <c r="CQ93" s="106">
        <f t="shared" ref="CQ93" si="2601">SUM(CQ92-CP92)/CP92</f>
        <v>0.14026973912296309</v>
      </c>
      <c r="CR93" s="106">
        <f t="shared" ref="CR93" si="2602">SUM(CR92-CQ92)/CQ92</f>
        <v>0.18751445734994149</v>
      </c>
      <c r="CS93" s="106">
        <f t="shared" ref="CS93" si="2603">SUM(CS92-CR92)/CR92</f>
        <v>-4.484481618775521E-2</v>
      </c>
      <c r="CT93" s="106">
        <f t="shared" ref="CT93" si="2604">SUM(CT92-CS92)/CS92</f>
        <v>0.18296848711257777</v>
      </c>
      <c r="CU93" s="106">
        <f t="shared" ref="CU93" si="2605">SUM(CU92-CT92)/CT92</f>
        <v>-1.8756358668751041E-2</v>
      </c>
      <c r="CV93" s="106">
        <f t="shared" ref="CV93" si="2606">SUM(CV92-CU92)/CU92</f>
        <v>-0.17408965887621283</v>
      </c>
      <c r="CW93" s="106">
        <f t="shared" ref="CW93" si="2607">SUM(CW92-CV92)/CV92</f>
        <v>-5.9763668814033282E-3</v>
      </c>
      <c r="CX93" s="106">
        <f t="shared" ref="CX93" si="2608">SUM(CX92-CW92)/CW92</f>
        <v>0.2307200329432135</v>
      </c>
      <c r="CY93" s="106">
        <f t="shared" ref="CY93" si="2609">SUM(CY92-CX92)/CX92</f>
        <v>4.6241659053800399E-2</v>
      </c>
      <c r="CZ93" s="106">
        <f t="shared" ref="CZ93" si="2610">SUM(CZ92-CY92)/CY92</f>
        <v>-0.31676015285148607</v>
      </c>
      <c r="DA93" s="106">
        <f t="shared" ref="DA93" si="2611">SUM(DA92-CZ92)/CZ92</f>
        <v>0.39343374126743991</v>
      </c>
      <c r="DB93" s="106">
        <f t="shared" ref="DB93" si="2612">SUM(DB92-DA92)/DA92</f>
        <v>3.2162888100392261E-3</v>
      </c>
      <c r="DC93" s="106">
        <f t="shared" ref="DC93" si="2613">SUM(DC92-DB92)/DB92</f>
        <v>0.17753429749941679</v>
      </c>
      <c r="DD93" s="106">
        <f t="shared" ref="DD93" si="2614">SUM(DD92-DC92)/DC92</f>
        <v>8.6311058121538248E-2</v>
      </c>
      <c r="DE93" s="106">
        <f t="shared" ref="DE93" si="2615">SUM(DE92-DD92)/DD92</f>
        <v>-0.13376406894174361</v>
      </c>
      <c r="DF93" s="106">
        <f t="shared" ref="DF93" si="2616">SUM(DF92-DE92)/DE92</f>
        <v>0.15467687608975395</v>
      </c>
      <c r="DG93" s="106">
        <f t="shared" ref="DG93" si="2617">SUM(DG92-DF92)/DF92</f>
        <v>-0.11652567585180486</v>
      </c>
      <c r="DH93" s="106">
        <f t="shared" ref="DH93" si="2618">SUM(DH92-DG92)/DG92</f>
        <v>0.17472171200326536</v>
      </c>
      <c r="DI93" s="106">
        <f t="shared" ref="DI93" si="2619">SUM(DI92-DH92)/DH92</f>
        <v>-0.48146545027298371</v>
      </c>
      <c r="DJ93" s="106">
        <f t="shared" ref="DJ93" si="2620">SUM(DJ92-DI92)/DI92</f>
        <v>0.30488573031320065</v>
      </c>
      <c r="DK93" s="106">
        <f t="shared" ref="DK93" si="2621">SUM(DK92-DJ92)/DJ92</f>
        <v>9.3253164779829908E-2</v>
      </c>
      <c r="DL93" s="106">
        <f t="shared" ref="DL93" si="2622">SUM(DL92-DK92)/DK92</f>
        <v>-0.26716967154372046</v>
      </c>
      <c r="DM93" s="106">
        <f t="shared" ref="DM93" si="2623">SUM(DM92-DL92)/DL92</f>
        <v>1.436870018752931E-2</v>
      </c>
      <c r="DN93" s="106">
        <f t="shared" ref="DN93" si="2624">SUM(DN92-DM92)/DM92</f>
        <v>-6.3742340592243207E-2</v>
      </c>
      <c r="DO93" s="106">
        <f t="shared" ref="DO93" si="2625">SUM(DO92-DN92)/DN92</f>
        <v>-8.5838937498493431E-2</v>
      </c>
      <c r="DP93" s="106">
        <f t="shared" ref="DP93" si="2626">SUM(DP92-DO92)/DO92</f>
        <v>0.59447236445902252</v>
      </c>
      <c r="DQ93" s="106">
        <f t="shared" ref="DQ93" si="2627">SUM(DQ92-DP92)/DP92</f>
        <v>-0.22009060776258091</v>
      </c>
      <c r="DR93" s="106">
        <f t="shared" ref="DR93" si="2628">SUM(DR92-DQ92)/DQ92</f>
        <v>0.1023527216596271</v>
      </c>
      <c r="DS93" s="106">
        <f t="shared" ref="DS93" si="2629">SUM(DS92-DR92)/DR92</f>
        <v>-6.9513902780555969E-2</v>
      </c>
      <c r="DT93" s="106">
        <f t="shared" ref="DT93" si="2630">SUM(DT92-DS92)/DS92</f>
        <v>-5.1009186449367153E-2</v>
      </c>
      <c r="DU93" s="106">
        <f t="shared" ref="DU93" si="2631">SUM(DU92-DT92)/DT92</f>
        <v>0.22339984316459013</v>
      </c>
      <c r="DV93" s="106">
        <f t="shared" ref="DV93" si="2632">SUM(DV92-DU92)/DU92</f>
        <v>0.16942716167555469</v>
      </c>
      <c r="DW93" s="106">
        <f t="shared" ref="DW93" si="2633">SUM(DW92-DV92)/DV92</f>
        <v>0.2222561918844719</v>
      </c>
      <c r="DX93" s="106">
        <f t="shared" ref="DX93" si="2634">SUM(DX92-DW92)/DW92</f>
        <v>7.7910041705490582E-2</v>
      </c>
      <c r="DY93" s="106">
        <f t="shared" ref="DY93" si="2635">SUM(DY92-DX92)/DX92</f>
        <v>-3.6499960707995625E-2</v>
      </c>
      <c r="DZ93" s="106">
        <f t="shared" ref="DZ93" si="2636">SUM(DZ92-DY92)/DY92</f>
        <v>-0.42092422984844063</v>
      </c>
      <c r="EA93" s="106">
        <f t="shared" ref="EA93" si="2637">SUM(EA92-DZ92)/DZ92</f>
        <v>-0.22473767279626505</v>
      </c>
      <c r="EB93" s="106">
        <f t="shared" ref="EB93" si="2638">SUM(EB92-EA92)/EA92</f>
        <v>2.7080461244162274E-2</v>
      </c>
      <c r="EC93" s="106">
        <f t="shared" ref="EC93" si="2639">SUM(EC92-EB92)/EB92</f>
        <v>0.23464992144172658</v>
      </c>
      <c r="ED93" s="106">
        <f t="shared" ref="ED93" si="2640">SUM(ED92-EC92)/EC92</f>
        <v>1.0972665253647982E-2</v>
      </c>
      <c r="EE93" s="106">
        <f t="shared" ref="EE93" si="2641">SUM(EE92-ED92)/ED92</f>
        <v>-8.7337081789422261E-2</v>
      </c>
      <c r="EF93" s="106">
        <f t="shared" ref="EF93" si="2642">SUM(EF92-EE92)/EE92</f>
        <v>0.21565350029913177</v>
      </c>
      <c r="EG93" s="106">
        <f t="shared" ref="EG93" si="2643">SUM(EG92-EF92)/EF92</f>
        <v>3.0238027258929698E-2</v>
      </c>
      <c r="EH93" s="106">
        <f t="shared" ref="EH93" si="2644">SUM(EH92-EG92)/EG92</f>
        <v>-6.7824545921957885E-2</v>
      </c>
      <c r="EI93" s="106">
        <f t="shared" ref="EI93" si="2645">SUM(EI92-EH92)/EH92</f>
        <v>-9.4755454022696209E-2</v>
      </c>
      <c r="EJ93" s="106">
        <f t="shared" ref="EJ93" si="2646">SUM(EJ92-EI92)/EI92</f>
        <v>-3.1977322028924158E-4</v>
      </c>
      <c r="EK93" s="106">
        <f t="shared" ref="EK93" si="2647">SUM(EK92-EJ92)/EJ92</f>
        <v>6.5826921414368467E-2</v>
      </c>
      <c r="EL93" s="106">
        <f t="shared" ref="EL93" si="2648">SUM(EL92-EK92)/EK92</f>
        <v>0.34242668565801621</v>
      </c>
      <c r="EM93" s="106">
        <f t="shared" ref="EM93" si="2649">SUM(EM92-EL92)/EL92</f>
        <v>6.2969788519637554E-2</v>
      </c>
      <c r="EN93" s="106">
        <f t="shared" ref="EN93" si="2650">SUM(EN92-EM92)/EM92</f>
        <v>3.6583930900998256E-2</v>
      </c>
      <c r="EO93" s="106">
        <f t="shared" ref="EO93" si="2651">SUM(EO92-EN92)/EN92</f>
        <v>3.804397298930573E-2</v>
      </c>
      <c r="EP93" s="106">
        <f t="shared" ref="EP93" si="2652">SUM(EP92-EO92)/EO92</f>
        <v>-7.9512929554399189E-2</v>
      </c>
      <c r="EQ93" s="106">
        <f t="shared" ref="EQ93" si="2653">SUM(EQ92-EP92)/EP92</f>
        <v>0.54950999634993747</v>
      </c>
      <c r="ER93" s="106">
        <f t="shared" ref="ER93" si="2654">SUM(ER92-EQ92)/EQ92</f>
        <v>-0.37449007786150856</v>
      </c>
      <c r="ES93" s="106">
        <f t="shared" ref="ES93" si="2655">SUM(ES92-ER92)/ER92</f>
        <v>7.0236874329416638E-2</v>
      </c>
      <c r="ET93" s="106">
        <f t="shared" ref="ET93" si="2656">SUM(ET92-ES92)/ES92</f>
        <v>0.29088780522350338</v>
      </c>
      <c r="EU93" s="106">
        <f t="shared" ref="EU93" si="2657">SUM(EU92-ET92)/ET92</f>
        <v>-0.15996502672284105</v>
      </c>
      <c r="EV93" s="106">
        <f t="shared" ref="EV93" si="2658">SUM(EV92-EU92)/EU92</f>
        <v>-0.1297269663230915</v>
      </c>
      <c r="EW93" s="106">
        <f t="shared" ref="EW93" si="2659">SUM(EW92-EV92)/EV92</f>
        <v>0.26727016689765487</v>
      </c>
      <c r="EX93" s="106">
        <f t="shared" ref="EX93" si="2660">SUM(EX92-EW92)/EW92</f>
        <v>0.15246601711785182</v>
      </c>
      <c r="EY93" s="106">
        <f t="shared" ref="EY93" si="2661">SUM(EY92-EX92)/EX92</f>
        <v>-8.8263204416873506E-2</v>
      </c>
      <c r="EZ93" s="106">
        <f t="shared" ref="EZ93" si="2662">SUM(EZ92-EY92)/EY92</f>
        <v>7.2456462062391924E-2</v>
      </c>
      <c r="FA93" s="106">
        <f t="shared" ref="FA93" si="2663">SUM(FA92-EZ92)/EZ92</f>
        <v>8.2660984906798948E-2</v>
      </c>
      <c r="FB93" s="106">
        <f t="shared" ref="FB93" si="2664">SUM(FB92-FA92)/FA92</f>
        <v>-0.18041146421074344</v>
      </c>
      <c r="FC93" s="106">
        <f t="shared" ref="FC93" si="2665">SUM(FC92-FB92)/FB92</f>
        <v>3.5087849166663648E-3</v>
      </c>
      <c r="FD93" s="106">
        <f t="shared" ref="FD93" si="2666">SUM(FD92-FC92)/FC92</f>
        <v>-1.7252062686489961E-2</v>
      </c>
      <c r="FE93" s="106">
        <f t="shared" ref="FE93" si="2667">SUM(FE92-FD92)/FD92</f>
        <v>6.4737408026661475E-2</v>
      </c>
      <c r="FF93" s="106">
        <f t="shared" ref="FF93" si="2668">SUM(FF92-FE92)/FE92</f>
        <v>6.1187262897704188E-2</v>
      </c>
      <c r="FG93" s="106">
        <f t="shared" ref="FG93" si="2669">SUM(FG92-FF92)/FF92</f>
        <v>-0.13911379055496056</v>
      </c>
      <c r="FH93" s="106">
        <f t="shared" ref="FH93" si="2670">SUM(FH92-FG92)/FG92</f>
        <v>-4.9671796702051109E-2</v>
      </c>
      <c r="FI93" s="106">
        <f t="shared" ref="FI93" si="2671">SUM(FI92-FH92)/FH92</f>
        <v>-4.7585793891657582E-2</v>
      </c>
      <c r="FJ93" s="106">
        <f t="shared" ref="FJ93" si="2672">SUM(FJ92-FI92)/FI92</f>
        <v>-0.31307709031383485</v>
      </c>
      <c r="FK93" s="106">
        <f t="shared" ref="FK93" si="2673">SUM(FK92-FJ92)/FJ92</f>
        <v>0.19947669646998953</v>
      </c>
      <c r="FL93" s="106">
        <f t="shared" ref="FL93" si="2674">SUM(FL92-FK92)/FK92</f>
        <v>7.2841883064179727E-2</v>
      </c>
      <c r="FM93" s="106">
        <f t="shared" ref="FM93:GK93" si="2675">SUM(FM92-FL92)/FL92</f>
        <v>-0.17079992766290925</v>
      </c>
      <c r="FN93" s="106">
        <f t="shared" si="2675"/>
        <v>0.22813545028933668</v>
      </c>
      <c r="FO93" s="106">
        <f t="shared" si="2675"/>
        <v>-0.24508486575500738</v>
      </c>
      <c r="FP93" s="106">
        <f t="shared" si="2675"/>
        <v>-0.2894175172935089</v>
      </c>
      <c r="FQ93" s="106">
        <f t="shared" ref="FQ93" si="2676">SUM(FQ92-FP92)/FP92</f>
        <v>0.46017015547929319</v>
      </c>
      <c r="FR93" s="106">
        <f t="shared" ref="FR93" si="2677">SUM(FR92-FQ92)/FQ92</f>
        <v>0.13125864349140368</v>
      </c>
      <c r="FS93" s="106">
        <f t="shared" ref="FS93" si="2678">SUM(FS92-FR92)/FR92</f>
        <v>-6.1253037867967819E-2</v>
      </c>
      <c r="FT93" s="106">
        <f t="shared" si="2675"/>
        <v>7.7071203191469748E-2</v>
      </c>
      <c r="FU93" s="106">
        <f t="shared" si="2675"/>
        <v>0.16156717650556623</v>
      </c>
      <c r="FV93" s="106">
        <f t="shared" si="2675"/>
        <v>0.10517664055878836</v>
      </c>
      <c r="FW93" s="106">
        <f t="shared" si="2675"/>
        <v>0.26836026762738024</v>
      </c>
      <c r="FX93" s="106">
        <f t="shared" si="2675"/>
        <v>1.091370640766373E-2</v>
      </c>
      <c r="FY93" s="106">
        <f t="shared" si="2675"/>
        <v>4.3992742803012054E-2</v>
      </c>
      <c r="FZ93" s="106">
        <f t="shared" si="2675"/>
        <v>-0.27600233763437548</v>
      </c>
      <c r="GA93" s="106">
        <f t="shared" si="2675"/>
        <v>-0.45291175002389733</v>
      </c>
      <c r="GB93" s="106">
        <f t="shared" si="2675"/>
        <v>4.721413317802365E-2</v>
      </c>
      <c r="GC93" s="106">
        <f t="shared" si="2675"/>
        <v>0.16766156241889449</v>
      </c>
      <c r="GD93" s="106">
        <f t="shared" si="2675"/>
        <v>9.9831708633664501E-2</v>
      </c>
      <c r="GE93" s="106">
        <f t="shared" si="2675"/>
        <v>-0.22146115425700835</v>
      </c>
      <c r="GF93" s="106">
        <f t="shared" si="2675"/>
        <v>0.30142307514022165</v>
      </c>
      <c r="GG93" s="106">
        <f t="shared" si="2675"/>
        <v>4.4508398751941132E-2</v>
      </c>
      <c r="GH93" s="106">
        <f t="shared" si="2675"/>
        <v>1.8523317829034439E-2</v>
      </c>
      <c r="GI93" s="106">
        <f t="shared" si="2675"/>
        <v>-1.1637717453897715E-2</v>
      </c>
      <c r="GJ93" s="106">
        <f t="shared" si="2675"/>
        <v>-0.16700089428470785</v>
      </c>
      <c r="GK93" s="106">
        <f t="shared" si="2675"/>
        <v>0.55384778047074523</v>
      </c>
      <c r="GL93" s="28">
        <f t="shared" ref="GL93" si="2679">(GL92-GK92)/GK92</f>
        <v>-0.19684085677287522</v>
      </c>
      <c r="GM93" s="28">
        <f t="shared" ref="GM93" si="2680">(GM92-GL92)/GL92</f>
        <v>0.5518785232493727</v>
      </c>
      <c r="GN93" s="28">
        <f t="shared" ref="GN93" si="2681">(GN92-GM92)/GM92</f>
        <v>-0.14666481892091635</v>
      </c>
      <c r="GO93" s="28">
        <f t="shared" ref="GO93:GR93" si="2682">(GO92-GN92)/GN92</f>
        <v>-7.5367981771922832E-2</v>
      </c>
      <c r="GP93" s="28">
        <f t="shared" si="2682"/>
        <v>0.56555501149621046</v>
      </c>
      <c r="GQ93" s="28">
        <f t="shared" si="2682"/>
        <v>-6.1207415289530012E-2</v>
      </c>
      <c r="GR93" s="165">
        <f t="shared" si="2682"/>
        <v>-0.28945999002697498</v>
      </c>
      <c r="GS93" s="161"/>
      <c r="GT93" s="11"/>
      <c r="GU93" s="166" t="s">
        <v>368</v>
      </c>
      <c r="GV93" s="167">
        <f>LABOUR!AG68</f>
        <v>0.20916151917313924</v>
      </c>
      <c r="GW93" s="58"/>
      <c r="GX93" s="58"/>
      <c r="GY93" s="58"/>
      <c r="GZ93" s="58"/>
      <c r="HA93" s="58"/>
    </row>
    <row r="94" spans="1:209" s="2" customFormat="1" ht="15" customHeight="1" x14ac:dyDescent="0.3">
      <c r="A94" s="171"/>
      <c r="B94" s="22" t="s">
        <v>91</v>
      </c>
      <c r="C94" s="23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>
        <f t="shared" ref="EL94:GL94" si="2683">CL92</f>
        <v>14417.59</v>
      </c>
      <c r="EM94" s="25">
        <f t="shared" si="2683"/>
        <v>16839.099999999999</v>
      </c>
      <c r="EN94" s="25">
        <f t="shared" si="2683"/>
        <v>12919.13</v>
      </c>
      <c r="EO94" s="25">
        <f t="shared" si="2683"/>
        <v>11901.67</v>
      </c>
      <c r="EP94" s="25">
        <f t="shared" si="2683"/>
        <v>10008.93</v>
      </c>
      <c r="EQ94" s="25">
        <f t="shared" si="2683"/>
        <v>11412.88</v>
      </c>
      <c r="ER94" s="25">
        <f t="shared" si="2683"/>
        <v>13552.96</v>
      </c>
      <c r="ES94" s="25">
        <f t="shared" si="2683"/>
        <v>12945.18</v>
      </c>
      <c r="ET94" s="25">
        <f t="shared" si="2683"/>
        <v>15313.74</v>
      </c>
      <c r="EU94" s="25">
        <f t="shared" si="2683"/>
        <v>15026.51</v>
      </c>
      <c r="EV94" s="25">
        <f t="shared" si="2683"/>
        <v>12410.55</v>
      </c>
      <c r="EW94" s="25">
        <f t="shared" si="2683"/>
        <v>12336.38</v>
      </c>
      <c r="EX94" s="25">
        <f t="shared" si="2683"/>
        <v>15182.63</v>
      </c>
      <c r="EY94" s="25">
        <f t="shared" si="2683"/>
        <v>15884.7</v>
      </c>
      <c r="EZ94" s="25">
        <f t="shared" si="2683"/>
        <v>10853.06</v>
      </c>
      <c r="FA94" s="25">
        <f t="shared" si="2683"/>
        <v>15123.02</v>
      </c>
      <c r="FB94" s="25">
        <f t="shared" si="2683"/>
        <v>15171.66</v>
      </c>
      <c r="FC94" s="25">
        <f t="shared" si="2683"/>
        <v>17865.150000000001</v>
      </c>
      <c r="FD94" s="25">
        <f t="shared" si="2683"/>
        <v>19407.11</v>
      </c>
      <c r="FE94" s="25">
        <f t="shared" si="2683"/>
        <v>16811.135999999999</v>
      </c>
      <c r="FF94" s="25">
        <f t="shared" si="2683"/>
        <v>19411.43</v>
      </c>
      <c r="FG94" s="25">
        <f t="shared" si="2683"/>
        <v>17149.5</v>
      </c>
      <c r="FH94" s="25">
        <f t="shared" si="2683"/>
        <v>20145.89</v>
      </c>
      <c r="FI94" s="25">
        <f t="shared" si="2683"/>
        <v>10446.34</v>
      </c>
      <c r="FJ94" s="25">
        <f t="shared" si="2683"/>
        <v>13631.28</v>
      </c>
      <c r="FK94" s="25">
        <f t="shared" si="2683"/>
        <v>14902.44</v>
      </c>
      <c r="FL94" s="25">
        <f t="shared" si="2683"/>
        <v>10920.96</v>
      </c>
      <c r="FM94" s="25">
        <f t="shared" si="2683"/>
        <v>11077.88</v>
      </c>
      <c r="FN94" s="25">
        <f t="shared" si="2683"/>
        <v>10371.75</v>
      </c>
      <c r="FO94" s="25">
        <f t="shared" si="2683"/>
        <v>9481.4500000000007</v>
      </c>
      <c r="FP94" s="25">
        <f t="shared" si="2683"/>
        <v>15117.91</v>
      </c>
      <c r="FQ94" s="25">
        <f t="shared" si="2683"/>
        <v>11790.6</v>
      </c>
      <c r="FR94" s="25">
        <f t="shared" si="2683"/>
        <v>12997.4</v>
      </c>
      <c r="FS94" s="25">
        <f t="shared" si="2683"/>
        <v>12093.900000000001</v>
      </c>
      <c r="FT94" s="25">
        <f t="shared" si="2683"/>
        <v>11477</v>
      </c>
      <c r="FU94" s="25">
        <f t="shared" si="2683"/>
        <v>14040.960000000001</v>
      </c>
      <c r="FV94" s="25">
        <f t="shared" si="2683"/>
        <v>16419.879999999997</v>
      </c>
      <c r="FW94" s="25">
        <f t="shared" si="2683"/>
        <v>20069.3</v>
      </c>
      <c r="FX94" s="25">
        <f t="shared" si="2683"/>
        <v>21632.9</v>
      </c>
      <c r="FY94" s="25">
        <f t="shared" si="2683"/>
        <v>20843.300000000003</v>
      </c>
      <c r="FZ94" s="25">
        <f t="shared" si="2683"/>
        <v>12069.849999999999</v>
      </c>
      <c r="GA94" s="25">
        <f t="shared" si="2683"/>
        <v>9357.2999999999993</v>
      </c>
      <c r="GB94" s="25">
        <f t="shared" si="2683"/>
        <v>9610.6999999999989</v>
      </c>
      <c r="GC94" s="25">
        <f t="shared" si="2683"/>
        <v>11865.85</v>
      </c>
      <c r="GD94" s="25">
        <f t="shared" si="2683"/>
        <v>11996.05</v>
      </c>
      <c r="GE94" s="25">
        <f t="shared" si="2683"/>
        <v>10948.35</v>
      </c>
      <c r="GF94" s="25">
        <f t="shared" si="2683"/>
        <v>13309.4</v>
      </c>
      <c r="GG94" s="25">
        <f t="shared" si="2683"/>
        <v>13711.849999999999</v>
      </c>
      <c r="GH94" s="25">
        <f t="shared" si="2683"/>
        <v>12781.85</v>
      </c>
      <c r="GI94" s="25">
        <f t="shared" si="2683"/>
        <v>11570.7</v>
      </c>
      <c r="GJ94" s="25">
        <f t="shared" si="2683"/>
        <v>11567</v>
      </c>
      <c r="GK94" s="25">
        <f t="shared" si="2683"/>
        <v>12328.42</v>
      </c>
      <c r="GL94" s="25">
        <f t="shared" si="2683"/>
        <v>16550</v>
      </c>
      <c r="GM94" s="25">
        <f t="shared" ref="GM94:GR94" si="2684">EL92</f>
        <v>16550</v>
      </c>
      <c r="GN94" s="25">
        <f t="shared" si="2684"/>
        <v>17592.150000000001</v>
      </c>
      <c r="GO94" s="25">
        <f t="shared" si="2684"/>
        <v>18235.739999999998</v>
      </c>
      <c r="GP94" s="25">
        <f t="shared" si="2684"/>
        <v>18929.5</v>
      </c>
      <c r="GQ94" s="25">
        <f t="shared" si="2684"/>
        <v>17424.36</v>
      </c>
      <c r="GR94" s="110">
        <f t="shared" si="2684"/>
        <v>26999.219999999998</v>
      </c>
      <c r="GS94" s="159"/>
      <c r="GT94" s="11"/>
      <c r="GU94" s="11"/>
      <c r="GV94" s="11"/>
      <c r="GW94" s="58"/>
      <c r="GX94" s="58"/>
      <c r="GY94" s="58"/>
      <c r="GZ94" s="58"/>
      <c r="HA94" s="58"/>
    </row>
    <row r="95" spans="1:209" s="2" customFormat="1" ht="15" customHeight="1" x14ac:dyDescent="0.3">
      <c r="A95" s="171"/>
      <c r="B95" s="26" t="s">
        <v>366</v>
      </c>
      <c r="C95" s="39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>
        <f t="shared" ref="EL95:FH95" si="2685">(EL92-EL94)/EL94</f>
        <v>0.14790335971545868</v>
      </c>
      <c r="EM95" s="28">
        <f t="shared" si="2685"/>
        <v>4.4720323532730547E-2</v>
      </c>
      <c r="EN95" s="28">
        <f t="shared" si="2685"/>
        <v>0.41153003336911997</v>
      </c>
      <c r="EO95" s="28">
        <f t="shared" si="2685"/>
        <v>0.59049108234390635</v>
      </c>
      <c r="EP95" s="28">
        <f t="shared" si="2685"/>
        <v>0.74088139291612587</v>
      </c>
      <c r="EQ95" s="28">
        <f t="shared" si="2685"/>
        <v>1.3656798284043992</v>
      </c>
      <c r="ER95" s="28">
        <f t="shared" si="2685"/>
        <v>0.24609531792316955</v>
      </c>
      <c r="ES95" s="28">
        <f t="shared" si="2685"/>
        <v>0.39623087512108746</v>
      </c>
      <c r="ET95" s="28">
        <f t="shared" si="2685"/>
        <v>0.52360559863233946</v>
      </c>
      <c r="EU95" s="28">
        <f t="shared" si="2685"/>
        <v>0.30434678444961621</v>
      </c>
      <c r="EV95" s="28">
        <f t="shared" si="2685"/>
        <v>0.37440806410674798</v>
      </c>
      <c r="EW95" s="28">
        <f t="shared" si="2685"/>
        <v>0.75221823581958436</v>
      </c>
      <c r="EX95" s="28">
        <f t="shared" si="2685"/>
        <v>0.64080531502117899</v>
      </c>
      <c r="EY95" s="28">
        <f t="shared" si="2685"/>
        <v>0.42986332760455004</v>
      </c>
      <c r="EZ95" s="28">
        <f t="shared" si="2685"/>
        <v>1.2444038824073582</v>
      </c>
      <c r="FA95" s="28">
        <f t="shared" si="2685"/>
        <v>0.74384216909056522</v>
      </c>
      <c r="FB95" s="28">
        <f t="shared" si="2685"/>
        <v>0.42465096106820216</v>
      </c>
      <c r="FC95" s="28">
        <f t="shared" si="2685"/>
        <v>0.21410455551730592</v>
      </c>
      <c r="FD95" s="28">
        <f t="shared" si="2685"/>
        <v>9.8358282093521501E-2</v>
      </c>
      <c r="FE95" s="28">
        <f t="shared" si="2685"/>
        <v>0.35005153726672605</v>
      </c>
      <c r="FF95" s="28">
        <f t="shared" si="2685"/>
        <v>0.24074321160264864</v>
      </c>
      <c r="FG95" s="28">
        <f t="shared" si="2685"/>
        <v>0.2090206711565934</v>
      </c>
      <c r="FH95" s="28">
        <f t="shared" si="2685"/>
        <v>-2.1924571215270146E-2</v>
      </c>
      <c r="FI95" s="28">
        <f t="shared" ref="FI95:FJ95" si="2686">(FI92-FI94)/FI94</f>
        <v>0.79647225726905313</v>
      </c>
      <c r="FJ95" s="28">
        <f t="shared" si="2686"/>
        <v>-5.4294240893004934E-2</v>
      </c>
      <c r="FK95" s="28">
        <f t="shared" ref="FK95:FL95" si="2687">(FK92-FK94)/FK94</f>
        <v>3.7593172661658063E-2</v>
      </c>
      <c r="FL95" s="28">
        <f t="shared" si="2687"/>
        <v>0.51900565518049713</v>
      </c>
      <c r="FM95" s="28">
        <f t="shared" ref="FM95:FN95" si="2688">(FM92-FM94)/FM94</f>
        <v>0.24171772938504474</v>
      </c>
      <c r="FN95" s="28">
        <f t="shared" si="2688"/>
        <v>0.62882252271795969</v>
      </c>
      <c r="FO95" s="28">
        <f t="shared" ref="FO95:FP95" si="2689">(FO92-FO94)/FO94</f>
        <v>0.34508329422187528</v>
      </c>
      <c r="FP95" s="28">
        <f t="shared" si="2689"/>
        <v>-0.40055867510786869</v>
      </c>
      <c r="FQ95" s="28">
        <f t="shared" ref="FQ95:FR95" si="2690">(FQ92-FQ94)/FQ94</f>
        <v>0.12229233457160786</v>
      </c>
      <c r="FR95" s="28">
        <f t="shared" si="2690"/>
        <v>0.1517211134534599</v>
      </c>
      <c r="FS95" s="28">
        <f t="shared" ref="FS95:FT95" si="2691">(FS92-FS94)/FS94</f>
        <v>0.161946105061229</v>
      </c>
      <c r="FT95" s="28">
        <f t="shared" si="2691"/>
        <v>0.31876797072405683</v>
      </c>
      <c r="FU95" s="28">
        <f t="shared" ref="FU95:FV95" si="2692">(FU92-FU94)/FU94</f>
        <v>0.25211523998359064</v>
      </c>
      <c r="FV95" s="28">
        <f t="shared" si="2692"/>
        <v>0.18332168079182085</v>
      </c>
      <c r="FW95" s="28">
        <f t="shared" ref="FW95:FX95" si="2693">(FW92-FW94)/FW94</f>
        <v>0.22795712854957567</v>
      </c>
      <c r="FX95" s="28">
        <f t="shared" si="2693"/>
        <v>0.15163477850866039</v>
      </c>
      <c r="FY95" s="28">
        <f t="shared" ref="FY95:FZ95" si="2694">(FY92-FY94)/FY94</f>
        <v>0.247844631128468</v>
      </c>
      <c r="FZ95" s="28">
        <f t="shared" si="2694"/>
        <v>0.56013537865010787</v>
      </c>
      <c r="GA95" s="28">
        <f t="shared" ref="GA95:GB95" si="2695">(GA92-GA94)/GA94</f>
        <v>0.1009586098554071</v>
      </c>
      <c r="GB95" s="28">
        <f t="shared" si="2695"/>
        <v>0.12254050173244414</v>
      </c>
      <c r="GC95" s="28">
        <f t="shared" ref="GC95:GD95" si="2696">(GC92-GC94)/GC94</f>
        <v>6.163485970242337E-2</v>
      </c>
      <c r="GD95" s="28">
        <f t="shared" si="2696"/>
        <v>0.1549468366670696</v>
      </c>
      <c r="GE95" s="28">
        <f t="shared" ref="GE95:GF95" si="2697">(GE92-GE94)/GE94</f>
        <v>-1.4783049500609713E-2</v>
      </c>
      <c r="GF95" s="28">
        <f t="shared" si="2697"/>
        <v>5.4728237185748527E-2</v>
      </c>
      <c r="GG95" s="28">
        <f t="shared" ref="GG95:GH95" si="2698">(GG92-GG94)/GG94</f>
        <v>6.9337835521829802E-2</v>
      </c>
      <c r="GH95" s="28">
        <f t="shared" si="2698"/>
        <v>0.16839111709181381</v>
      </c>
      <c r="GI95" s="28">
        <f t="shared" ref="GI95:GJ95" si="2699">(GI92-GI94)/GI94</f>
        <v>0.27567044344767389</v>
      </c>
      <c r="GJ95" s="28">
        <f t="shared" si="2699"/>
        <v>6.2972248638367742E-2</v>
      </c>
      <c r="GK95" s="28">
        <f t="shared" ref="GK95:GL95" si="2700">(GK92-GK94)/GK94</f>
        <v>0.5496860100483274</v>
      </c>
      <c r="GL95" s="28">
        <f t="shared" si="2700"/>
        <v>-7.2839879154078552E-2</v>
      </c>
      <c r="GM95" s="28">
        <f t="shared" ref="GM95:GN95" si="2701">(GM92-GM94)/GM94</f>
        <v>0.43883987915407852</v>
      </c>
      <c r="GN95" s="28">
        <f t="shared" si="2701"/>
        <v>0.15507769090190801</v>
      </c>
      <c r="GO95" s="28">
        <f t="shared" ref="GO95:GP95" si="2702">(GO92-GO94)/GO94</f>
        <v>3.0328355196992354E-2</v>
      </c>
      <c r="GP95" s="28">
        <f t="shared" si="2702"/>
        <v>0.55391848701761792</v>
      </c>
      <c r="GQ95" s="28">
        <f t="shared" ref="GQ95:GR95" si="2703">(GQ92-GQ94)/GQ94</f>
        <v>0.58482090590414804</v>
      </c>
      <c r="GR95" s="109">
        <f t="shared" si="2703"/>
        <v>-0.27326789440583832</v>
      </c>
      <c r="GS95" s="159"/>
      <c r="GT95" s="11"/>
      <c r="GU95" s="11"/>
      <c r="GV95" s="11"/>
      <c r="GW95" s="58"/>
      <c r="GX95" s="58"/>
      <c r="GY95" s="58"/>
      <c r="GZ95" s="58"/>
      <c r="HA95" s="58"/>
    </row>
    <row r="96" spans="1:209" s="2" customFormat="1" ht="7.5" customHeight="1" x14ac:dyDescent="0.3">
      <c r="A96" s="8"/>
      <c r="B96" s="29"/>
      <c r="C96" s="30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  <c r="FY96" s="32"/>
      <c r="FZ96" s="32"/>
      <c r="GA96" s="32"/>
      <c r="GB96" s="32"/>
      <c r="GC96" s="32"/>
      <c r="GD96" s="32"/>
      <c r="GE96" s="32"/>
      <c r="GF96" s="32"/>
      <c r="GG96" s="32"/>
      <c r="GH96" s="32"/>
      <c r="GI96" s="32"/>
      <c r="GJ96" s="32"/>
      <c r="GK96" s="32"/>
      <c r="GL96" s="32"/>
      <c r="GM96" s="32"/>
      <c r="GN96" s="32"/>
      <c r="GO96" s="32"/>
      <c r="GP96" s="32"/>
      <c r="GQ96" s="32"/>
      <c r="GR96" s="111"/>
      <c r="GS96" s="156"/>
      <c r="GT96" s="9"/>
      <c r="GU96" s="9"/>
      <c r="GV96" s="9"/>
    </row>
    <row r="97" spans="1:209" ht="15" hidden="1" customHeight="1" x14ac:dyDescent="0.3">
      <c r="A97" s="170" t="s">
        <v>5</v>
      </c>
      <c r="B97" s="33" t="s">
        <v>5</v>
      </c>
      <c r="C97" s="17" t="s">
        <v>23</v>
      </c>
      <c r="D97" s="17">
        <v>5006.1499999999996</v>
      </c>
      <c r="E97" s="17">
        <v>5506.5</v>
      </c>
      <c r="F97" s="17">
        <v>6309.3</v>
      </c>
      <c r="G97" s="17">
        <v>7605.95</v>
      </c>
      <c r="H97" s="17">
        <v>8111.85</v>
      </c>
      <c r="I97" s="17">
        <v>5932.95</v>
      </c>
      <c r="J97" s="17">
        <v>7083.3</v>
      </c>
      <c r="K97" s="17">
        <v>5567.3</v>
      </c>
      <c r="L97" s="17">
        <v>7176.85</v>
      </c>
      <c r="M97" s="17">
        <v>7085.2</v>
      </c>
      <c r="N97" s="17">
        <v>7722.3</v>
      </c>
      <c r="O97" s="17">
        <v>6292.2</v>
      </c>
      <c r="P97" s="17">
        <v>9326.9500000000007</v>
      </c>
      <c r="Q97" s="17">
        <v>6342.05</v>
      </c>
      <c r="R97" s="17">
        <v>7547</v>
      </c>
      <c r="S97" s="17">
        <v>6816.6</v>
      </c>
      <c r="T97" s="17">
        <v>6506.65</v>
      </c>
      <c r="U97" s="17">
        <v>10760.3</v>
      </c>
      <c r="V97" s="17">
        <v>8035.95</v>
      </c>
      <c r="W97" s="17">
        <v>10903.3</v>
      </c>
      <c r="X97" s="17">
        <v>22281.200000000001</v>
      </c>
      <c r="Y97" s="17">
        <v>15216.9</v>
      </c>
      <c r="Z97" s="17">
        <v>7108.55</v>
      </c>
      <c r="AA97" s="17">
        <v>8412.15</v>
      </c>
      <c r="AB97" s="17">
        <v>8397.9</v>
      </c>
      <c r="AC97" s="17">
        <v>7929.8</v>
      </c>
      <c r="AD97" s="17">
        <v>10693.3</v>
      </c>
      <c r="AE97" s="17">
        <v>10623.15</v>
      </c>
      <c r="AF97" s="17">
        <v>9137.5</v>
      </c>
      <c r="AG97" s="17">
        <v>9906.15</v>
      </c>
      <c r="AH97" s="17">
        <v>9826.6</v>
      </c>
      <c r="AI97" s="17">
        <v>13667.55</v>
      </c>
      <c r="AJ97" s="17">
        <v>10185.4</v>
      </c>
      <c r="AK97" s="17">
        <v>10517.3</v>
      </c>
      <c r="AL97" s="17">
        <v>13567.2</v>
      </c>
      <c r="AM97" s="17">
        <v>17645.55</v>
      </c>
      <c r="AN97" s="17">
        <v>11188.85</v>
      </c>
      <c r="AO97" s="17">
        <v>11659.6</v>
      </c>
      <c r="AP97" s="17">
        <v>15304.7</v>
      </c>
      <c r="AQ97" s="17">
        <v>11298.9</v>
      </c>
      <c r="AR97" s="17">
        <v>4271.6000000000004</v>
      </c>
      <c r="AS97" s="17">
        <v>6521.7</v>
      </c>
      <c r="AT97" s="17">
        <v>6972.6</v>
      </c>
      <c r="AU97" s="17">
        <v>7270.1</v>
      </c>
      <c r="AV97" s="17">
        <v>6160.65</v>
      </c>
      <c r="AW97" s="17">
        <v>11029.65</v>
      </c>
      <c r="AX97" s="17">
        <v>8315.1</v>
      </c>
      <c r="AY97" s="17">
        <v>8533.75</v>
      </c>
      <c r="AZ97" s="17">
        <v>6676.5</v>
      </c>
      <c r="BA97" s="17">
        <v>8849.4500000000007</v>
      </c>
      <c r="BB97" s="17">
        <v>8036.95</v>
      </c>
      <c r="BC97" s="17">
        <v>7520.3</v>
      </c>
      <c r="BD97" s="17">
        <v>7596.35</v>
      </c>
      <c r="BE97" s="17">
        <v>6679.15</v>
      </c>
      <c r="BF97" s="17">
        <v>7030.55</v>
      </c>
      <c r="BG97" s="17">
        <v>8616.2000000000007</v>
      </c>
      <c r="BH97" s="17">
        <v>7897.15</v>
      </c>
      <c r="BI97" s="17">
        <v>7141.15</v>
      </c>
      <c r="BJ97" s="17">
        <v>8287.2999999999993</v>
      </c>
      <c r="BK97" s="17">
        <v>6760.6</v>
      </c>
      <c r="BL97" s="17">
        <v>9421.75</v>
      </c>
      <c r="BM97" s="17">
        <v>8835.1</v>
      </c>
      <c r="BN97" s="17">
        <v>7227.75</v>
      </c>
      <c r="BO97" s="17">
        <v>7571.15</v>
      </c>
      <c r="BP97" s="17">
        <v>6616.65</v>
      </c>
      <c r="BQ97" s="17">
        <v>9951.7999999999993</v>
      </c>
      <c r="BR97" s="17">
        <v>8505.0499999999993</v>
      </c>
      <c r="BS97" s="17">
        <v>11310.25</v>
      </c>
      <c r="BT97" s="17">
        <v>9894.15</v>
      </c>
      <c r="BU97" s="17">
        <v>11328.4</v>
      </c>
      <c r="BV97" s="17">
        <v>11508.15</v>
      </c>
      <c r="BW97" s="17">
        <v>14791.3</v>
      </c>
      <c r="BX97" s="17">
        <v>28641.8</v>
      </c>
      <c r="BY97" s="17">
        <v>16548.95</v>
      </c>
      <c r="BZ97" s="17">
        <v>9285.2000000000007</v>
      </c>
      <c r="CA97" s="17">
        <v>8004.8</v>
      </c>
      <c r="CB97" s="17">
        <v>7578.3</v>
      </c>
      <c r="CC97" s="17">
        <v>8590.7999999999993</v>
      </c>
      <c r="CD97" s="17">
        <v>9768.34</v>
      </c>
      <c r="CE97" s="17">
        <v>9873.75</v>
      </c>
      <c r="CF97" s="17">
        <v>11354.2</v>
      </c>
      <c r="CG97" s="17">
        <v>8289.7999999999993</v>
      </c>
      <c r="CH97" s="17">
        <v>8905.5</v>
      </c>
      <c r="CI97" s="17">
        <v>10001.75</v>
      </c>
      <c r="CJ97" s="17">
        <v>11074</v>
      </c>
      <c r="CK97" s="17">
        <v>9872.85</v>
      </c>
      <c r="CL97" s="17">
        <v>15771.3</v>
      </c>
      <c r="CM97" s="17">
        <v>11179.3</v>
      </c>
      <c r="CN97" s="17">
        <v>10369.200000000001</v>
      </c>
      <c r="CO97" s="17">
        <v>9105.85</v>
      </c>
      <c r="CP97" s="17">
        <v>10170.6</v>
      </c>
      <c r="CQ97" s="17">
        <v>13919.7</v>
      </c>
      <c r="CR97" s="17">
        <v>9375.4</v>
      </c>
      <c r="CS97" s="17">
        <v>9875.6</v>
      </c>
      <c r="CT97" s="17">
        <v>10687.6</v>
      </c>
      <c r="CU97" s="17">
        <v>9827.9</v>
      </c>
      <c r="CV97" s="17">
        <v>8951.7999999999993</v>
      </c>
      <c r="CW97" s="17">
        <v>14605.8</v>
      </c>
      <c r="CX97" s="17">
        <v>12625.6</v>
      </c>
      <c r="CY97" s="17">
        <v>14983.1</v>
      </c>
      <c r="CZ97" s="17">
        <v>13055.4</v>
      </c>
      <c r="DA97" s="17">
        <v>17399.650000000001</v>
      </c>
      <c r="DB97" s="17">
        <v>5000</v>
      </c>
      <c r="DC97" s="17">
        <v>8285.7000000000007</v>
      </c>
      <c r="DD97" s="17">
        <v>9512.9500000000007</v>
      </c>
      <c r="DE97" s="17">
        <v>8879.35</v>
      </c>
      <c r="DF97" s="17">
        <v>9699.9</v>
      </c>
      <c r="DG97" s="17">
        <v>11183.9</v>
      </c>
      <c r="DH97" s="17">
        <v>8840.65</v>
      </c>
      <c r="DI97" s="17">
        <v>9921.5</v>
      </c>
      <c r="DJ97" s="17">
        <v>8863.35</v>
      </c>
      <c r="DK97" s="17">
        <v>9525.5</v>
      </c>
      <c r="DL97" s="17">
        <v>10173.5</v>
      </c>
      <c r="DM97" s="17">
        <v>10201.25</v>
      </c>
      <c r="DN97" s="17">
        <v>10040.299999999999</v>
      </c>
      <c r="DO97" s="17">
        <v>8122.95</v>
      </c>
      <c r="DP97" s="17">
        <v>10017.15</v>
      </c>
      <c r="DQ97" s="17">
        <v>11089.55</v>
      </c>
      <c r="DR97" s="17">
        <v>10555.4</v>
      </c>
      <c r="DS97" s="17">
        <v>9848.2999999999993</v>
      </c>
      <c r="DT97" s="17">
        <v>11493.85</v>
      </c>
      <c r="DU97" s="17">
        <v>10740.85</v>
      </c>
      <c r="DV97" s="17">
        <v>14871.45</v>
      </c>
      <c r="DW97" s="17">
        <v>15141.9</v>
      </c>
      <c r="DX97" s="17">
        <v>21897.1</v>
      </c>
      <c r="DY97" s="17">
        <v>28189.5</v>
      </c>
      <c r="DZ97" s="17">
        <v>12529.5</v>
      </c>
      <c r="EA97" s="17">
        <v>9700</v>
      </c>
      <c r="EB97" s="17">
        <v>8720.25</v>
      </c>
      <c r="EC97" s="17">
        <v>9913.5</v>
      </c>
      <c r="ED97" s="17">
        <v>13116.09</v>
      </c>
      <c r="EE97" s="17">
        <v>11740.62</v>
      </c>
      <c r="EF97" s="17">
        <v>9256.3799999999992</v>
      </c>
      <c r="EG97" s="17">
        <v>10952.85</v>
      </c>
      <c r="EH97" s="17">
        <v>10687.06</v>
      </c>
      <c r="EI97" s="17">
        <v>10591.1</v>
      </c>
      <c r="EJ97" s="17">
        <v>12740.75</v>
      </c>
      <c r="EK97" s="17">
        <v>12214.55</v>
      </c>
      <c r="EL97" s="17">
        <v>11339.05</v>
      </c>
      <c r="EM97" s="17">
        <v>10600.75</v>
      </c>
      <c r="EN97" s="17">
        <v>9974.65</v>
      </c>
      <c r="EO97" s="17">
        <v>15992.1</v>
      </c>
      <c r="EP97" s="17">
        <v>11120.9</v>
      </c>
      <c r="EQ97" s="17">
        <v>12185.85</v>
      </c>
      <c r="ER97" s="17">
        <v>11184.5</v>
      </c>
      <c r="ES97" s="17">
        <v>11560.1</v>
      </c>
      <c r="ET97" s="17">
        <v>10417.65</v>
      </c>
      <c r="EU97" s="17">
        <v>12773</v>
      </c>
      <c r="EV97" s="17">
        <v>10822.1</v>
      </c>
      <c r="EW97" s="17">
        <v>11298.15</v>
      </c>
      <c r="EX97" s="17">
        <v>10540.6</v>
      </c>
      <c r="EY97" s="17">
        <v>8340.15</v>
      </c>
      <c r="EZ97" s="17">
        <v>8308.1</v>
      </c>
      <c r="FA97" s="17">
        <v>9383.75</v>
      </c>
      <c r="FB97" s="17">
        <v>9135.1</v>
      </c>
      <c r="FC97" s="17">
        <v>11601.6</v>
      </c>
      <c r="FD97" s="17">
        <v>10396.75</v>
      </c>
      <c r="FE97" s="17">
        <v>9385.5499999999993</v>
      </c>
      <c r="FF97" s="17">
        <v>8610.6</v>
      </c>
      <c r="FG97" s="17">
        <v>10740.35</v>
      </c>
      <c r="FH97" s="17">
        <v>10717.55</v>
      </c>
      <c r="FI97" s="17">
        <v>10040.450000000001</v>
      </c>
      <c r="FJ97" s="17">
        <v>11681.15</v>
      </c>
      <c r="FK97" s="17">
        <v>10658.9</v>
      </c>
      <c r="FL97" s="17">
        <v>9262.5499999999993</v>
      </c>
      <c r="FM97" s="17">
        <v>10150.85</v>
      </c>
      <c r="FN97" s="17">
        <v>8903.4500000000007</v>
      </c>
      <c r="FO97" s="17">
        <v>8570.25</v>
      </c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07"/>
      <c r="GS97" s="160">
        <f>EJ97</f>
        <v>12740.75</v>
      </c>
      <c r="GT97" s="84" t="s">
        <v>23</v>
      </c>
      <c r="GU97" s="84"/>
      <c r="GV97" s="84"/>
      <c r="GW97" s="59"/>
      <c r="GX97" s="59"/>
      <c r="GY97" s="59"/>
      <c r="GZ97" s="59"/>
      <c r="HA97" s="59"/>
    </row>
    <row r="98" spans="1:209" ht="15" hidden="1" customHeight="1" x14ac:dyDescent="0.3">
      <c r="A98" s="171"/>
      <c r="B98" s="34"/>
      <c r="C98" s="17" t="s">
        <v>24</v>
      </c>
      <c r="D98" s="17">
        <v>82.5</v>
      </c>
      <c r="E98" s="17">
        <v>85</v>
      </c>
      <c r="F98" s="17">
        <v>103</v>
      </c>
      <c r="G98" s="17">
        <v>96</v>
      </c>
      <c r="H98" s="17">
        <v>151</v>
      </c>
      <c r="I98" s="17">
        <v>112.5</v>
      </c>
      <c r="J98" s="17">
        <v>99</v>
      </c>
      <c r="K98" s="17">
        <v>93.5</v>
      </c>
      <c r="L98" s="17">
        <v>96</v>
      </c>
      <c r="M98" s="17">
        <v>93.5</v>
      </c>
      <c r="N98" s="17">
        <v>107.5</v>
      </c>
      <c r="O98" s="17">
        <v>62.5</v>
      </c>
      <c r="P98" s="17">
        <v>87.5</v>
      </c>
      <c r="Q98" s="17">
        <v>65</v>
      </c>
      <c r="R98" s="17">
        <v>73.5</v>
      </c>
      <c r="S98" s="17">
        <v>91.5</v>
      </c>
      <c r="T98" s="17">
        <v>82.5</v>
      </c>
      <c r="U98" s="17">
        <v>122</v>
      </c>
      <c r="V98" s="17">
        <v>107.5</v>
      </c>
      <c r="W98" s="17">
        <v>93</v>
      </c>
      <c r="X98" s="17">
        <v>146.5</v>
      </c>
      <c r="Y98" s="17">
        <v>130</v>
      </c>
      <c r="Z98" s="17">
        <v>103</v>
      </c>
      <c r="AA98" s="17">
        <v>93</v>
      </c>
      <c r="AB98" s="17">
        <v>75</v>
      </c>
      <c r="AC98" s="17">
        <v>112</v>
      </c>
      <c r="AD98" s="17">
        <v>96</v>
      </c>
      <c r="AE98" s="17">
        <v>125</v>
      </c>
      <c r="AF98" s="17">
        <v>244.5</v>
      </c>
      <c r="AG98" s="17">
        <v>299</v>
      </c>
      <c r="AH98" s="17">
        <v>120</v>
      </c>
      <c r="AI98" s="17">
        <v>111</v>
      </c>
      <c r="AJ98" s="17">
        <v>101</v>
      </c>
      <c r="AK98" s="17">
        <v>128</v>
      </c>
      <c r="AL98" s="17">
        <v>126</v>
      </c>
      <c r="AM98" s="17">
        <v>112.5</v>
      </c>
      <c r="AN98" s="17">
        <v>111</v>
      </c>
      <c r="AO98" s="17">
        <v>123</v>
      </c>
      <c r="AP98" s="17">
        <v>123</v>
      </c>
      <c r="AQ98" s="17">
        <v>98</v>
      </c>
      <c r="AR98" s="17">
        <v>52</v>
      </c>
      <c r="AS98" s="17">
        <v>82.5</v>
      </c>
      <c r="AT98" s="17">
        <v>94</v>
      </c>
      <c r="AU98" s="17">
        <v>81</v>
      </c>
      <c r="AV98" s="17">
        <v>59.5</v>
      </c>
      <c r="AW98" s="17">
        <v>88.5</v>
      </c>
      <c r="AX98" s="17">
        <v>72</v>
      </c>
      <c r="AY98" s="17">
        <v>85</v>
      </c>
      <c r="AZ98" s="17">
        <v>95</v>
      </c>
      <c r="BA98" s="17">
        <v>86.5</v>
      </c>
      <c r="BB98" s="17">
        <v>113.5</v>
      </c>
      <c r="BC98" s="17">
        <v>86.5</v>
      </c>
      <c r="BD98" s="17">
        <v>107</v>
      </c>
      <c r="BE98" s="17">
        <v>94.5</v>
      </c>
      <c r="BF98" s="17">
        <v>101</v>
      </c>
      <c r="BG98" s="17">
        <v>90</v>
      </c>
      <c r="BH98" s="17">
        <v>79</v>
      </c>
      <c r="BI98" s="17">
        <v>89.5</v>
      </c>
      <c r="BJ98" s="17">
        <v>92.5</v>
      </c>
      <c r="BK98" s="17">
        <v>104.5</v>
      </c>
      <c r="BL98" s="17">
        <v>106</v>
      </c>
      <c r="BM98" s="17">
        <v>108.5</v>
      </c>
      <c r="BN98" s="17">
        <v>103.5</v>
      </c>
      <c r="BO98" s="17">
        <v>68</v>
      </c>
      <c r="BP98" s="17">
        <v>68.5</v>
      </c>
      <c r="BQ98" s="17">
        <v>98.5</v>
      </c>
      <c r="BR98" s="17">
        <v>120</v>
      </c>
      <c r="BS98" s="17">
        <v>112</v>
      </c>
      <c r="BT98" s="17">
        <v>87.5</v>
      </c>
      <c r="BU98" s="17">
        <v>143</v>
      </c>
      <c r="BV98" s="17">
        <v>89.5</v>
      </c>
      <c r="BW98" s="17">
        <v>173</v>
      </c>
      <c r="BX98" s="17">
        <v>186</v>
      </c>
      <c r="BY98" s="17">
        <v>135.5</v>
      </c>
      <c r="BZ98" s="17">
        <v>84</v>
      </c>
      <c r="CA98" s="17">
        <v>74.5</v>
      </c>
      <c r="CB98" s="17">
        <v>86.5</v>
      </c>
      <c r="CC98" s="17">
        <v>87.5</v>
      </c>
      <c r="CD98" s="17">
        <v>101</v>
      </c>
      <c r="CE98" s="17">
        <v>124</v>
      </c>
      <c r="CF98" s="17">
        <v>107</v>
      </c>
      <c r="CG98" s="17">
        <v>94</v>
      </c>
      <c r="CH98" s="17">
        <v>93</v>
      </c>
      <c r="CI98" s="17">
        <v>112</v>
      </c>
      <c r="CJ98" s="17">
        <v>119.5</v>
      </c>
      <c r="CK98" s="17">
        <v>95.5</v>
      </c>
      <c r="CL98" s="17">
        <v>128.5</v>
      </c>
      <c r="CM98" s="17">
        <v>116</v>
      </c>
      <c r="CN98" s="17">
        <v>100</v>
      </c>
      <c r="CO98" s="17">
        <v>109</v>
      </c>
      <c r="CP98" s="17">
        <v>80.5</v>
      </c>
      <c r="CQ98" s="17">
        <v>102.5</v>
      </c>
      <c r="CR98" s="17">
        <v>104</v>
      </c>
      <c r="CS98" s="17">
        <v>94</v>
      </c>
      <c r="CT98" s="17">
        <v>94</v>
      </c>
      <c r="CU98" s="17">
        <v>112.5</v>
      </c>
      <c r="CV98" s="17">
        <v>91</v>
      </c>
      <c r="CW98" s="17">
        <v>125.5</v>
      </c>
      <c r="CX98" s="17">
        <v>117</v>
      </c>
      <c r="CY98" s="17">
        <v>125</v>
      </c>
      <c r="CZ98" s="17">
        <v>113.5</v>
      </c>
      <c r="DA98" s="17">
        <v>101</v>
      </c>
      <c r="DB98" s="17">
        <v>208.7</v>
      </c>
      <c r="DC98" s="17">
        <v>80</v>
      </c>
      <c r="DD98" s="17">
        <v>68.5</v>
      </c>
      <c r="DE98" s="17">
        <v>73</v>
      </c>
      <c r="DF98" s="17">
        <v>93.5</v>
      </c>
      <c r="DG98" s="17">
        <v>125</v>
      </c>
      <c r="DH98" s="17">
        <v>86.5</v>
      </c>
      <c r="DI98" s="17">
        <v>64</v>
      </c>
      <c r="DJ98" s="17">
        <v>68</v>
      </c>
      <c r="DK98" s="17">
        <v>102</v>
      </c>
      <c r="DL98" s="17">
        <v>70.5</v>
      </c>
      <c r="DM98" s="17">
        <v>123</v>
      </c>
      <c r="DN98" s="17">
        <v>77</v>
      </c>
      <c r="DO98" s="17">
        <v>57.5</v>
      </c>
      <c r="DP98" s="17">
        <v>85</v>
      </c>
      <c r="DQ98" s="17">
        <v>105</v>
      </c>
      <c r="DR98" s="17">
        <v>106</v>
      </c>
      <c r="DS98" s="17">
        <v>111.5</v>
      </c>
      <c r="DT98" s="17">
        <v>102</v>
      </c>
      <c r="DU98" s="17">
        <v>91.5</v>
      </c>
      <c r="DV98" s="17">
        <v>97</v>
      </c>
      <c r="DW98" s="17">
        <v>125</v>
      </c>
      <c r="DX98" s="17">
        <v>255.5</v>
      </c>
      <c r="DY98" s="17">
        <v>235</v>
      </c>
      <c r="DZ98" s="17">
        <v>138</v>
      </c>
      <c r="EA98" s="17">
        <v>138</v>
      </c>
      <c r="EB98" s="17">
        <v>103</v>
      </c>
      <c r="EC98" s="17">
        <v>176.55</v>
      </c>
      <c r="ED98" s="17">
        <v>228.41</v>
      </c>
      <c r="EE98" s="17">
        <v>184.08</v>
      </c>
      <c r="EF98" s="17">
        <v>127.52</v>
      </c>
      <c r="EG98" s="17">
        <v>198.1</v>
      </c>
      <c r="EH98" s="17">
        <v>144.44</v>
      </c>
      <c r="EI98" s="17">
        <v>252</v>
      </c>
      <c r="EJ98" s="17">
        <v>192</v>
      </c>
      <c r="EK98" s="17">
        <v>159</v>
      </c>
      <c r="EL98" s="17">
        <v>155</v>
      </c>
      <c r="EM98" s="17">
        <v>170.5</v>
      </c>
      <c r="EN98" s="17">
        <v>126</v>
      </c>
      <c r="EO98" s="17">
        <v>149</v>
      </c>
      <c r="EP98" s="17">
        <v>123.65</v>
      </c>
      <c r="EQ98" s="17">
        <v>127.6</v>
      </c>
      <c r="ER98" s="17">
        <v>129.80000000000001</v>
      </c>
      <c r="ES98" s="17">
        <v>181.1</v>
      </c>
      <c r="ET98" s="17">
        <v>179.75</v>
      </c>
      <c r="EU98" s="17">
        <v>123.4</v>
      </c>
      <c r="EV98" s="17">
        <v>176.1</v>
      </c>
      <c r="EW98" s="17">
        <v>191.1</v>
      </c>
      <c r="EX98" s="17">
        <v>146.85</v>
      </c>
      <c r="EY98" s="17">
        <v>159.9</v>
      </c>
      <c r="EZ98" s="17">
        <v>95.7</v>
      </c>
      <c r="FA98" s="17">
        <v>102.35</v>
      </c>
      <c r="FB98" s="17">
        <v>122.6</v>
      </c>
      <c r="FC98" s="17">
        <v>130</v>
      </c>
      <c r="FD98" s="17">
        <v>104.2</v>
      </c>
      <c r="FE98" s="17">
        <v>104.9</v>
      </c>
      <c r="FF98" s="17">
        <v>124</v>
      </c>
      <c r="FG98" s="17">
        <v>133.6</v>
      </c>
      <c r="FH98" s="17">
        <v>153.6</v>
      </c>
      <c r="FI98" s="17">
        <v>130.19999999999999</v>
      </c>
      <c r="FJ98" s="17">
        <v>104.4</v>
      </c>
      <c r="FK98" s="17">
        <v>110.4</v>
      </c>
      <c r="FL98" s="17">
        <v>110</v>
      </c>
      <c r="FM98" s="17">
        <v>130</v>
      </c>
      <c r="FN98" s="17">
        <v>145.5</v>
      </c>
      <c r="FO98" s="17">
        <v>72.099999999999994</v>
      </c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07"/>
      <c r="GS98" s="160">
        <f>EJ98</f>
        <v>192</v>
      </c>
      <c r="GT98" s="5" t="s">
        <v>24</v>
      </c>
      <c r="GU98" s="5"/>
      <c r="GV98" s="5"/>
      <c r="GW98" s="59"/>
      <c r="GX98" s="59"/>
      <c r="GY98" s="59"/>
      <c r="GZ98" s="59"/>
      <c r="HA98" s="59"/>
    </row>
    <row r="99" spans="1:209" s="2" customFormat="1" ht="15" customHeight="1" x14ac:dyDescent="0.3">
      <c r="A99" s="171"/>
      <c r="B99" s="19" t="s">
        <v>21</v>
      </c>
      <c r="C99" s="20"/>
      <c r="D99" s="20">
        <f>SUM(D97:D98)</f>
        <v>5088.6499999999996</v>
      </c>
      <c r="E99" s="20">
        <f t="shared" ref="E99:AZ99" si="2704">SUM(E97:E98)</f>
        <v>5591.5</v>
      </c>
      <c r="F99" s="20">
        <f t="shared" si="2704"/>
        <v>6412.3</v>
      </c>
      <c r="G99" s="20">
        <f t="shared" si="2704"/>
        <v>7701.95</v>
      </c>
      <c r="H99" s="20">
        <f t="shared" si="2704"/>
        <v>8262.85</v>
      </c>
      <c r="I99" s="20">
        <f t="shared" si="2704"/>
        <v>6045.45</v>
      </c>
      <c r="J99" s="20">
        <f t="shared" si="2704"/>
        <v>7182.3</v>
      </c>
      <c r="K99" s="20">
        <f t="shared" si="2704"/>
        <v>5660.8</v>
      </c>
      <c r="L99" s="20">
        <f t="shared" si="2704"/>
        <v>7272.85</v>
      </c>
      <c r="M99" s="20">
        <f t="shared" si="2704"/>
        <v>7178.7</v>
      </c>
      <c r="N99" s="20">
        <f t="shared" si="2704"/>
        <v>7829.8</v>
      </c>
      <c r="O99" s="20">
        <f t="shared" si="2704"/>
        <v>6354.7</v>
      </c>
      <c r="P99" s="20">
        <f t="shared" si="2704"/>
        <v>9414.4500000000007</v>
      </c>
      <c r="Q99" s="20">
        <f t="shared" si="2704"/>
        <v>6407.05</v>
      </c>
      <c r="R99" s="20">
        <f t="shared" si="2704"/>
        <v>7620.5</v>
      </c>
      <c r="S99" s="20">
        <f t="shared" si="2704"/>
        <v>6908.1</v>
      </c>
      <c r="T99" s="20">
        <f t="shared" si="2704"/>
        <v>6589.15</v>
      </c>
      <c r="U99" s="20">
        <f t="shared" si="2704"/>
        <v>10882.3</v>
      </c>
      <c r="V99" s="20">
        <f t="shared" si="2704"/>
        <v>8143.45</v>
      </c>
      <c r="W99" s="20">
        <f t="shared" si="2704"/>
        <v>10996.3</v>
      </c>
      <c r="X99" s="20">
        <f t="shared" si="2704"/>
        <v>22427.7</v>
      </c>
      <c r="Y99" s="20">
        <f t="shared" si="2704"/>
        <v>15346.9</v>
      </c>
      <c r="Z99" s="20">
        <f t="shared" si="2704"/>
        <v>7211.55</v>
      </c>
      <c r="AA99" s="20">
        <f t="shared" si="2704"/>
        <v>8505.15</v>
      </c>
      <c r="AB99" s="20">
        <f t="shared" si="2704"/>
        <v>8472.9</v>
      </c>
      <c r="AC99" s="20">
        <f t="shared" si="2704"/>
        <v>8041.8</v>
      </c>
      <c r="AD99" s="20">
        <f t="shared" si="2704"/>
        <v>10789.3</v>
      </c>
      <c r="AE99" s="20">
        <f t="shared" si="2704"/>
        <v>10748.15</v>
      </c>
      <c r="AF99" s="20">
        <f t="shared" si="2704"/>
        <v>9382</v>
      </c>
      <c r="AG99" s="20">
        <f t="shared" si="2704"/>
        <v>10205.15</v>
      </c>
      <c r="AH99" s="20">
        <f t="shared" si="2704"/>
        <v>9946.6</v>
      </c>
      <c r="AI99" s="20">
        <f t="shared" si="2704"/>
        <v>13778.55</v>
      </c>
      <c r="AJ99" s="20">
        <f t="shared" si="2704"/>
        <v>10286.4</v>
      </c>
      <c r="AK99" s="20">
        <f t="shared" si="2704"/>
        <v>10645.3</v>
      </c>
      <c r="AL99" s="20">
        <f t="shared" si="2704"/>
        <v>13693.2</v>
      </c>
      <c r="AM99" s="20">
        <f t="shared" si="2704"/>
        <v>17758.05</v>
      </c>
      <c r="AN99" s="20">
        <f t="shared" si="2704"/>
        <v>11299.85</v>
      </c>
      <c r="AO99" s="20">
        <f t="shared" si="2704"/>
        <v>11782.6</v>
      </c>
      <c r="AP99" s="20">
        <f t="shared" si="2704"/>
        <v>15427.7</v>
      </c>
      <c r="AQ99" s="20">
        <f t="shared" si="2704"/>
        <v>11396.9</v>
      </c>
      <c r="AR99" s="20">
        <f t="shared" si="2704"/>
        <v>4323.6000000000004</v>
      </c>
      <c r="AS99" s="20">
        <f t="shared" si="2704"/>
        <v>6604.2</v>
      </c>
      <c r="AT99" s="20">
        <f t="shared" si="2704"/>
        <v>7066.6</v>
      </c>
      <c r="AU99" s="20">
        <f t="shared" si="2704"/>
        <v>7351.1</v>
      </c>
      <c r="AV99" s="20">
        <f t="shared" si="2704"/>
        <v>6220.15</v>
      </c>
      <c r="AW99" s="20">
        <f t="shared" si="2704"/>
        <v>11118.15</v>
      </c>
      <c r="AX99" s="20">
        <f t="shared" si="2704"/>
        <v>8387.1</v>
      </c>
      <c r="AY99" s="20">
        <f t="shared" si="2704"/>
        <v>8618.75</v>
      </c>
      <c r="AZ99" s="20">
        <f t="shared" si="2704"/>
        <v>6771.5</v>
      </c>
      <c r="BA99" s="20">
        <f t="shared" ref="BA99:BR99" si="2705">SUM(BA97:BA98)</f>
        <v>8935.9500000000007</v>
      </c>
      <c r="BB99" s="20">
        <f t="shared" si="2705"/>
        <v>8150.45</v>
      </c>
      <c r="BC99" s="20">
        <f t="shared" si="2705"/>
        <v>7606.8</v>
      </c>
      <c r="BD99" s="20">
        <f t="shared" si="2705"/>
        <v>7703.35</v>
      </c>
      <c r="BE99" s="20">
        <f t="shared" si="2705"/>
        <v>6773.65</v>
      </c>
      <c r="BF99" s="20">
        <f t="shared" si="2705"/>
        <v>7131.55</v>
      </c>
      <c r="BG99" s="20">
        <f t="shared" si="2705"/>
        <v>8706.2000000000007</v>
      </c>
      <c r="BH99" s="20">
        <f t="shared" si="2705"/>
        <v>7976.15</v>
      </c>
      <c r="BI99" s="20">
        <f t="shared" si="2705"/>
        <v>7230.65</v>
      </c>
      <c r="BJ99" s="20">
        <f t="shared" si="2705"/>
        <v>8379.7999999999993</v>
      </c>
      <c r="BK99" s="20">
        <f t="shared" si="2705"/>
        <v>6865.1</v>
      </c>
      <c r="BL99" s="20">
        <f t="shared" si="2705"/>
        <v>9527.75</v>
      </c>
      <c r="BM99" s="20">
        <f t="shared" si="2705"/>
        <v>8943.6</v>
      </c>
      <c r="BN99" s="20">
        <f t="shared" si="2705"/>
        <v>7331.25</v>
      </c>
      <c r="BO99" s="20">
        <f t="shared" si="2705"/>
        <v>7639.15</v>
      </c>
      <c r="BP99" s="20">
        <f t="shared" si="2705"/>
        <v>6685.15</v>
      </c>
      <c r="BQ99" s="20">
        <f t="shared" si="2705"/>
        <v>10050.299999999999</v>
      </c>
      <c r="BR99" s="20">
        <f t="shared" si="2705"/>
        <v>8625.0499999999993</v>
      </c>
      <c r="BS99" s="20">
        <f t="shared" ref="BS99:BW99" si="2706">SUM(BS97:BS98)</f>
        <v>11422.25</v>
      </c>
      <c r="BT99" s="20">
        <f t="shared" si="2706"/>
        <v>9981.65</v>
      </c>
      <c r="BU99" s="20">
        <f t="shared" si="2706"/>
        <v>11471.4</v>
      </c>
      <c r="BV99" s="20">
        <f t="shared" si="2706"/>
        <v>11597.65</v>
      </c>
      <c r="BW99" s="20">
        <f t="shared" si="2706"/>
        <v>14964.3</v>
      </c>
      <c r="BX99" s="20">
        <f t="shared" ref="BX99:CN99" si="2707">SUM(BX97:BX98)</f>
        <v>28827.8</v>
      </c>
      <c r="BY99" s="20">
        <f t="shared" si="2707"/>
        <v>16684.45</v>
      </c>
      <c r="BZ99" s="20">
        <f t="shared" si="2707"/>
        <v>9369.2000000000007</v>
      </c>
      <c r="CA99" s="20">
        <f t="shared" si="2707"/>
        <v>8079.3</v>
      </c>
      <c r="CB99" s="20">
        <f t="shared" si="2707"/>
        <v>7664.8</v>
      </c>
      <c r="CC99" s="20">
        <f t="shared" si="2707"/>
        <v>8678.2999999999993</v>
      </c>
      <c r="CD99" s="20">
        <f t="shared" si="2707"/>
        <v>9869.34</v>
      </c>
      <c r="CE99" s="20">
        <f t="shared" si="2707"/>
        <v>9997.75</v>
      </c>
      <c r="CF99" s="20">
        <f t="shared" si="2707"/>
        <v>11461.2</v>
      </c>
      <c r="CG99" s="20">
        <f t="shared" si="2707"/>
        <v>8383.7999999999993</v>
      </c>
      <c r="CH99" s="20">
        <f t="shared" si="2707"/>
        <v>8998.5</v>
      </c>
      <c r="CI99" s="20">
        <f t="shared" si="2707"/>
        <v>10113.75</v>
      </c>
      <c r="CJ99" s="20">
        <f t="shared" si="2707"/>
        <v>11193.5</v>
      </c>
      <c r="CK99" s="20">
        <f t="shared" si="2707"/>
        <v>9968.35</v>
      </c>
      <c r="CL99" s="20">
        <f t="shared" si="2707"/>
        <v>15899.8</v>
      </c>
      <c r="CM99" s="20">
        <f t="shared" si="2707"/>
        <v>11295.3</v>
      </c>
      <c r="CN99" s="20">
        <f t="shared" si="2707"/>
        <v>10469.200000000001</v>
      </c>
      <c r="CO99" s="20">
        <f t="shared" ref="CO99:CS99" si="2708">SUM(CO97:CO98)</f>
        <v>9214.85</v>
      </c>
      <c r="CP99" s="20">
        <f t="shared" si="2708"/>
        <v>10251.1</v>
      </c>
      <c r="CQ99" s="20">
        <f t="shared" si="2708"/>
        <v>14022.2</v>
      </c>
      <c r="CR99" s="20">
        <f t="shared" si="2708"/>
        <v>9479.4</v>
      </c>
      <c r="CS99" s="20">
        <f t="shared" si="2708"/>
        <v>9969.6</v>
      </c>
      <c r="CT99" s="20">
        <f t="shared" ref="CT99:CZ99" si="2709">SUM(CT97:CT98)</f>
        <v>10781.6</v>
      </c>
      <c r="CU99" s="20">
        <f t="shared" si="2709"/>
        <v>9940.4</v>
      </c>
      <c r="CV99" s="20">
        <f t="shared" si="2709"/>
        <v>9042.7999999999993</v>
      </c>
      <c r="CW99" s="20">
        <f t="shared" si="2709"/>
        <v>14731.3</v>
      </c>
      <c r="CX99" s="20">
        <f t="shared" si="2709"/>
        <v>12742.6</v>
      </c>
      <c r="CY99" s="20">
        <f t="shared" si="2709"/>
        <v>15108.1</v>
      </c>
      <c r="CZ99" s="20">
        <f t="shared" si="2709"/>
        <v>13168.9</v>
      </c>
      <c r="DA99" s="20">
        <f t="shared" ref="DA99:DB99" si="2710">SUM(DA97:DA98)</f>
        <v>17500.650000000001</v>
      </c>
      <c r="DB99" s="20">
        <f t="shared" si="2710"/>
        <v>5208.7</v>
      </c>
      <c r="DC99" s="20">
        <f t="shared" ref="DC99:DD99" si="2711">SUM(DC97:DC98)</f>
        <v>8365.7000000000007</v>
      </c>
      <c r="DD99" s="20">
        <f t="shared" si="2711"/>
        <v>9581.4500000000007</v>
      </c>
      <c r="DE99" s="20">
        <f t="shared" ref="DE99:DF99" si="2712">SUM(DE97:DE98)</f>
        <v>8952.35</v>
      </c>
      <c r="DF99" s="20">
        <f t="shared" si="2712"/>
        <v>9793.4</v>
      </c>
      <c r="DG99" s="20">
        <f t="shared" ref="DG99:DH99" si="2713">SUM(DG97:DG98)</f>
        <v>11308.9</v>
      </c>
      <c r="DH99" s="20">
        <f t="shared" si="2713"/>
        <v>8927.15</v>
      </c>
      <c r="DI99" s="20">
        <f t="shared" ref="DI99:DJ99" si="2714">SUM(DI97:DI98)</f>
        <v>9985.5</v>
      </c>
      <c r="DJ99" s="20">
        <f t="shared" si="2714"/>
        <v>8931.35</v>
      </c>
      <c r="DK99" s="20">
        <f t="shared" ref="DK99:DL99" si="2715">SUM(DK97:DK98)</f>
        <v>9627.5</v>
      </c>
      <c r="DL99" s="20">
        <f t="shared" si="2715"/>
        <v>10244</v>
      </c>
      <c r="DM99" s="20">
        <f t="shared" ref="DM99:DN99" si="2716">SUM(DM97:DM98)</f>
        <v>10324.25</v>
      </c>
      <c r="DN99" s="20">
        <f t="shared" si="2716"/>
        <v>10117.299999999999</v>
      </c>
      <c r="DO99" s="20">
        <f t="shared" ref="DO99:DP99" si="2717">SUM(DO97:DO98)</f>
        <v>8180.45</v>
      </c>
      <c r="DP99" s="20">
        <f t="shared" si="2717"/>
        <v>10102.15</v>
      </c>
      <c r="DQ99" s="20">
        <f t="shared" ref="DQ99" si="2718">SUM(DQ97:DQ98)</f>
        <v>11194.55</v>
      </c>
      <c r="DR99" s="20">
        <f t="shared" ref="DR99:DW99" si="2719">SUM(DR97:DR98)</f>
        <v>10661.4</v>
      </c>
      <c r="DS99" s="20">
        <f t="shared" si="2719"/>
        <v>9959.7999999999993</v>
      </c>
      <c r="DT99" s="20">
        <f t="shared" si="2719"/>
        <v>11595.85</v>
      </c>
      <c r="DU99" s="20">
        <f t="shared" si="2719"/>
        <v>10832.35</v>
      </c>
      <c r="DV99" s="20">
        <f t="shared" si="2719"/>
        <v>14968.45</v>
      </c>
      <c r="DW99" s="20">
        <f t="shared" si="2719"/>
        <v>15266.9</v>
      </c>
      <c r="DX99" s="20">
        <f t="shared" ref="DX99:DY99" si="2720">SUM(DX97:DX98)</f>
        <v>22152.6</v>
      </c>
      <c r="DY99" s="20">
        <f t="shared" si="2720"/>
        <v>28424.5</v>
      </c>
      <c r="DZ99" s="20">
        <f t="shared" ref="DZ99:EA99" si="2721">SUM(DZ97:DZ98)</f>
        <v>12667.5</v>
      </c>
      <c r="EA99" s="20">
        <f t="shared" si="2721"/>
        <v>9838</v>
      </c>
      <c r="EB99" s="20">
        <f t="shared" ref="EB99:EC99" si="2722">SUM(EB97:EB98)</f>
        <v>8823.25</v>
      </c>
      <c r="EC99" s="20">
        <f t="shared" si="2722"/>
        <v>10090.049999999999</v>
      </c>
      <c r="ED99" s="20">
        <f t="shared" ref="ED99:EE99" si="2723">SUM(ED97:ED98)</f>
        <v>13344.5</v>
      </c>
      <c r="EE99" s="20">
        <f t="shared" si="2723"/>
        <v>11924.7</v>
      </c>
      <c r="EF99" s="20">
        <f t="shared" ref="EF99:EG99" si="2724">SUM(EF97:EF98)</f>
        <v>9383.9</v>
      </c>
      <c r="EG99" s="20">
        <f t="shared" si="2724"/>
        <v>11150.95</v>
      </c>
      <c r="EH99" s="20">
        <f t="shared" ref="EH99:EI99" si="2725">SUM(EH97:EH98)</f>
        <v>10831.5</v>
      </c>
      <c r="EI99" s="20">
        <f t="shared" si="2725"/>
        <v>10843.1</v>
      </c>
      <c r="EJ99" s="20">
        <f t="shared" ref="EJ99:EK99" si="2726">SUM(EJ97:EJ98)</f>
        <v>12932.75</v>
      </c>
      <c r="EK99" s="20">
        <f t="shared" si="2726"/>
        <v>12373.55</v>
      </c>
      <c r="EL99" s="20">
        <f t="shared" ref="EL99:EM99" si="2727">SUM(EL97:EL98)</f>
        <v>11494.05</v>
      </c>
      <c r="EM99" s="20">
        <f t="shared" si="2727"/>
        <v>10771.25</v>
      </c>
      <c r="EN99" s="20">
        <f t="shared" ref="EN99:EO99" si="2728">SUM(EN97:EN98)</f>
        <v>10100.65</v>
      </c>
      <c r="EO99" s="20">
        <f t="shared" si="2728"/>
        <v>16141.1</v>
      </c>
      <c r="EP99" s="20">
        <f t="shared" ref="EP99:EQ99" si="2729">SUM(EP97:EP98)</f>
        <v>11244.55</v>
      </c>
      <c r="EQ99" s="20">
        <f t="shared" si="2729"/>
        <v>12313.45</v>
      </c>
      <c r="ER99" s="20">
        <f t="shared" ref="ER99:ES99" si="2730">SUM(ER97:ER98)</f>
        <v>11314.3</v>
      </c>
      <c r="ES99" s="20">
        <f t="shared" si="2730"/>
        <v>11741.2</v>
      </c>
      <c r="ET99" s="20">
        <f t="shared" ref="ET99:EU99" si="2731">SUM(ET97:ET98)</f>
        <v>10597.4</v>
      </c>
      <c r="EU99" s="20">
        <f t="shared" si="2731"/>
        <v>12896.4</v>
      </c>
      <c r="EV99" s="20">
        <f t="shared" ref="EV99:EW99" si="2732">SUM(EV97:EV98)</f>
        <v>10998.2</v>
      </c>
      <c r="EW99" s="20">
        <f t="shared" si="2732"/>
        <v>11489.25</v>
      </c>
      <c r="EX99" s="20">
        <f t="shared" ref="EX99:EY99" si="2733">SUM(EX97:EX98)</f>
        <v>10687.45</v>
      </c>
      <c r="EY99" s="20">
        <f t="shared" si="2733"/>
        <v>8500.0499999999993</v>
      </c>
      <c r="EZ99" s="20">
        <f t="shared" ref="EZ99:FA99" si="2734">SUM(EZ97:EZ98)</f>
        <v>8403.8000000000011</v>
      </c>
      <c r="FA99" s="20">
        <f t="shared" si="2734"/>
        <v>9486.1</v>
      </c>
      <c r="FB99" s="20">
        <f t="shared" ref="FB99" si="2735">SUM(FB97:FB98)</f>
        <v>9257.7000000000007</v>
      </c>
      <c r="FC99" s="20">
        <f t="shared" ref="FC99:FH99" si="2736">SUM(FC97:FC98)</f>
        <v>11731.6</v>
      </c>
      <c r="FD99" s="20">
        <f t="shared" si="2736"/>
        <v>10500.95</v>
      </c>
      <c r="FE99" s="20">
        <f t="shared" si="2736"/>
        <v>9490.4499999999989</v>
      </c>
      <c r="FF99" s="20">
        <f t="shared" si="2736"/>
        <v>8734.6</v>
      </c>
      <c r="FG99" s="20">
        <f t="shared" si="2736"/>
        <v>10873.95</v>
      </c>
      <c r="FH99" s="20">
        <f t="shared" si="2736"/>
        <v>10871.15</v>
      </c>
      <c r="FI99" s="20">
        <f t="shared" ref="FI99:FJ99" si="2737">SUM(FI97:FI98)</f>
        <v>10170.650000000001</v>
      </c>
      <c r="FJ99" s="20">
        <f t="shared" si="2737"/>
        <v>11785.55</v>
      </c>
      <c r="FK99" s="20">
        <f t="shared" ref="FK99:FL99" si="2738">SUM(FK97:FK98)</f>
        <v>10769.3</v>
      </c>
      <c r="FL99" s="20">
        <f t="shared" si="2738"/>
        <v>9372.5499999999993</v>
      </c>
      <c r="FM99" s="20">
        <f t="shared" ref="FM99:FO99" si="2739">SUM(FM97:FM98)</f>
        <v>10280.85</v>
      </c>
      <c r="FN99" s="20">
        <f t="shared" si="2739"/>
        <v>9048.9500000000007</v>
      </c>
      <c r="FO99" s="20">
        <f t="shared" si="2739"/>
        <v>8642.35</v>
      </c>
      <c r="FP99" s="20">
        <f>10784.6+195.6</f>
        <v>10980.2</v>
      </c>
      <c r="FQ99" s="20">
        <f>13059.9+118.2</f>
        <v>13178.1</v>
      </c>
      <c r="FR99" s="20">
        <f>11139.4+121</f>
        <v>11260.4</v>
      </c>
      <c r="FS99" s="20">
        <f>11131.75+126.1</f>
        <v>11257.85</v>
      </c>
      <c r="FT99" s="20">
        <f>11161.45+94.6</f>
        <v>11256.050000000001</v>
      </c>
      <c r="FU99" s="20">
        <f>9910.05+134.9</f>
        <v>10044.949999999999</v>
      </c>
      <c r="FV99" s="20">
        <f>12206.15+174.4</f>
        <v>12380.55</v>
      </c>
      <c r="FW99" s="20">
        <f>13537.1+144.3</f>
        <v>13681.4</v>
      </c>
      <c r="FX99" s="20">
        <f>24161.95+186.2</f>
        <v>24348.15</v>
      </c>
      <c r="FY99" s="20">
        <f>31020.2+230.3</f>
        <v>31250.5</v>
      </c>
      <c r="FZ99" s="20">
        <f>14949.8+116.7</f>
        <v>15066.5</v>
      </c>
      <c r="GA99" s="20">
        <f>13402.25+85.4</f>
        <v>13487.65</v>
      </c>
      <c r="GB99" s="20">
        <f>14502.9+123.9</f>
        <v>14626.8</v>
      </c>
      <c r="GC99" s="20">
        <f>14619.9+113.3</f>
        <v>14733.199999999999</v>
      </c>
      <c r="GD99" s="20">
        <f>14777.45+163.4</f>
        <v>14940.85</v>
      </c>
      <c r="GE99" s="20">
        <f>15604.8+114.3</f>
        <v>15719.099999999999</v>
      </c>
      <c r="GF99" s="20">
        <f>12804.9+122.3</f>
        <v>12927.199999999999</v>
      </c>
      <c r="GG99" s="20">
        <f>10964.8+129.8</f>
        <v>11094.599999999999</v>
      </c>
      <c r="GH99" s="20">
        <f>9570.85+147.4</f>
        <v>9718.25</v>
      </c>
      <c r="GI99" s="20">
        <f>8488.16+163.3</f>
        <v>8651.4599999999991</v>
      </c>
      <c r="GJ99" s="20">
        <f>124.6+9964.7</f>
        <v>10089.300000000001</v>
      </c>
      <c r="GK99" s="20">
        <f>8124.5+140.3</f>
        <v>8264.7999999999993</v>
      </c>
      <c r="GL99" s="20">
        <f>9830.2+165.6</f>
        <v>9995.8000000000011</v>
      </c>
      <c r="GM99" s="20">
        <f>19496.25+238.7</f>
        <v>19734.95</v>
      </c>
      <c r="GN99" s="20">
        <f>10744.6+158.8</f>
        <v>10903.4</v>
      </c>
      <c r="GO99" s="20">
        <f>126.4+9858.1</f>
        <v>9984.5</v>
      </c>
      <c r="GP99" s="20">
        <f>9495.85+262.1</f>
        <v>9757.9500000000007</v>
      </c>
      <c r="GQ99" s="20">
        <f>12986.4+159.1</f>
        <v>13145.5</v>
      </c>
      <c r="GR99" s="150">
        <f>9614.75+272.2</f>
        <v>9886.9500000000007</v>
      </c>
      <c r="GS99" s="154">
        <f>EQ99</f>
        <v>12313.45</v>
      </c>
      <c r="GT99" s="10" t="str">
        <f>B97</f>
        <v>FIVE BELLS</v>
      </c>
      <c r="GU99" s="92" t="s">
        <v>369</v>
      </c>
      <c r="GV99" s="93"/>
      <c r="GW99" s="56">
        <f>AVERAGE(ES99:GR99)</f>
        <v>11898.026153846153</v>
      </c>
      <c r="GX99" s="56">
        <f>AVERAGE(FS99:GR99)</f>
        <v>13344.161923076927</v>
      </c>
      <c r="GY99" s="56">
        <f>AVERAGE(GF99:GR99)</f>
        <v>11088.82</v>
      </c>
      <c r="GZ99" s="56">
        <f>AVERAGE(GN99:GR99)</f>
        <v>10735.66</v>
      </c>
      <c r="HA99" s="56">
        <f>MAX(D99:GR99)</f>
        <v>31250.5</v>
      </c>
    </row>
    <row r="100" spans="1:209" s="2" customFormat="1" ht="15" customHeight="1" x14ac:dyDescent="0.3">
      <c r="A100" s="171"/>
      <c r="B100" s="35" t="s">
        <v>365</v>
      </c>
      <c r="C100" s="36"/>
      <c r="D100" s="36"/>
      <c r="E100" s="36">
        <f>SUM(E99-D99)</f>
        <v>502.85000000000036</v>
      </c>
      <c r="F100" s="21">
        <f t="shared" ref="F100:AN100" si="2740">SUM(F99-E99)</f>
        <v>820.80000000000018</v>
      </c>
      <c r="G100" s="21">
        <f t="shared" si="2740"/>
        <v>1289.6499999999996</v>
      </c>
      <c r="H100" s="21">
        <f t="shared" si="2740"/>
        <v>560.90000000000055</v>
      </c>
      <c r="I100" s="21">
        <f t="shared" si="2740"/>
        <v>-2217.4000000000005</v>
      </c>
      <c r="J100" s="21">
        <f t="shared" si="2740"/>
        <v>1136.8500000000004</v>
      </c>
      <c r="K100" s="21">
        <f t="shared" si="2740"/>
        <v>-1521.5</v>
      </c>
      <c r="L100" s="21">
        <f t="shared" si="2740"/>
        <v>1612.0500000000002</v>
      </c>
      <c r="M100" s="21">
        <f t="shared" si="2740"/>
        <v>-94.150000000000546</v>
      </c>
      <c r="N100" s="21">
        <f t="shared" si="2740"/>
        <v>651.10000000000036</v>
      </c>
      <c r="O100" s="21">
        <f t="shared" si="2740"/>
        <v>-1475.1000000000004</v>
      </c>
      <c r="P100" s="21">
        <f t="shared" si="2740"/>
        <v>3059.7500000000009</v>
      </c>
      <c r="Q100" s="21">
        <f t="shared" si="2740"/>
        <v>-3007.4000000000005</v>
      </c>
      <c r="R100" s="21">
        <f t="shared" si="2740"/>
        <v>1213.4499999999998</v>
      </c>
      <c r="S100" s="21">
        <f t="shared" si="2740"/>
        <v>-712.39999999999964</v>
      </c>
      <c r="T100" s="21">
        <f t="shared" si="2740"/>
        <v>-318.95000000000073</v>
      </c>
      <c r="U100" s="21">
        <f t="shared" si="2740"/>
        <v>4293.1499999999996</v>
      </c>
      <c r="V100" s="21">
        <f t="shared" si="2740"/>
        <v>-2738.8499999999995</v>
      </c>
      <c r="W100" s="21">
        <f t="shared" si="2740"/>
        <v>2852.8499999999995</v>
      </c>
      <c r="X100" s="21">
        <f t="shared" si="2740"/>
        <v>11431.400000000001</v>
      </c>
      <c r="Y100" s="21">
        <f t="shared" si="2740"/>
        <v>-7080.8000000000011</v>
      </c>
      <c r="Z100" s="21">
        <f t="shared" si="2740"/>
        <v>-8135.3499999999995</v>
      </c>
      <c r="AA100" s="21">
        <f t="shared" si="2740"/>
        <v>1293.5999999999995</v>
      </c>
      <c r="AB100" s="21">
        <f t="shared" si="2740"/>
        <v>-32.25</v>
      </c>
      <c r="AC100" s="21">
        <f t="shared" si="2740"/>
        <v>-431.09999999999945</v>
      </c>
      <c r="AD100" s="21">
        <f t="shared" si="2740"/>
        <v>2747.4999999999991</v>
      </c>
      <c r="AE100" s="21">
        <f t="shared" si="2740"/>
        <v>-41.149999999999636</v>
      </c>
      <c r="AF100" s="21">
        <f t="shared" si="2740"/>
        <v>-1366.1499999999996</v>
      </c>
      <c r="AG100" s="21">
        <f t="shared" si="2740"/>
        <v>823.14999999999964</v>
      </c>
      <c r="AH100" s="21">
        <f t="shared" si="2740"/>
        <v>-258.54999999999927</v>
      </c>
      <c r="AI100" s="21">
        <f t="shared" si="2740"/>
        <v>3831.9499999999989</v>
      </c>
      <c r="AJ100" s="21">
        <f t="shared" si="2740"/>
        <v>-3492.1499999999996</v>
      </c>
      <c r="AK100" s="21">
        <f t="shared" si="2740"/>
        <v>358.89999999999964</v>
      </c>
      <c r="AL100" s="21">
        <f t="shared" si="2740"/>
        <v>3047.9000000000015</v>
      </c>
      <c r="AM100" s="21">
        <f t="shared" si="2740"/>
        <v>4064.8499999999985</v>
      </c>
      <c r="AN100" s="21">
        <f t="shared" si="2740"/>
        <v>-6458.1999999999989</v>
      </c>
      <c r="AO100" s="21">
        <f t="shared" ref="AO100:BA100" si="2741">SUM(AO99-AN99)</f>
        <v>482.75</v>
      </c>
      <c r="AP100" s="21">
        <f t="shared" si="2741"/>
        <v>3645.1000000000004</v>
      </c>
      <c r="AQ100" s="21">
        <f t="shared" si="2741"/>
        <v>-4030.8000000000011</v>
      </c>
      <c r="AR100" s="21">
        <f t="shared" si="2741"/>
        <v>-7073.2999999999993</v>
      </c>
      <c r="AS100" s="21">
        <f t="shared" si="2741"/>
        <v>2280.5999999999995</v>
      </c>
      <c r="AT100" s="21">
        <f t="shared" si="2741"/>
        <v>462.40000000000055</v>
      </c>
      <c r="AU100" s="21">
        <f t="shared" si="2741"/>
        <v>284.5</v>
      </c>
      <c r="AV100" s="21">
        <f t="shared" si="2741"/>
        <v>-1130.9500000000007</v>
      </c>
      <c r="AW100" s="21">
        <f t="shared" si="2741"/>
        <v>4898</v>
      </c>
      <c r="AX100" s="21">
        <f t="shared" si="2741"/>
        <v>-2731.0499999999993</v>
      </c>
      <c r="AY100" s="21">
        <f t="shared" si="2741"/>
        <v>231.64999999999964</v>
      </c>
      <c r="AZ100" s="21">
        <f t="shared" si="2741"/>
        <v>-1847.25</v>
      </c>
      <c r="BA100" s="21">
        <f t="shared" si="2741"/>
        <v>2164.4500000000007</v>
      </c>
      <c r="BB100" s="21">
        <f>SUM(BB99-BA99)</f>
        <v>-785.50000000000091</v>
      </c>
      <c r="BC100" s="21">
        <f t="shared" ref="BC100:CO100" si="2742">SUM(BC99-BB99)</f>
        <v>-543.64999999999964</v>
      </c>
      <c r="BD100" s="21">
        <f t="shared" si="2742"/>
        <v>96.550000000000182</v>
      </c>
      <c r="BE100" s="21">
        <f t="shared" si="2742"/>
        <v>-929.70000000000073</v>
      </c>
      <c r="BF100" s="21">
        <f t="shared" si="2742"/>
        <v>357.90000000000055</v>
      </c>
      <c r="BG100" s="21">
        <f t="shared" si="2742"/>
        <v>1574.6500000000005</v>
      </c>
      <c r="BH100" s="21">
        <f t="shared" si="2742"/>
        <v>-730.05000000000109</v>
      </c>
      <c r="BI100" s="21">
        <f t="shared" si="2742"/>
        <v>-745.5</v>
      </c>
      <c r="BJ100" s="21">
        <f t="shared" si="2742"/>
        <v>1149.1499999999996</v>
      </c>
      <c r="BK100" s="21">
        <f t="shared" si="2742"/>
        <v>-1514.6999999999989</v>
      </c>
      <c r="BL100" s="21">
        <f t="shared" si="2742"/>
        <v>2662.6499999999996</v>
      </c>
      <c r="BM100" s="21">
        <f t="shared" si="2742"/>
        <v>-584.14999999999964</v>
      </c>
      <c r="BN100" s="21">
        <f t="shared" si="2742"/>
        <v>-1612.3500000000004</v>
      </c>
      <c r="BO100" s="21">
        <f t="shared" si="2742"/>
        <v>307.89999999999964</v>
      </c>
      <c r="BP100" s="21">
        <f t="shared" si="2742"/>
        <v>-954</v>
      </c>
      <c r="BQ100" s="21">
        <f t="shared" si="2742"/>
        <v>3365.1499999999996</v>
      </c>
      <c r="BR100" s="21">
        <f t="shared" si="2742"/>
        <v>-1425.25</v>
      </c>
      <c r="BS100" s="21">
        <f t="shared" si="2742"/>
        <v>2797.2000000000007</v>
      </c>
      <c r="BT100" s="21">
        <f t="shared" si="2742"/>
        <v>-1440.6000000000004</v>
      </c>
      <c r="BU100" s="21">
        <f t="shared" si="2742"/>
        <v>1489.75</v>
      </c>
      <c r="BV100" s="21">
        <f t="shared" si="2742"/>
        <v>126.25</v>
      </c>
      <c r="BW100" s="21">
        <f t="shared" si="2742"/>
        <v>3366.6499999999996</v>
      </c>
      <c r="BX100" s="21">
        <f t="shared" si="2742"/>
        <v>13863.5</v>
      </c>
      <c r="BY100" s="21">
        <f t="shared" si="2742"/>
        <v>-12143.349999999999</v>
      </c>
      <c r="BZ100" s="21">
        <f t="shared" si="2742"/>
        <v>-7315.25</v>
      </c>
      <c r="CA100" s="21">
        <f t="shared" si="2742"/>
        <v>-1289.9000000000005</v>
      </c>
      <c r="CB100" s="21">
        <f t="shared" si="2742"/>
        <v>-414.5</v>
      </c>
      <c r="CC100" s="21">
        <f t="shared" si="2742"/>
        <v>1013.4999999999991</v>
      </c>
      <c r="CD100" s="21">
        <f t="shared" si="2742"/>
        <v>1191.0400000000009</v>
      </c>
      <c r="CE100" s="21">
        <f t="shared" si="2742"/>
        <v>128.40999999999985</v>
      </c>
      <c r="CF100" s="21">
        <f t="shared" si="2742"/>
        <v>1463.4500000000007</v>
      </c>
      <c r="CG100" s="21">
        <f t="shared" si="2742"/>
        <v>-3077.4000000000015</v>
      </c>
      <c r="CH100" s="21">
        <f t="shared" si="2742"/>
        <v>614.70000000000073</v>
      </c>
      <c r="CI100" s="21">
        <f t="shared" si="2742"/>
        <v>1115.25</v>
      </c>
      <c r="CJ100" s="21">
        <f t="shared" si="2742"/>
        <v>1079.75</v>
      </c>
      <c r="CK100" s="21">
        <f t="shared" si="2742"/>
        <v>-1225.1499999999996</v>
      </c>
      <c r="CL100" s="21">
        <f t="shared" si="2742"/>
        <v>5931.4499999999989</v>
      </c>
      <c r="CM100" s="21">
        <f t="shared" si="2742"/>
        <v>-4604.5</v>
      </c>
      <c r="CN100" s="21">
        <f t="shared" si="2742"/>
        <v>-826.09999999999854</v>
      </c>
      <c r="CO100" s="21">
        <f t="shared" si="2742"/>
        <v>-1254.3500000000004</v>
      </c>
      <c r="CP100" s="21">
        <f t="shared" ref="CP100:DN100" si="2743">SUM(CP99-CO99)</f>
        <v>1036.25</v>
      </c>
      <c r="CQ100" s="21">
        <f t="shared" si="2743"/>
        <v>3771.1000000000004</v>
      </c>
      <c r="CR100" s="21">
        <f t="shared" si="2743"/>
        <v>-4542.8000000000011</v>
      </c>
      <c r="CS100" s="21">
        <f t="shared" si="2743"/>
        <v>490.20000000000073</v>
      </c>
      <c r="CT100" s="21">
        <f t="shared" si="2743"/>
        <v>812</v>
      </c>
      <c r="CU100" s="21">
        <f t="shared" si="2743"/>
        <v>-841.20000000000073</v>
      </c>
      <c r="CV100" s="21">
        <f t="shared" si="2743"/>
        <v>-897.60000000000036</v>
      </c>
      <c r="CW100" s="21">
        <f t="shared" si="2743"/>
        <v>5688.5</v>
      </c>
      <c r="CX100" s="21">
        <f t="shared" si="2743"/>
        <v>-1988.6999999999989</v>
      </c>
      <c r="CY100" s="21">
        <f t="shared" si="2743"/>
        <v>2365.5</v>
      </c>
      <c r="CZ100" s="21">
        <f t="shared" si="2743"/>
        <v>-1939.2000000000007</v>
      </c>
      <c r="DA100" s="21">
        <f t="shared" si="2743"/>
        <v>4331.7500000000018</v>
      </c>
      <c r="DB100" s="21">
        <f t="shared" si="2743"/>
        <v>-12291.95</v>
      </c>
      <c r="DC100" s="21">
        <f t="shared" si="2743"/>
        <v>3157.0000000000009</v>
      </c>
      <c r="DD100" s="21">
        <f t="shared" si="2743"/>
        <v>1215.75</v>
      </c>
      <c r="DE100" s="21">
        <f t="shared" si="2743"/>
        <v>-629.10000000000036</v>
      </c>
      <c r="DF100" s="21">
        <f t="shared" si="2743"/>
        <v>841.04999999999927</v>
      </c>
      <c r="DG100" s="21">
        <f t="shared" si="2743"/>
        <v>1515.5</v>
      </c>
      <c r="DH100" s="21">
        <f t="shared" si="2743"/>
        <v>-2381.75</v>
      </c>
      <c r="DI100" s="21">
        <f t="shared" si="2743"/>
        <v>1058.3500000000004</v>
      </c>
      <c r="DJ100" s="21">
        <f t="shared" si="2743"/>
        <v>-1054.1499999999996</v>
      </c>
      <c r="DK100" s="21">
        <f t="shared" si="2743"/>
        <v>696.14999999999964</v>
      </c>
      <c r="DL100" s="21">
        <f t="shared" si="2743"/>
        <v>616.5</v>
      </c>
      <c r="DM100" s="21">
        <f t="shared" si="2743"/>
        <v>80.25</v>
      </c>
      <c r="DN100" s="21">
        <f t="shared" si="2743"/>
        <v>-206.95000000000073</v>
      </c>
      <c r="DO100" s="28">
        <f t="shared" ref="DO100" si="2744">SUM(DO99-DN99)/DN99</f>
        <v>-0.19143941565437414</v>
      </c>
      <c r="DP100" s="28">
        <f t="shared" ref="DP100" si="2745">SUM(DP99-DO99)/DO99</f>
        <v>0.234913727239944</v>
      </c>
      <c r="DQ100" s="28">
        <f t="shared" ref="DQ100" si="2746">SUM(DQ99-DP99)/DP99</f>
        <v>0.1081353969204575</v>
      </c>
      <c r="DR100" s="28">
        <f t="shared" ref="DR100" si="2747">SUM(DR99-DQ99)/DQ99</f>
        <v>-4.7625853652000276E-2</v>
      </c>
      <c r="DS100" s="28">
        <f t="shared" ref="DS100" si="2748">SUM(DS99-DR99)/DR99</f>
        <v>-6.5807492449396932E-2</v>
      </c>
      <c r="DT100" s="28">
        <f t="shared" ref="DT100" si="2749">SUM(DT99-DS99)/DS99</f>
        <v>0.16426534669370882</v>
      </c>
      <c r="DU100" s="28">
        <f t="shared" ref="DU100" si="2750">SUM(DU99-DT99)/DT99</f>
        <v>-6.5842521246825367E-2</v>
      </c>
      <c r="DV100" s="28">
        <f t="shared" ref="DV100" si="2751">SUM(DV99-DU99)/DU99</f>
        <v>0.38182850443347938</v>
      </c>
      <c r="DW100" s="28">
        <f t="shared" ref="DW100" si="2752">SUM(DW99-DV99)/DV99</f>
        <v>1.9938604197495324E-2</v>
      </c>
      <c r="DX100" s="28">
        <f t="shared" ref="DX100" si="2753">SUM(DX99-DW99)/DW99</f>
        <v>0.45102149093791138</v>
      </c>
      <c r="DY100" s="28">
        <f t="shared" ref="DY100" si="2754">SUM(DY99-DX99)/DX99</f>
        <v>0.28312252286413342</v>
      </c>
      <c r="DZ100" s="28">
        <f t="shared" ref="DZ100" si="2755">SUM(DZ99-DY99)/DY99</f>
        <v>-0.55434572287990991</v>
      </c>
      <c r="EA100" s="28">
        <f t="shared" ref="EA100" si="2756">SUM(EA99-DZ99)/DZ99</f>
        <v>-0.22336688375764752</v>
      </c>
      <c r="EB100" s="28">
        <f t="shared" ref="EB100" si="2757">SUM(EB99-EA99)/EA99</f>
        <v>-0.1031459646269567</v>
      </c>
      <c r="EC100" s="28">
        <f t="shared" ref="EC100" si="2758">SUM(EC99-EB99)/EB99</f>
        <v>0.14357521321508507</v>
      </c>
      <c r="ED100" s="28">
        <f t="shared" ref="ED100" si="2759">SUM(ED99-EC99)/EC99</f>
        <v>0.32254052259404076</v>
      </c>
      <c r="EE100" s="28">
        <f t="shared" ref="EE100" si="2760">SUM(EE99-ED99)/ED99</f>
        <v>-0.10639589343924458</v>
      </c>
      <c r="EF100" s="28">
        <f t="shared" ref="EF100" si="2761">SUM(EF99-EE99)/EE99</f>
        <v>-0.21307034977819156</v>
      </c>
      <c r="EG100" s="28">
        <f t="shared" ref="EG100" si="2762">SUM(EG99-EF99)/EF99</f>
        <v>0.18830656763179501</v>
      </c>
      <c r="EH100" s="28">
        <f t="shared" ref="EH100" si="2763">SUM(EH99-EG99)/EG99</f>
        <v>-2.8647783372717187E-2</v>
      </c>
      <c r="EI100" s="28">
        <f t="shared" ref="EI100" si="2764">SUM(EI99-EH99)/EH99</f>
        <v>1.0709504685408636E-3</v>
      </c>
      <c r="EJ100" s="28">
        <f t="shared" ref="EJ100" si="2765">SUM(EJ99-EI99)/EI99</f>
        <v>0.19271702741835817</v>
      </c>
      <c r="EK100" s="28">
        <f t="shared" ref="EK100" si="2766">SUM(EK99-EJ99)/EJ99</f>
        <v>-4.3239063617560129E-2</v>
      </c>
      <c r="EL100" s="28">
        <f t="shared" ref="EL100" si="2767">SUM(EL99-EK99)/EK99</f>
        <v>-7.1079035523354261E-2</v>
      </c>
      <c r="EM100" s="28">
        <f t="shared" ref="EM100" si="2768">SUM(EM99-EL99)/EL99</f>
        <v>-6.2884709915129941E-2</v>
      </c>
      <c r="EN100" s="28">
        <f t="shared" ref="EN100" si="2769">SUM(EN99-EM99)/EM99</f>
        <v>-6.2258326563769326E-2</v>
      </c>
      <c r="EO100" s="28">
        <f t="shared" ref="EO100" si="2770">SUM(EO99-EN99)/EN99</f>
        <v>0.59802586962225213</v>
      </c>
      <c r="EP100" s="28">
        <f t="shared" ref="EP100" si="2771">SUM(EP99-EO99)/EO99</f>
        <v>-0.30335912670140208</v>
      </c>
      <c r="EQ100" s="28">
        <f t="shared" ref="EQ100" si="2772">SUM(EQ99-EP99)/EP99</f>
        <v>9.5059384323961521E-2</v>
      </c>
      <c r="ER100" s="28">
        <f t="shared" ref="ER100" si="2773">SUM(ER99-EQ99)/EQ99</f>
        <v>-8.1142977800697721E-2</v>
      </c>
      <c r="ES100" s="28">
        <f t="shared" ref="ES100" si="2774">SUM(ES99-ER99)/ER99</f>
        <v>3.7731012965892853E-2</v>
      </c>
      <c r="ET100" s="28">
        <f t="shared" ref="ET100" si="2775">SUM(ET99-ES99)/ES99</f>
        <v>-9.7417640445610409E-2</v>
      </c>
      <c r="EU100" s="28">
        <f t="shared" ref="EU100" si="2776">SUM(EU99-ET99)/ET99</f>
        <v>0.2169400041519618</v>
      </c>
      <c r="EV100" s="28">
        <f t="shared" ref="EV100" si="2777">SUM(EV99-EU99)/EU99</f>
        <v>-0.1471883626438385</v>
      </c>
      <c r="EW100" s="28">
        <f t="shared" ref="EW100" si="2778">SUM(EW99-EV99)/EV99</f>
        <v>4.4648215162481061E-2</v>
      </c>
      <c r="EX100" s="28">
        <f t="shared" ref="EX100" si="2779">SUM(EX99-EW99)/EW99</f>
        <v>-6.9786974780773267E-2</v>
      </c>
      <c r="EY100" s="28">
        <f t="shared" ref="EY100" si="2780">SUM(EY99-EX99)/EX99</f>
        <v>-0.2046699633682498</v>
      </c>
      <c r="EZ100" s="28">
        <f t="shared" ref="EZ100" si="2781">SUM(EZ99-EY99)/EY99</f>
        <v>-1.1323462803159769E-2</v>
      </c>
      <c r="FA100" s="28">
        <f t="shared" ref="FA100" si="2782">SUM(FA99-EZ99)/EZ99</f>
        <v>0.12878697731978381</v>
      </c>
      <c r="FB100" s="28">
        <f t="shared" ref="FB100" si="2783">SUM(FB99-FA99)/FA99</f>
        <v>-2.4077334204783803E-2</v>
      </c>
      <c r="FC100" s="28">
        <f t="shared" ref="FC100" si="2784">SUM(FC99-FB99)/FB99</f>
        <v>0.2672262008922302</v>
      </c>
      <c r="FD100" s="28">
        <f t="shared" ref="FD100" si="2785">SUM(FD99-FC99)/FC99</f>
        <v>-0.10490043983770327</v>
      </c>
      <c r="FE100" s="28">
        <f t="shared" ref="FE100" si="2786">SUM(FE99-FD99)/FD99</f>
        <v>-9.6229388769587684E-2</v>
      </c>
      <c r="FF100" s="28">
        <f t="shared" ref="FF100" si="2787">SUM(FF99-FE99)/FE99</f>
        <v>-7.9643220289870198E-2</v>
      </c>
      <c r="FG100" s="28">
        <f t="shared" ref="FG100" si="2788">SUM(FG99-FF99)/FF99</f>
        <v>0.24492821651821495</v>
      </c>
      <c r="FH100" s="28">
        <f t="shared" ref="FH100" si="2789">SUM(FH99-FG99)/FG99</f>
        <v>-2.5749612606284665E-4</v>
      </c>
      <c r="FI100" s="28">
        <f t="shared" ref="FI100" si="2790">SUM(FI99-FH99)/FH99</f>
        <v>-6.4436605142969991E-2</v>
      </c>
      <c r="FJ100" s="28">
        <f t="shared" ref="FJ100" si="2791">SUM(FJ99-FI99)/FI99</f>
        <v>0.1587804122647026</v>
      </c>
      <c r="FK100" s="28">
        <f t="shared" ref="FK100" si="2792">SUM(FK99-FJ99)/FJ99</f>
        <v>-8.6228474699950375E-2</v>
      </c>
      <c r="FL100" s="28">
        <f t="shared" ref="FL100" si="2793">SUM(FL99-FK99)/FK99</f>
        <v>-0.12969738051683954</v>
      </c>
      <c r="FM100" s="28">
        <f t="shared" ref="FM100" si="2794">SUM(FM99-FL99)/FL99</f>
        <v>9.691065931896882E-2</v>
      </c>
      <c r="FN100" s="28">
        <f t="shared" ref="FN100:GK100" si="2795">SUM(FN99-FM99)/FM99</f>
        <v>-0.11982472266398203</v>
      </c>
      <c r="FO100" s="28">
        <f t="shared" si="2795"/>
        <v>-4.4933390061830412E-2</v>
      </c>
      <c r="FP100" s="28">
        <f t="shared" si="2795"/>
        <v>0.27051091427678819</v>
      </c>
      <c r="FQ100" s="28">
        <f t="shared" si="2795"/>
        <v>0.2001693958215697</v>
      </c>
      <c r="FR100" s="28">
        <f t="shared" si="2795"/>
        <v>-0.14552173682093783</v>
      </c>
      <c r="FS100" s="28">
        <f t="shared" si="2795"/>
        <v>-2.2645731945572736E-4</v>
      </c>
      <c r="FT100" s="28">
        <f t="shared" si="2795"/>
        <v>-1.5988843340418218E-4</v>
      </c>
      <c r="FU100" s="28">
        <f t="shared" si="2795"/>
        <v>-0.10759547088010465</v>
      </c>
      <c r="FV100" s="28">
        <f t="shared" si="2795"/>
        <v>0.23251484576827169</v>
      </c>
      <c r="FW100" s="28">
        <f t="shared" si="2795"/>
        <v>0.10507206868838626</v>
      </c>
      <c r="FX100" s="28">
        <f t="shared" si="2795"/>
        <v>0.77965339804405998</v>
      </c>
      <c r="FY100" s="28">
        <f t="shared" si="2795"/>
        <v>0.28348560362902309</v>
      </c>
      <c r="FZ100" s="28">
        <f t="shared" si="2795"/>
        <v>-0.51787971392457721</v>
      </c>
      <c r="GA100" s="28">
        <f t="shared" si="2795"/>
        <v>-0.10479208840805763</v>
      </c>
      <c r="GB100" s="28">
        <f t="shared" si="2795"/>
        <v>8.445874559319079E-2</v>
      </c>
      <c r="GC100" s="28">
        <f t="shared" si="2795"/>
        <v>7.2743183744906365E-3</v>
      </c>
      <c r="GD100" s="28">
        <f t="shared" si="2795"/>
        <v>1.409401895039784E-2</v>
      </c>
      <c r="GE100" s="28">
        <f t="shared" si="2795"/>
        <v>5.2088736584598477E-2</v>
      </c>
      <c r="GF100" s="28">
        <f t="shared" si="2795"/>
        <v>-0.17761194979356323</v>
      </c>
      <c r="GG100" s="28">
        <f t="shared" si="2795"/>
        <v>-0.14176310415248472</v>
      </c>
      <c r="GH100" s="28">
        <f t="shared" si="2795"/>
        <v>-0.12405584698862498</v>
      </c>
      <c r="GI100" s="28">
        <f t="shared" si="2795"/>
        <v>-0.1097718210583182</v>
      </c>
      <c r="GJ100" s="28">
        <f t="shared" si="2795"/>
        <v>0.16619622583933835</v>
      </c>
      <c r="GK100" s="28">
        <f t="shared" si="2795"/>
        <v>-0.18083514218032981</v>
      </c>
      <c r="GL100" s="28">
        <f t="shared" ref="GL100" si="2796">(GL99-GK99)/GK99</f>
        <v>0.20944245474784653</v>
      </c>
      <c r="GM100" s="28">
        <f t="shared" ref="GM100" si="2797">(GM99-GL99)/GL99</f>
        <v>0.97432421617079157</v>
      </c>
      <c r="GN100" s="28">
        <f t="shared" ref="GN100" si="2798">(GN99-GM99)/GM99</f>
        <v>-0.44750810110995975</v>
      </c>
      <c r="GO100" s="28">
        <f t="shared" ref="GO100:GR100" si="2799">(GO99-GN99)/GN99</f>
        <v>-8.4276464222169195E-2</v>
      </c>
      <c r="GP100" s="28">
        <f t="shared" si="2799"/>
        <v>-2.2690169763132782E-2</v>
      </c>
      <c r="GQ100" s="28">
        <f t="shared" si="2799"/>
        <v>0.34715795838265201</v>
      </c>
      <c r="GR100" s="165">
        <f t="shared" si="2799"/>
        <v>-0.24788330607432196</v>
      </c>
      <c r="GS100" s="161"/>
      <c r="GT100" s="11"/>
      <c r="GU100" s="166" t="s">
        <v>368</v>
      </c>
      <c r="GV100" s="167">
        <f>LABOUR!AG72</f>
        <v>0.14576790617935761</v>
      </c>
      <c r="GW100" s="58"/>
      <c r="GX100" s="58"/>
      <c r="GY100" s="58"/>
      <c r="GZ100" s="58"/>
      <c r="HA100" s="58"/>
    </row>
    <row r="101" spans="1:209" s="2" customFormat="1" ht="15" customHeight="1" x14ac:dyDescent="0.3">
      <c r="A101" s="171"/>
      <c r="B101" s="22" t="s">
        <v>91</v>
      </c>
      <c r="C101" s="23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>
        <f t="shared" ref="BD101" si="2800">D99</f>
        <v>5088.6499999999996</v>
      </c>
      <c r="BE101" s="25">
        <f t="shared" ref="BE101" si="2801">E99</f>
        <v>5591.5</v>
      </c>
      <c r="BF101" s="25">
        <f t="shared" ref="BF101" si="2802">F99</f>
        <v>6412.3</v>
      </c>
      <c r="BG101" s="25">
        <f t="shared" ref="BG101" si="2803">G99</f>
        <v>7701.95</v>
      </c>
      <c r="BH101" s="25">
        <f t="shared" ref="BH101" si="2804">H99</f>
        <v>8262.85</v>
      </c>
      <c r="BI101" s="25">
        <f t="shared" ref="BI101" si="2805">I99</f>
        <v>6045.45</v>
      </c>
      <c r="BJ101" s="25">
        <f t="shared" ref="BJ101" si="2806">J99</f>
        <v>7182.3</v>
      </c>
      <c r="BK101" s="25">
        <f t="shared" ref="BK101" si="2807">K99</f>
        <v>5660.8</v>
      </c>
      <c r="BL101" s="25">
        <f t="shared" ref="BL101" si="2808">L99</f>
        <v>7272.85</v>
      </c>
      <c r="BM101" s="25">
        <f t="shared" ref="BM101" si="2809">M99</f>
        <v>7178.7</v>
      </c>
      <c r="BN101" s="25">
        <f t="shared" ref="BN101" si="2810">N99</f>
        <v>7829.8</v>
      </c>
      <c r="BO101" s="25">
        <f t="shared" ref="BO101" si="2811">O99</f>
        <v>6354.7</v>
      </c>
      <c r="BP101" s="25">
        <f t="shared" ref="BP101" si="2812">P99</f>
        <v>9414.4500000000007</v>
      </c>
      <c r="BQ101" s="25">
        <f t="shared" ref="BQ101" si="2813">Q99</f>
        <v>6407.05</v>
      </c>
      <c r="BR101" s="25">
        <f t="shared" ref="BR101" si="2814">R99</f>
        <v>7620.5</v>
      </c>
      <c r="BS101" s="25">
        <f t="shared" ref="BS101" si="2815">S99</f>
        <v>6908.1</v>
      </c>
      <c r="BT101" s="25">
        <f t="shared" ref="BT101" si="2816">T99</f>
        <v>6589.15</v>
      </c>
      <c r="BU101" s="25">
        <f t="shared" ref="BU101" si="2817">U99</f>
        <v>10882.3</v>
      </c>
      <c r="BV101" s="25">
        <f t="shared" ref="BV101" si="2818">V99</f>
        <v>8143.45</v>
      </c>
      <c r="BW101" s="25">
        <f t="shared" ref="BW101" si="2819">W99</f>
        <v>10996.3</v>
      </c>
      <c r="BX101" s="25">
        <f t="shared" ref="BX101" si="2820">X99</f>
        <v>22427.7</v>
      </c>
      <c r="BY101" s="25">
        <f t="shared" ref="BY101" si="2821">Y99</f>
        <v>15346.9</v>
      </c>
      <c r="BZ101" s="25">
        <f t="shared" ref="BZ101" si="2822">Z99</f>
        <v>7211.55</v>
      </c>
      <c r="CA101" s="25">
        <f t="shared" ref="CA101" si="2823">AA99</f>
        <v>8505.15</v>
      </c>
      <c r="CB101" s="25">
        <f t="shared" ref="CB101" si="2824">AB99</f>
        <v>8472.9</v>
      </c>
      <c r="CC101" s="25">
        <f t="shared" ref="CC101" si="2825">AC99</f>
        <v>8041.8</v>
      </c>
      <c r="CD101" s="25">
        <f t="shared" ref="CD101" si="2826">AD99</f>
        <v>10789.3</v>
      </c>
      <c r="CE101" s="25">
        <f t="shared" ref="CE101" si="2827">AE99</f>
        <v>10748.15</v>
      </c>
      <c r="CF101" s="25">
        <f t="shared" ref="CF101" si="2828">AF99</f>
        <v>9382</v>
      </c>
      <c r="CG101" s="25">
        <f t="shared" ref="CG101" si="2829">AG99</f>
        <v>10205.15</v>
      </c>
      <c r="CH101" s="25">
        <f t="shared" ref="CH101" si="2830">AH99</f>
        <v>9946.6</v>
      </c>
      <c r="CI101" s="25">
        <f t="shared" ref="CI101" si="2831">AI99</f>
        <v>13778.55</v>
      </c>
      <c r="CJ101" s="25">
        <f t="shared" ref="CJ101" si="2832">AJ99</f>
        <v>10286.4</v>
      </c>
      <c r="CK101" s="25">
        <f t="shared" ref="CK101" si="2833">AK99</f>
        <v>10645.3</v>
      </c>
      <c r="CL101" s="25">
        <f t="shared" ref="CL101" si="2834">AL99</f>
        <v>13693.2</v>
      </c>
      <c r="CM101" s="25">
        <f t="shared" ref="CM101" si="2835">AM99</f>
        <v>17758.05</v>
      </c>
      <c r="CN101" s="25">
        <f t="shared" ref="CN101" si="2836">AN99</f>
        <v>11299.85</v>
      </c>
      <c r="CO101" s="25">
        <f t="shared" ref="CO101" si="2837">AO99</f>
        <v>11782.6</v>
      </c>
      <c r="CP101" s="25">
        <f t="shared" ref="CP101" si="2838">AP99</f>
        <v>15427.7</v>
      </c>
      <c r="CQ101" s="25">
        <f t="shared" ref="CQ101" si="2839">AQ99</f>
        <v>11396.9</v>
      </c>
      <c r="CR101" s="25">
        <f t="shared" ref="CR101" si="2840">AR99</f>
        <v>4323.6000000000004</v>
      </c>
      <c r="CS101" s="25">
        <f t="shared" ref="CS101" si="2841">AS99</f>
        <v>6604.2</v>
      </c>
      <c r="CT101" s="25">
        <f t="shared" ref="CT101" si="2842">AT99</f>
        <v>7066.6</v>
      </c>
      <c r="CU101" s="25">
        <f t="shared" ref="CU101" si="2843">AU99</f>
        <v>7351.1</v>
      </c>
      <c r="CV101" s="25">
        <f t="shared" ref="CV101" si="2844">AV99</f>
        <v>6220.15</v>
      </c>
      <c r="CW101" s="25">
        <f t="shared" ref="CW101" si="2845">AW99</f>
        <v>11118.15</v>
      </c>
      <c r="CX101" s="25">
        <f t="shared" ref="CX101" si="2846">AX99</f>
        <v>8387.1</v>
      </c>
      <c r="CY101" s="25">
        <f t="shared" ref="CY101" si="2847">AY99</f>
        <v>8618.75</v>
      </c>
      <c r="CZ101" s="25">
        <f t="shared" ref="CZ101" si="2848">AZ99</f>
        <v>6771.5</v>
      </c>
      <c r="DA101" s="25">
        <f t="shared" ref="DA101" si="2849">BA99</f>
        <v>8935.9500000000007</v>
      </c>
      <c r="DB101" s="25">
        <f t="shared" ref="DB101" si="2850">BB99</f>
        <v>8150.45</v>
      </c>
      <c r="DC101" s="25">
        <f t="shared" ref="DC101" si="2851">BC99</f>
        <v>7606.8</v>
      </c>
      <c r="DD101" s="25">
        <f t="shared" ref="DD101" si="2852">BD99</f>
        <v>7703.35</v>
      </c>
      <c r="DE101" s="25">
        <f t="shared" ref="DE101" si="2853">BE99</f>
        <v>6773.65</v>
      </c>
      <c r="DF101" s="25">
        <f t="shared" ref="DF101" si="2854">BF99</f>
        <v>7131.55</v>
      </c>
      <c r="DG101" s="25">
        <f t="shared" ref="DG101" si="2855">BG99</f>
        <v>8706.2000000000007</v>
      </c>
      <c r="DH101" s="25">
        <f t="shared" ref="DH101" si="2856">BH99</f>
        <v>7976.15</v>
      </c>
      <c r="DI101" s="25">
        <f t="shared" ref="DI101" si="2857">BI99</f>
        <v>7230.65</v>
      </c>
      <c r="DJ101" s="25">
        <f t="shared" ref="DJ101" si="2858">BJ99</f>
        <v>8379.7999999999993</v>
      </c>
      <c r="DK101" s="25">
        <f t="shared" ref="DK101" si="2859">BK99</f>
        <v>6865.1</v>
      </c>
      <c r="DL101" s="25">
        <f t="shared" ref="DL101" si="2860">BL99</f>
        <v>9527.75</v>
      </c>
      <c r="DM101" s="25">
        <f t="shared" ref="DM101" si="2861">BM99</f>
        <v>8943.6</v>
      </c>
      <c r="DN101" s="25">
        <f t="shared" ref="DN101" si="2862">BN99</f>
        <v>7331.25</v>
      </c>
      <c r="DO101" s="25">
        <f t="shared" ref="DO101" si="2863">BO99</f>
        <v>7639.15</v>
      </c>
      <c r="DP101" s="25">
        <f t="shared" ref="DP101" si="2864">BP99</f>
        <v>6685.15</v>
      </c>
      <c r="DQ101" s="25">
        <f t="shared" ref="DQ101" si="2865">BQ99</f>
        <v>10050.299999999999</v>
      </c>
      <c r="DR101" s="25">
        <f t="shared" ref="DR101" si="2866">BR99</f>
        <v>8625.0499999999993</v>
      </c>
      <c r="DS101" s="25">
        <f t="shared" ref="DS101" si="2867">BS99</f>
        <v>11422.25</v>
      </c>
      <c r="DT101" s="25">
        <f t="shared" ref="DT101" si="2868">BT99</f>
        <v>9981.65</v>
      </c>
      <c r="DU101" s="25">
        <f t="shared" ref="DU101" si="2869">BU99</f>
        <v>11471.4</v>
      </c>
      <c r="DV101" s="25">
        <f t="shared" ref="DV101" si="2870">BV99</f>
        <v>11597.65</v>
      </c>
      <c r="DW101" s="25">
        <f t="shared" ref="DW101:GL101" si="2871">BW99</f>
        <v>14964.3</v>
      </c>
      <c r="DX101" s="25">
        <f t="shared" si="2871"/>
        <v>28827.8</v>
      </c>
      <c r="DY101" s="25">
        <f t="shared" si="2871"/>
        <v>16684.45</v>
      </c>
      <c r="DZ101" s="25">
        <f t="shared" si="2871"/>
        <v>9369.2000000000007</v>
      </c>
      <c r="EA101" s="25">
        <f t="shared" si="2871"/>
        <v>8079.3</v>
      </c>
      <c r="EB101" s="25">
        <f t="shared" si="2871"/>
        <v>7664.8</v>
      </c>
      <c r="EC101" s="25">
        <f t="shared" si="2871"/>
        <v>8678.2999999999993</v>
      </c>
      <c r="ED101" s="25">
        <f t="shared" si="2871"/>
        <v>9869.34</v>
      </c>
      <c r="EE101" s="25">
        <f t="shared" si="2871"/>
        <v>9997.75</v>
      </c>
      <c r="EF101" s="25">
        <f t="shared" si="2871"/>
        <v>11461.2</v>
      </c>
      <c r="EG101" s="25">
        <f t="shared" si="2871"/>
        <v>8383.7999999999993</v>
      </c>
      <c r="EH101" s="25">
        <f t="shared" si="2871"/>
        <v>8998.5</v>
      </c>
      <c r="EI101" s="25">
        <f t="shared" si="2871"/>
        <v>10113.75</v>
      </c>
      <c r="EJ101" s="25">
        <f t="shared" si="2871"/>
        <v>11193.5</v>
      </c>
      <c r="EK101" s="25">
        <f t="shared" si="2871"/>
        <v>9968.35</v>
      </c>
      <c r="EL101" s="25">
        <f t="shared" si="2871"/>
        <v>15899.8</v>
      </c>
      <c r="EM101" s="25">
        <f t="shared" si="2871"/>
        <v>11295.3</v>
      </c>
      <c r="EN101" s="25">
        <f t="shared" si="2871"/>
        <v>10469.200000000001</v>
      </c>
      <c r="EO101" s="25">
        <f t="shared" si="2871"/>
        <v>9214.85</v>
      </c>
      <c r="EP101" s="25">
        <f t="shared" si="2871"/>
        <v>10251.1</v>
      </c>
      <c r="EQ101" s="25">
        <f t="shared" si="2871"/>
        <v>14022.2</v>
      </c>
      <c r="ER101" s="25">
        <f t="shared" si="2871"/>
        <v>9479.4</v>
      </c>
      <c r="ES101" s="25">
        <f t="shared" si="2871"/>
        <v>9969.6</v>
      </c>
      <c r="ET101" s="25">
        <f t="shared" si="2871"/>
        <v>10781.6</v>
      </c>
      <c r="EU101" s="25">
        <f t="shared" si="2871"/>
        <v>9940.4</v>
      </c>
      <c r="EV101" s="25">
        <f t="shared" si="2871"/>
        <v>9042.7999999999993</v>
      </c>
      <c r="EW101" s="25">
        <f t="shared" si="2871"/>
        <v>14731.3</v>
      </c>
      <c r="EX101" s="25">
        <f t="shared" si="2871"/>
        <v>12742.6</v>
      </c>
      <c r="EY101" s="25">
        <f t="shared" si="2871"/>
        <v>15108.1</v>
      </c>
      <c r="EZ101" s="25">
        <f t="shared" si="2871"/>
        <v>13168.9</v>
      </c>
      <c r="FA101" s="25">
        <f t="shared" si="2871"/>
        <v>17500.650000000001</v>
      </c>
      <c r="FB101" s="25">
        <f t="shared" si="2871"/>
        <v>5208.7</v>
      </c>
      <c r="FC101" s="25">
        <f t="shared" si="2871"/>
        <v>8365.7000000000007</v>
      </c>
      <c r="FD101" s="25">
        <f t="shared" si="2871"/>
        <v>9581.4500000000007</v>
      </c>
      <c r="FE101" s="25">
        <f t="shared" si="2871"/>
        <v>8952.35</v>
      </c>
      <c r="FF101" s="25">
        <f t="shared" si="2871"/>
        <v>9793.4</v>
      </c>
      <c r="FG101" s="25">
        <f t="shared" si="2871"/>
        <v>11308.9</v>
      </c>
      <c r="FH101" s="25">
        <f t="shared" si="2871"/>
        <v>8927.15</v>
      </c>
      <c r="FI101" s="25">
        <f t="shared" si="2871"/>
        <v>9985.5</v>
      </c>
      <c r="FJ101" s="25">
        <f t="shared" si="2871"/>
        <v>8931.35</v>
      </c>
      <c r="FK101" s="25">
        <f t="shared" si="2871"/>
        <v>9627.5</v>
      </c>
      <c r="FL101" s="25">
        <f t="shared" si="2871"/>
        <v>10244</v>
      </c>
      <c r="FM101" s="25">
        <f t="shared" si="2871"/>
        <v>10324.25</v>
      </c>
      <c r="FN101" s="25">
        <f t="shared" si="2871"/>
        <v>10117.299999999999</v>
      </c>
      <c r="FO101" s="25">
        <f t="shared" si="2871"/>
        <v>8180.45</v>
      </c>
      <c r="FP101" s="25">
        <f t="shared" si="2871"/>
        <v>10102.15</v>
      </c>
      <c r="FQ101" s="25">
        <f t="shared" si="2871"/>
        <v>11194.55</v>
      </c>
      <c r="FR101" s="25">
        <f t="shared" si="2871"/>
        <v>10661.4</v>
      </c>
      <c r="FS101" s="25">
        <f t="shared" si="2871"/>
        <v>9959.7999999999993</v>
      </c>
      <c r="FT101" s="25">
        <f t="shared" si="2871"/>
        <v>11595.85</v>
      </c>
      <c r="FU101" s="25">
        <f t="shared" si="2871"/>
        <v>10832.35</v>
      </c>
      <c r="FV101" s="25">
        <f t="shared" si="2871"/>
        <v>14968.45</v>
      </c>
      <c r="FW101" s="25">
        <f t="shared" si="2871"/>
        <v>15266.9</v>
      </c>
      <c r="FX101" s="25">
        <f t="shared" si="2871"/>
        <v>22152.6</v>
      </c>
      <c r="FY101" s="25">
        <f t="shared" si="2871"/>
        <v>28424.5</v>
      </c>
      <c r="FZ101" s="25">
        <f t="shared" si="2871"/>
        <v>12667.5</v>
      </c>
      <c r="GA101" s="25">
        <f t="shared" si="2871"/>
        <v>9838</v>
      </c>
      <c r="GB101" s="25">
        <f t="shared" si="2871"/>
        <v>8823.25</v>
      </c>
      <c r="GC101" s="25">
        <f t="shared" si="2871"/>
        <v>10090.049999999999</v>
      </c>
      <c r="GD101" s="25">
        <f t="shared" si="2871"/>
        <v>13344.5</v>
      </c>
      <c r="GE101" s="25">
        <f t="shared" si="2871"/>
        <v>11924.7</v>
      </c>
      <c r="GF101" s="25">
        <f t="shared" si="2871"/>
        <v>9383.9</v>
      </c>
      <c r="GG101" s="25">
        <f t="shared" si="2871"/>
        <v>11150.95</v>
      </c>
      <c r="GH101" s="25">
        <f t="shared" si="2871"/>
        <v>10831.5</v>
      </c>
      <c r="GI101" s="25">
        <f t="shared" si="2871"/>
        <v>10843.1</v>
      </c>
      <c r="GJ101" s="25">
        <f t="shared" si="2871"/>
        <v>12932.75</v>
      </c>
      <c r="GK101" s="25">
        <f t="shared" si="2871"/>
        <v>12373.55</v>
      </c>
      <c r="GL101" s="25">
        <f t="shared" si="2871"/>
        <v>11494.05</v>
      </c>
      <c r="GM101" s="25">
        <f t="shared" ref="GM101:GR101" si="2872">EL99</f>
        <v>11494.05</v>
      </c>
      <c r="GN101" s="25">
        <f t="shared" si="2872"/>
        <v>10771.25</v>
      </c>
      <c r="GO101" s="25">
        <f t="shared" si="2872"/>
        <v>10100.65</v>
      </c>
      <c r="GP101" s="25">
        <f t="shared" si="2872"/>
        <v>16141.1</v>
      </c>
      <c r="GQ101" s="25">
        <f t="shared" si="2872"/>
        <v>11244.55</v>
      </c>
      <c r="GR101" s="110">
        <f t="shared" si="2872"/>
        <v>12313.45</v>
      </c>
      <c r="GS101" s="159"/>
      <c r="GT101" s="11"/>
      <c r="GU101" s="11"/>
      <c r="GV101" s="11"/>
      <c r="GW101" s="58"/>
      <c r="GX101" s="58"/>
      <c r="GY101" s="58"/>
      <c r="GZ101" s="58"/>
      <c r="HA101" s="58"/>
    </row>
    <row r="102" spans="1:209" s="2" customFormat="1" ht="15" customHeight="1" x14ac:dyDescent="0.3">
      <c r="A102" s="171"/>
      <c r="B102" s="26" t="s">
        <v>366</v>
      </c>
      <c r="C102" s="27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28">
        <f t="shared" ref="BD102:CN102" si="2873">(BD99-BD101)/BD101</f>
        <v>0.51382979768700954</v>
      </c>
      <c r="BE102" s="28">
        <f t="shared" si="2873"/>
        <v>0.21141911830456936</v>
      </c>
      <c r="BF102" s="28">
        <f t="shared" si="2873"/>
        <v>0.11216724108354256</v>
      </c>
      <c r="BG102" s="28">
        <f t="shared" si="2873"/>
        <v>0.13038905731665371</v>
      </c>
      <c r="BH102" s="28">
        <f t="shared" si="2873"/>
        <v>-3.4697471211507014E-2</v>
      </c>
      <c r="BI102" s="28">
        <f t="shared" si="2873"/>
        <v>0.19604826770546441</v>
      </c>
      <c r="BJ102" s="28">
        <f t="shared" si="2873"/>
        <v>0.16672932069114338</v>
      </c>
      <c r="BK102" s="28">
        <f t="shared" si="2873"/>
        <v>0.21274378179762579</v>
      </c>
      <c r="BL102" s="28">
        <f t="shared" si="2873"/>
        <v>0.3100435180156334</v>
      </c>
      <c r="BM102" s="28">
        <f t="shared" si="2873"/>
        <v>0.2458523130928999</v>
      </c>
      <c r="BN102" s="28">
        <f t="shared" si="2873"/>
        <v>-6.3673401619453909E-2</v>
      </c>
      <c r="BO102" s="28">
        <f t="shared" si="2873"/>
        <v>0.20212598549105384</v>
      </c>
      <c r="BP102" s="28">
        <f t="shared" si="2873"/>
        <v>-0.28990541136232079</v>
      </c>
      <c r="BQ102" s="28">
        <f t="shared" si="2873"/>
        <v>0.5686314294410062</v>
      </c>
      <c r="BR102" s="28">
        <f t="shared" si="2873"/>
        <v>0.13182205892001828</v>
      </c>
      <c r="BS102" s="28">
        <f t="shared" si="2873"/>
        <v>0.65345753535704454</v>
      </c>
      <c r="BT102" s="28">
        <f t="shared" si="2873"/>
        <v>0.51486155270406653</v>
      </c>
      <c r="BU102" s="28">
        <f t="shared" si="2873"/>
        <v>5.4133776867022636E-2</v>
      </c>
      <c r="BV102" s="28">
        <f t="shared" si="2873"/>
        <v>0.42416911751161973</v>
      </c>
      <c r="BW102" s="28">
        <f t="shared" si="2873"/>
        <v>0.3608486490910579</v>
      </c>
      <c r="BX102" s="28">
        <f t="shared" si="2873"/>
        <v>0.28536586453359009</v>
      </c>
      <c r="BY102" s="28">
        <f t="shared" si="2873"/>
        <v>8.71544090337463E-2</v>
      </c>
      <c r="BZ102" s="28">
        <f t="shared" si="2873"/>
        <v>0.29919365462348602</v>
      </c>
      <c r="CA102" s="28">
        <f t="shared" si="2873"/>
        <v>-5.0069663674361942E-2</v>
      </c>
      <c r="CB102" s="28">
        <f t="shared" si="2873"/>
        <v>-9.5374665108758458E-2</v>
      </c>
      <c r="CC102" s="28">
        <f t="shared" si="2873"/>
        <v>7.9148946753214336E-2</v>
      </c>
      <c r="CD102" s="28">
        <f t="shared" si="2873"/>
        <v>-8.5265957939810663E-2</v>
      </c>
      <c r="CE102" s="28">
        <f t="shared" si="2873"/>
        <v>-6.9816666123937582E-2</v>
      </c>
      <c r="CF102" s="28">
        <f t="shared" si="2873"/>
        <v>0.22161586015774895</v>
      </c>
      <c r="CG102" s="28">
        <f t="shared" si="2873"/>
        <v>-0.17847361381263385</v>
      </c>
      <c r="CH102" s="28">
        <f t="shared" si="2873"/>
        <v>-9.5319003478575623E-2</v>
      </c>
      <c r="CI102" s="28">
        <f t="shared" si="2873"/>
        <v>-0.26597864071328259</v>
      </c>
      <c r="CJ102" s="28">
        <f t="shared" si="2873"/>
        <v>8.8184398817856627E-2</v>
      </c>
      <c r="CK102" s="28">
        <f t="shared" si="2873"/>
        <v>-6.359144411148572E-2</v>
      </c>
      <c r="CL102" s="28">
        <f t="shared" si="2873"/>
        <v>0.16114567814681729</v>
      </c>
      <c r="CM102" s="28">
        <f t="shared" si="2873"/>
        <v>-0.36393354000016898</v>
      </c>
      <c r="CN102" s="28">
        <f t="shared" si="2873"/>
        <v>-7.3509825351663921E-2</v>
      </c>
      <c r="CO102" s="28">
        <f t="shared" ref="CO102:CS102" si="2874">(CO99-CO101)/CO101</f>
        <v>-0.21792728260316058</v>
      </c>
      <c r="CP102" s="28">
        <f t="shared" si="2874"/>
        <v>-0.3355393221283795</v>
      </c>
      <c r="CQ102" s="28">
        <f t="shared" si="2874"/>
        <v>0.23035211329396602</v>
      </c>
      <c r="CR102" s="28">
        <f t="shared" si="2874"/>
        <v>1.1924784901470993</v>
      </c>
      <c r="CS102" s="28">
        <f t="shared" si="2874"/>
        <v>0.50958480966657593</v>
      </c>
      <c r="CT102" s="28">
        <f t="shared" ref="CT102:CZ102" si="2875">(CT99-CT101)/CT101</f>
        <v>0.52571250672176151</v>
      </c>
      <c r="CU102" s="28">
        <f t="shared" si="2875"/>
        <v>0.35223299914298528</v>
      </c>
      <c r="CV102" s="28">
        <f t="shared" si="2875"/>
        <v>0.45379130728358635</v>
      </c>
      <c r="CW102" s="28">
        <f t="shared" si="2875"/>
        <v>0.32497762667350233</v>
      </c>
      <c r="CX102" s="28">
        <f t="shared" si="2875"/>
        <v>0.5193094156502247</v>
      </c>
      <c r="CY102" s="28">
        <f t="shared" si="2875"/>
        <v>0.75293401015228434</v>
      </c>
      <c r="CZ102" s="28">
        <f t="shared" si="2875"/>
        <v>0.94475374732334039</v>
      </c>
      <c r="DA102" s="28">
        <f t="shared" ref="DA102:DB102" si="2876">(DA99-DA101)/DA101</f>
        <v>0.95845433333892871</v>
      </c>
      <c r="DB102" s="28">
        <f t="shared" si="2876"/>
        <v>-0.36093099154034441</v>
      </c>
      <c r="DC102" s="28">
        <f t="shared" ref="DC102:DD102" si="2877">(DC99-DC101)/DC101</f>
        <v>9.9765998843140413E-2</v>
      </c>
      <c r="DD102" s="28">
        <f t="shared" si="2877"/>
        <v>0.24380302076369376</v>
      </c>
      <c r="DE102" s="28">
        <f t="shared" ref="DE102:DF102" si="2878">(DE99-DE101)/DE101</f>
        <v>0.32164342710355581</v>
      </c>
      <c r="DF102" s="28">
        <f t="shared" si="2878"/>
        <v>0.3732498545197046</v>
      </c>
      <c r="DG102" s="28">
        <f t="shared" ref="DG102:DH102" si="2879">(DG99-DG101)/DG101</f>
        <v>0.29894787622613755</v>
      </c>
      <c r="DH102" s="28">
        <f t="shared" si="2879"/>
        <v>0.11923045579634285</v>
      </c>
      <c r="DI102" s="28">
        <f t="shared" ref="DI102:DJ102" si="2880">(DI99-DI101)/DI101</f>
        <v>0.38099617600077457</v>
      </c>
      <c r="DJ102" s="28">
        <f t="shared" si="2880"/>
        <v>6.5818993293396161E-2</v>
      </c>
      <c r="DK102" s="28">
        <f t="shared" ref="DK102:DL102" si="2881">(DK99-DK101)/DK101</f>
        <v>0.40238306798152967</v>
      </c>
      <c r="DL102" s="28">
        <f t="shared" si="2881"/>
        <v>7.5175146283225316E-2</v>
      </c>
      <c r="DM102" s="28">
        <f t="shared" ref="DM102:DN102" si="2882">(DM99-DM101)/DM101</f>
        <v>0.15437295943467949</v>
      </c>
      <c r="DN102" s="28">
        <f t="shared" si="2882"/>
        <v>0.38002387041773222</v>
      </c>
      <c r="DO102" s="28">
        <f t="shared" ref="DO102:DP102" si="2883">(DO99-DO101)/DO101</f>
        <v>7.0858668830956345E-2</v>
      </c>
      <c r="DP102" s="28">
        <f t="shared" si="2883"/>
        <v>0.51113288407889135</v>
      </c>
      <c r="DQ102" s="28">
        <f t="shared" ref="DQ102:DR102" si="2884">(DQ99-DQ101)/DQ101</f>
        <v>0.11385232281623435</v>
      </c>
      <c r="DR102" s="28">
        <f t="shared" si="2884"/>
        <v>0.23609718204532154</v>
      </c>
      <c r="DS102" s="28">
        <f t="shared" ref="DS102:DT102" si="2885">(DS99-DS101)/DS101</f>
        <v>-0.12803519446693959</v>
      </c>
      <c r="DT102" s="28">
        <f t="shared" si="2885"/>
        <v>0.16171675023668439</v>
      </c>
      <c r="DU102" s="28">
        <f t="shared" ref="DU102:DV102" si="2886">(DU99-DU101)/DU101</f>
        <v>-5.5708108862039446E-2</v>
      </c>
      <c r="DV102" s="28">
        <f t="shared" si="2886"/>
        <v>0.29064508758239826</v>
      </c>
      <c r="DW102" s="28">
        <f t="shared" ref="DW102:DX102" si="2887">(DW99-DW101)/DW101</f>
        <v>2.0221460409107033E-2</v>
      </c>
      <c r="DX102" s="28">
        <f t="shared" si="2887"/>
        <v>-0.231554263592782</v>
      </c>
      <c r="DY102" s="28">
        <f t="shared" ref="DY102:DZ102" si="2888">(DY99-DY101)/DY101</f>
        <v>0.70365220309929299</v>
      </c>
      <c r="DZ102" s="28">
        <f t="shared" si="2888"/>
        <v>0.35203645988985177</v>
      </c>
      <c r="EA102" s="28">
        <f t="shared" ref="EA102:EB102" si="2889">(EA99-EA101)/EA101</f>
        <v>0.21767974948324728</v>
      </c>
      <c r="EB102" s="28">
        <f t="shared" si="2889"/>
        <v>0.15113897296733114</v>
      </c>
      <c r="EC102" s="28">
        <f t="shared" ref="EC102:ED102" si="2890">(EC99-EC101)/EC101</f>
        <v>0.16267586969798234</v>
      </c>
      <c r="ED102" s="28">
        <f t="shared" si="2890"/>
        <v>0.35211675755420319</v>
      </c>
      <c r="EE102" s="28">
        <f t="shared" ref="EE102:EF102" si="2891">(EE99-EE101)/EE101</f>
        <v>0.19273836613237985</v>
      </c>
      <c r="EF102" s="28">
        <f t="shared" si="2891"/>
        <v>-0.18124629183680599</v>
      </c>
      <c r="EG102" s="28">
        <f t="shared" ref="EG102:EH102" si="2892">(EG99-EG101)/EG101</f>
        <v>0.33005916171664423</v>
      </c>
      <c r="EH102" s="28">
        <f t="shared" si="2892"/>
        <v>0.20370061676946158</v>
      </c>
      <c r="EI102" s="28">
        <f t="shared" ref="EI102:EJ102" si="2893">(EI99-EI101)/EI101</f>
        <v>7.2114695340501828E-2</v>
      </c>
      <c r="EJ102" s="28">
        <f t="shared" si="2893"/>
        <v>0.15538035467012104</v>
      </c>
      <c r="EK102" s="28">
        <f t="shared" ref="EK102:EL102" si="2894">(EK99-EK101)/EK101</f>
        <v>0.24128366279273891</v>
      </c>
      <c r="EL102" s="28">
        <f t="shared" si="2894"/>
        <v>-0.27709468043623192</v>
      </c>
      <c r="EM102" s="28">
        <f t="shared" ref="EM102:EN102" si="2895">(EM99-EM101)/EM101</f>
        <v>-4.6395403397873389E-2</v>
      </c>
      <c r="EN102" s="28">
        <f t="shared" si="2895"/>
        <v>-3.5203262904520027E-2</v>
      </c>
      <c r="EO102" s="28">
        <f t="shared" ref="EO102:EP102" si="2896">(EO99-EO101)/EO101</f>
        <v>0.75164001584399087</v>
      </c>
      <c r="EP102" s="28">
        <f t="shared" si="2896"/>
        <v>9.6911550955507103E-2</v>
      </c>
      <c r="EQ102" s="28">
        <f t="shared" ref="EQ102:ER102" si="2897">(EQ99-EQ101)/EQ101</f>
        <v>-0.12186033575330546</v>
      </c>
      <c r="ER102" s="28">
        <f t="shared" si="2897"/>
        <v>0.19356710340316893</v>
      </c>
      <c r="ES102" s="28">
        <f t="shared" ref="ES102:ET102" si="2898">(ES99-ES101)/ES101</f>
        <v>0.17770020863424815</v>
      </c>
      <c r="ET102" s="28">
        <f t="shared" si="2898"/>
        <v>-1.7084662758774277E-2</v>
      </c>
      <c r="EU102" s="28">
        <f t="shared" ref="EU102:EV102" si="2899">(EU99-EU101)/EU101</f>
        <v>0.29737233914128203</v>
      </c>
      <c r="EV102" s="28">
        <f t="shared" si="2899"/>
        <v>0.21623833325961003</v>
      </c>
      <c r="EW102" s="28">
        <f t="shared" ref="EW102:EX102" si="2900">(EW99-EW101)/EW101</f>
        <v>-0.22007901542973121</v>
      </c>
      <c r="EX102" s="28">
        <f t="shared" si="2900"/>
        <v>-0.16128184201026474</v>
      </c>
      <c r="EY102" s="28">
        <f t="shared" ref="EY102:EZ102" si="2901">(EY99-EY101)/EY101</f>
        <v>-0.43738458178063427</v>
      </c>
      <c r="EZ102" s="28">
        <f t="shared" si="2901"/>
        <v>-0.36184495288140989</v>
      </c>
      <c r="FA102" s="28">
        <f t="shared" ref="FA102:FB102" si="2902">(FA99-FA101)/FA101</f>
        <v>-0.45795727587261048</v>
      </c>
      <c r="FB102" s="28">
        <f t="shared" si="2902"/>
        <v>0.77735327432948742</v>
      </c>
      <c r="FC102" s="28">
        <f t="shared" ref="FC102:FD102" si="2903">(FC99-FC101)/FC101</f>
        <v>0.40234529089018245</v>
      </c>
      <c r="FD102" s="28">
        <f t="shared" si="2903"/>
        <v>9.5966685626914502E-2</v>
      </c>
      <c r="FE102" s="28">
        <f t="shared" ref="FE102:FF102" si="2904">(FE99-FE101)/FE101</f>
        <v>6.0107122710796441E-2</v>
      </c>
      <c r="FF102" s="28">
        <f t="shared" si="2904"/>
        <v>-0.10811362754508132</v>
      </c>
      <c r="FG102" s="28">
        <f t="shared" ref="FG102:FH102" si="2905">(FG99-FG101)/FG101</f>
        <v>-3.8460858262076673E-2</v>
      </c>
      <c r="FH102" s="28">
        <f t="shared" si="2905"/>
        <v>0.21776266781671644</v>
      </c>
      <c r="FI102" s="28">
        <f t="shared" ref="FI102:FJ102" si="2906">(FI99-FI101)/FI101</f>
        <v>1.8541885734314902E-2</v>
      </c>
      <c r="FJ102" s="28">
        <f t="shared" si="2906"/>
        <v>0.31957094952050907</v>
      </c>
      <c r="FK102" s="28">
        <f t="shared" ref="FK102:FL102" si="2907">(FK99-FK101)/FK101</f>
        <v>0.11859776681381452</v>
      </c>
      <c r="FL102" s="28">
        <f t="shared" si="2907"/>
        <v>-8.5069308863725185E-2</v>
      </c>
      <c r="FM102" s="28">
        <f t="shared" ref="FM102:FN102" si="2908">(FM99-FM101)/FM101</f>
        <v>-4.203695183669481E-3</v>
      </c>
      <c r="FN102" s="28">
        <f t="shared" si="2908"/>
        <v>-0.10559635475868054</v>
      </c>
      <c r="FO102" s="28">
        <f t="shared" ref="FO102:FP102" si="2909">(FO99-FO101)/FO101</f>
        <v>5.6463886461013829E-2</v>
      </c>
      <c r="FP102" s="28">
        <f t="shared" si="2909"/>
        <v>8.6917141400593048E-2</v>
      </c>
      <c r="FQ102" s="28">
        <f t="shared" ref="FQ102:FR102" si="2910">(FQ99-FQ101)/FQ101</f>
        <v>0.17718889995578216</v>
      </c>
      <c r="FR102" s="28">
        <f t="shared" si="2910"/>
        <v>5.618399084547996E-2</v>
      </c>
      <c r="FS102" s="28">
        <f t="shared" ref="FS102:FT102" si="2911">(FS99-FS101)/FS101</f>
        <v>0.13032892226751552</v>
      </c>
      <c r="FT102" s="28">
        <f t="shared" si="2911"/>
        <v>-2.9303587059163343E-2</v>
      </c>
      <c r="FU102" s="28">
        <f t="shared" ref="FU102:FV102" si="2912">(FU99-FU101)/FU101</f>
        <v>-7.2689674908953408E-2</v>
      </c>
      <c r="FV102" s="28">
        <f t="shared" si="2912"/>
        <v>-0.17289031262421969</v>
      </c>
      <c r="FW102" s="28">
        <f t="shared" ref="FW102:FX102" si="2913">(FW99-FW101)/FW101</f>
        <v>-0.10385212453084779</v>
      </c>
      <c r="FX102" s="28">
        <f t="shared" si="2913"/>
        <v>9.9110262452263079E-2</v>
      </c>
      <c r="FY102" s="28">
        <f t="shared" ref="FY102:FZ102" si="2914">(FY99-FY101)/FY101</f>
        <v>9.9421273901036084E-2</v>
      </c>
      <c r="FZ102" s="28">
        <f t="shared" si="2914"/>
        <v>0.18938227748174463</v>
      </c>
      <c r="GA102" s="28">
        <f t="shared" ref="GA102:GB102" si="2915">(GA99-GA101)/GA101</f>
        <v>0.37097479162431385</v>
      </c>
      <c r="GB102" s="28">
        <f t="shared" si="2915"/>
        <v>0.65775649562236127</v>
      </c>
      <c r="GC102" s="28">
        <f t="shared" ref="GC102:GD102" si="2916">(GC99-GC101)/GC101</f>
        <v>0.46017115871576453</v>
      </c>
      <c r="GD102" s="28">
        <f t="shared" si="2916"/>
        <v>0.1196260631720934</v>
      </c>
      <c r="GE102" s="28">
        <f t="shared" ref="GE102:GF102" si="2917">(GE99-GE101)/GE101</f>
        <v>0.31819668419331282</v>
      </c>
      <c r="GF102" s="28">
        <f t="shared" si="2917"/>
        <v>0.37759353786805055</v>
      </c>
      <c r="GG102" s="28">
        <f t="shared" ref="GG102:GH102" si="2918">(GG99-GG101)/GG101</f>
        <v>-5.0533811020587642E-3</v>
      </c>
      <c r="GH102" s="28">
        <f t="shared" si="2918"/>
        <v>-0.10277893181923095</v>
      </c>
      <c r="GI102" s="28">
        <f t="shared" ref="GI102:GJ102" si="2919">(GI99-GI101)/GI101</f>
        <v>-0.20212300910256303</v>
      </c>
      <c r="GJ102" s="28">
        <f t="shared" si="2919"/>
        <v>-0.21986429800313151</v>
      </c>
      <c r="GK102" s="28">
        <f t="shared" ref="GK102:GL102" si="2920">(GK99-GK101)/GK101</f>
        <v>-0.33205910995631815</v>
      </c>
      <c r="GL102" s="28">
        <f t="shared" si="2920"/>
        <v>-0.13035005067839434</v>
      </c>
      <c r="GM102" s="28">
        <f t="shared" ref="GM102:GN102" si="2921">(GM99-GM101)/GM101</f>
        <v>0.71697095453734772</v>
      </c>
      <c r="GN102" s="28">
        <f t="shared" si="2921"/>
        <v>1.2268771034002519E-2</v>
      </c>
      <c r="GO102" s="28">
        <f t="shared" ref="GO102:GP102" si="2922">(GO99-GO101)/GO101</f>
        <v>-1.1499259948617132E-2</v>
      </c>
      <c r="GP102" s="28">
        <f t="shared" si="2922"/>
        <v>-0.39545941726400302</v>
      </c>
      <c r="GQ102" s="28">
        <f t="shared" ref="GQ102:GR102" si="2923">(GQ99-GQ101)/GQ101</f>
        <v>0.16905523120089294</v>
      </c>
      <c r="GR102" s="109">
        <f t="shared" si="2923"/>
        <v>-0.19706093743020842</v>
      </c>
      <c r="GS102" s="159"/>
      <c r="GT102" s="11"/>
      <c r="GU102" s="11"/>
      <c r="GV102" s="11"/>
      <c r="GW102" s="58"/>
      <c r="GX102" s="58"/>
      <c r="GY102" s="58"/>
      <c r="GZ102" s="58"/>
      <c r="HA102" s="58"/>
    </row>
    <row r="103" spans="1:209" s="2" customFormat="1" ht="7.5" customHeight="1" x14ac:dyDescent="0.3">
      <c r="A103" s="8"/>
      <c r="B103" s="29"/>
      <c r="C103" s="30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  <c r="EW103" s="32"/>
      <c r="EX103" s="32"/>
      <c r="EY103" s="32"/>
      <c r="EZ103" s="32"/>
      <c r="FA103" s="32"/>
      <c r="FB103" s="32"/>
      <c r="FC103" s="32"/>
      <c r="FD103" s="32"/>
      <c r="FE103" s="32"/>
      <c r="FF103" s="32"/>
      <c r="FG103" s="32"/>
      <c r="FH103" s="32"/>
      <c r="FI103" s="32"/>
      <c r="FJ103" s="32"/>
      <c r="FK103" s="32"/>
      <c r="FL103" s="32"/>
      <c r="FM103" s="32"/>
      <c r="FN103" s="32"/>
      <c r="FO103" s="32"/>
      <c r="FP103" s="32"/>
      <c r="FQ103" s="32"/>
      <c r="FR103" s="32"/>
      <c r="FS103" s="32"/>
      <c r="FT103" s="32"/>
      <c r="FU103" s="32"/>
      <c r="FV103" s="32"/>
      <c r="FW103" s="32"/>
      <c r="FX103" s="32"/>
      <c r="FY103" s="32"/>
      <c r="FZ103" s="32"/>
      <c r="GA103" s="32"/>
      <c r="GB103" s="32"/>
      <c r="GC103" s="32"/>
      <c r="GD103" s="32"/>
      <c r="GE103" s="32"/>
      <c r="GF103" s="32"/>
      <c r="GG103" s="32"/>
      <c r="GH103" s="32"/>
      <c r="GI103" s="32"/>
      <c r="GJ103" s="32"/>
      <c r="GK103" s="32"/>
      <c r="GL103" s="32"/>
      <c r="GM103" s="32"/>
      <c r="GN103" s="32"/>
      <c r="GO103" s="32"/>
      <c r="GP103" s="32"/>
      <c r="GQ103" s="32"/>
      <c r="GR103" s="111"/>
      <c r="GS103" s="156"/>
      <c r="GT103" s="9"/>
      <c r="GU103" s="9"/>
      <c r="GV103" s="9"/>
    </row>
    <row r="104" spans="1:209" ht="15" hidden="1" customHeight="1" x14ac:dyDescent="0.3">
      <c r="A104" s="170" t="s">
        <v>6</v>
      </c>
      <c r="B104" s="33" t="s">
        <v>6</v>
      </c>
      <c r="C104" s="17" t="s">
        <v>23</v>
      </c>
      <c r="D104" s="17">
        <v>6326.6</v>
      </c>
      <c r="E104" s="17">
        <v>6926.5</v>
      </c>
      <c r="F104" s="17">
        <v>6773.45</v>
      </c>
      <c r="G104" s="17">
        <v>7219.65</v>
      </c>
      <c r="H104" s="17">
        <v>8467</v>
      </c>
      <c r="I104" s="17">
        <v>7525.7</v>
      </c>
      <c r="J104" s="17">
        <v>7312.9</v>
      </c>
      <c r="K104" s="17">
        <v>8876.2999999999993</v>
      </c>
      <c r="L104" s="17">
        <v>6888.25</v>
      </c>
      <c r="M104" s="17">
        <v>9432.4500000000007</v>
      </c>
      <c r="N104" s="17">
        <v>6142.8</v>
      </c>
      <c r="O104" s="17">
        <v>8935.4500000000007</v>
      </c>
      <c r="P104" s="17">
        <v>8786.0499999999993</v>
      </c>
      <c r="Q104" s="17">
        <v>8314.7999999999993</v>
      </c>
      <c r="R104" s="17">
        <v>10195.35</v>
      </c>
      <c r="S104" s="17">
        <v>9541.5</v>
      </c>
      <c r="T104" s="17">
        <v>13037.95</v>
      </c>
      <c r="U104" s="17">
        <v>23006.1</v>
      </c>
      <c r="V104" s="17">
        <v>22884.35</v>
      </c>
      <c r="W104" s="17">
        <v>13429.9</v>
      </c>
      <c r="X104" s="17">
        <v>10558.9</v>
      </c>
      <c r="Y104" s="17">
        <v>13131.4</v>
      </c>
      <c r="Z104" s="17">
        <v>8881.0499999999993</v>
      </c>
      <c r="AA104" s="17">
        <v>7828.95</v>
      </c>
      <c r="AB104" s="17">
        <v>9140.5499999999993</v>
      </c>
      <c r="AC104" s="17">
        <v>9027.85</v>
      </c>
      <c r="AD104" s="17">
        <v>9009.65</v>
      </c>
      <c r="AE104" s="17">
        <v>10276.200000000001</v>
      </c>
      <c r="AF104" s="17">
        <v>12087.3</v>
      </c>
      <c r="AG104" s="17">
        <v>11429.75</v>
      </c>
      <c r="AH104" s="17">
        <v>10296.35</v>
      </c>
      <c r="AI104" s="17">
        <v>11052.45</v>
      </c>
      <c r="AJ104" s="17">
        <v>11118.4</v>
      </c>
      <c r="AK104" s="17">
        <v>11065.3</v>
      </c>
      <c r="AL104" s="17">
        <v>9613.7000000000007</v>
      </c>
      <c r="AM104" s="17">
        <v>10177.049999999999</v>
      </c>
      <c r="AN104" s="17">
        <v>8898.5</v>
      </c>
      <c r="AO104" s="17">
        <v>8277.85</v>
      </c>
      <c r="AP104" s="17">
        <v>9684.7999999999993</v>
      </c>
      <c r="AQ104" s="17">
        <v>11402.8</v>
      </c>
      <c r="AR104" s="17">
        <v>8075.55</v>
      </c>
      <c r="AS104" s="17">
        <v>9556.9500000000007</v>
      </c>
      <c r="AT104" s="17">
        <v>9188.4</v>
      </c>
      <c r="AU104" s="17">
        <v>8640.0499999999993</v>
      </c>
      <c r="AV104" s="17">
        <v>7546.45</v>
      </c>
      <c r="AW104" s="17">
        <v>7706.4</v>
      </c>
      <c r="AX104" s="17">
        <v>6945.7</v>
      </c>
      <c r="AY104" s="17">
        <v>7984.55</v>
      </c>
      <c r="AZ104" s="17">
        <v>7174.45</v>
      </c>
      <c r="BA104" s="17">
        <v>7866.5</v>
      </c>
      <c r="BB104" s="17">
        <v>7929.55</v>
      </c>
      <c r="BC104" s="17">
        <v>9000.5</v>
      </c>
      <c r="BD104" s="17">
        <v>9782.4</v>
      </c>
      <c r="BE104" s="17">
        <v>8551.9500000000007</v>
      </c>
      <c r="BF104" s="17">
        <v>10826.65</v>
      </c>
      <c r="BG104" s="17">
        <v>9540.85</v>
      </c>
      <c r="BH104" s="17">
        <v>8226.65</v>
      </c>
      <c r="BI104" s="17">
        <v>2035</v>
      </c>
      <c r="BJ104" s="17">
        <v>4083.15</v>
      </c>
      <c r="BK104" s="17">
        <v>10992.6</v>
      </c>
      <c r="BL104" s="17">
        <v>9538.7000000000007</v>
      </c>
      <c r="BM104" s="17">
        <v>10031.049999999999</v>
      </c>
      <c r="BN104" s="17">
        <v>10756.8</v>
      </c>
      <c r="BO104" s="17">
        <v>9988.85</v>
      </c>
      <c r="BP104" s="17">
        <v>11875.45</v>
      </c>
      <c r="BQ104" s="17">
        <v>10965.65</v>
      </c>
      <c r="BR104" s="17">
        <v>10705.15</v>
      </c>
      <c r="BS104" s="17">
        <v>13847.9</v>
      </c>
      <c r="BT104" s="17">
        <v>17969.150000000001</v>
      </c>
      <c r="BU104" s="17">
        <v>24796.45</v>
      </c>
      <c r="BV104" s="17">
        <v>22568.799999999999</v>
      </c>
      <c r="BW104" s="17">
        <v>15868.4</v>
      </c>
      <c r="BX104" s="17">
        <v>18105.45</v>
      </c>
      <c r="BY104" s="17">
        <v>15058.95</v>
      </c>
      <c r="BZ104" s="17">
        <v>8256.5499999999993</v>
      </c>
      <c r="CA104" s="17">
        <v>8188.75</v>
      </c>
      <c r="CB104" s="17">
        <v>8054.6</v>
      </c>
      <c r="CC104" s="17">
        <v>7517.65</v>
      </c>
      <c r="CD104" s="17">
        <v>7425.6</v>
      </c>
      <c r="CE104" s="17">
        <v>8991.65</v>
      </c>
      <c r="CF104" s="17">
        <v>9390.85</v>
      </c>
      <c r="CG104" s="17">
        <v>9150.5</v>
      </c>
      <c r="CH104" s="17">
        <v>9491.6</v>
      </c>
      <c r="CI104" s="17">
        <v>9655.9500000000007</v>
      </c>
      <c r="CJ104" s="17">
        <v>9085.15</v>
      </c>
      <c r="CK104" s="17">
        <v>9774.4500000000007</v>
      </c>
      <c r="CL104" s="17">
        <v>9231.15</v>
      </c>
      <c r="CM104" s="17">
        <v>7559.3</v>
      </c>
      <c r="CN104" s="17">
        <v>8940.2000000000007</v>
      </c>
      <c r="CO104" s="17">
        <v>8875</v>
      </c>
      <c r="CP104" s="17">
        <v>12059.9</v>
      </c>
      <c r="CQ104" s="17">
        <v>9851.85</v>
      </c>
      <c r="CR104" s="17">
        <v>8994.7000000000007</v>
      </c>
      <c r="CS104" s="17">
        <v>12501.35</v>
      </c>
      <c r="CT104" s="17">
        <v>8331.7000000000007</v>
      </c>
      <c r="CU104" s="17">
        <v>11585.1</v>
      </c>
      <c r="CV104" s="17">
        <v>8992</v>
      </c>
      <c r="CW104" s="17">
        <v>10988.03</v>
      </c>
      <c r="CX104" s="17">
        <v>8479.4</v>
      </c>
      <c r="CY104" s="17">
        <v>9010.4500000000007</v>
      </c>
      <c r="CZ104" s="17">
        <v>8319.43</v>
      </c>
      <c r="DA104" s="17">
        <v>10057.75</v>
      </c>
      <c r="DB104" s="17">
        <v>8448.9699999999993</v>
      </c>
      <c r="DC104" s="17">
        <v>9113.2999999999993</v>
      </c>
      <c r="DD104" s="17">
        <v>8074.3</v>
      </c>
      <c r="DE104" s="17">
        <v>8733.7000000000007</v>
      </c>
      <c r="DF104" s="17">
        <v>10396.799999999999</v>
      </c>
      <c r="DG104" s="17">
        <v>10508.05</v>
      </c>
      <c r="DH104" s="17">
        <v>10745.4</v>
      </c>
      <c r="DI104" s="17">
        <v>9349.9</v>
      </c>
      <c r="DJ104" s="17">
        <v>9888.25</v>
      </c>
      <c r="DK104" s="17">
        <v>11341.6</v>
      </c>
      <c r="DL104" s="17">
        <v>10461.85</v>
      </c>
      <c r="DM104" s="17">
        <v>13366.05</v>
      </c>
      <c r="DN104" s="17">
        <v>11395.55</v>
      </c>
      <c r="DO104" s="17">
        <v>11063.7</v>
      </c>
      <c r="DP104" s="17">
        <v>12932.05</v>
      </c>
      <c r="DQ104" s="17">
        <v>12567.7</v>
      </c>
      <c r="DR104" s="17">
        <v>11542.25</v>
      </c>
      <c r="DS104" s="17">
        <v>9848.2999999999993</v>
      </c>
      <c r="DT104" s="17">
        <v>14317.65</v>
      </c>
      <c r="DU104" s="17">
        <v>24308.85</v>
      </c>
      <c r="DV104" s="17">
        <v>21595.25</v>
      </c>
      <c r="DW104" s="17">
        <v>25554.75</v>
      </c>
      <c r="DX104" s="17">
        <v>18139.150000000001</v>
      </c>
      <c r="DY104" s="17">
        <v>17670.580000000002</v>
      </c>
      <c r="DZ104" s="17">
        <v>12821.4</v>
      </c>
      <c r="EA104" s="17">
        <v>9670.7000000000007</v>
      </c>
      <c r="EB104" s="17">
        <v>10913.65</v>
      </c>
      <c r="EC104" s="17">
        <v>11093.7</v>
      </c>
      <c r="ED104" s="17">
        <v>12824.5</v>
      </c>
      <c r="EE104" s="17">
        <v>13188.3</v>
      </c>
      <c r="EF104" s="17">
        <v>12935.2</v>
      </c>
      <c r="EG104" s="17">
        <v>12991.1</v>
      </c>
      <c r="EH104" s="17">
        <v>7839.35</v>
      </c>
      <c r="EI104" s="17">
        <v>13050.8</v>
      </c>
      <c r="EJ104" s="17">
        <v>13679.25</v>
      </c>
      <c r="EK104" s="17">
        <v>13820.75</v>
      </c>
      <c r="EL104" s="17">
        <v>13429.95</v>
      </c>
      <c r="EM104" s="17">
        <v>8845.9</v>
      </c>
      <c r="EN104" s="17">
        <v>8564.65</v>
      </c>
      <c r="EO104" s="17">
        <v>10959.45</v>
      </c>
      <c r="EP104" s="17">
        <v>12622</v>
      </c>
      <c r="EQ104" s="17">
        <v>10027.049999999999</v>
      </c>
      <c r="ER104" s="17">
        <v>9858.75</v>
      </c>
      <c r="ES104" s="17">
        <v>10752.45</v>
      </c>
      <c r="ET104" s="17">
        <v>11206.35</v>
      </c>
      <c r="EU104" s="17">
        <v>11774.05</v>
      </c>
      <c r="EV104" s="17">
        <v>12852.6</v>
      </c>
      <c r="EW104" s="17">
        <v>11356.55</v>
      </c>
      <c r="EX104" s="17">
        <v>10603.1</v>
      </c>
      <c r="EY104" s="17">
        <v>10837.5</v>
      </c>
      <c r="EZ104" s="17">
        <v>9573.25</v>
      </c>
      <c r="FA104" s="17">
        <v>12589.95</v>
      </c>
      <c r="FB104" s="17">
        <v>12926.3</v>
      </c>
      <c r="FC104" s="17">
        <f>10982.95+45.6</f>
        <v>11028.550000000001</v>
      </c>
      <c r="FD104" s="17">
        <v>10940.3</v>
      </c>
      <c r="FE104" s="17">
        <v>12004.2</v>
      </c>
      <c r="FF104" s="17">
        <v>12976.2</v>
      </c>
      <c r="FG104" s="17">
        <v>13297.9</v>
      </c>
      <c r="FH104" s="17">
        <v>14826.45</v>
      </c>
      <c r="FI104" s="17">
        <v>13229.35</v>
      </c>
      <c r="FJ104" s="17">
        <v>14686.15</v>
      </c>
      <c r="FK104" s="17">
        <v>15625.15</v>
      </c>
      <c r="FL104" s="17">
        <v>14470.1</v>
      </c>
      <c r="FM104" s="17">
        <v>17544.599999999999</v>
      </c>
      <c r="FN104" s="17">
        <v>17544.599999999999</v>
      </c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17"/>
      <c r="GK104" s="17"/>
      <c r="GL104" s="17"/>
      <c r="GM104" s="17"/>
      <c r="GN104" s="17"/>
      <c r="GO104" s="17"/>
      <c r="GP104" s="17"/>
      <c r="GQ104" s="17"/>
      <c r="GR104" s="107"/>
      <c r="GS104" s="160">
        <f>DL104</f>
        <v>10461.85</v>
      </c>
      <c r="GT104" s="84" t="s">
        <v>23</v>
      </c>
      <c r="GU104" s="84"/>
      <c r="GV104" s="84"/>
      <c r="GW104" s="59"/>
      <c r="GX104" s="59"/>
      <c r="GY104" s="59"/>
      <c r="GZ104" s="59"/>
      <c r="HA104" s="59"/>
    </row>
    <row r="105" spans="1:209" ht="15" hidden="1" customHeight="1" x14ac:dyDescent="0.3">
      <c r="A105" s="171"/>
      <c r="B105" s="34"/>
      <c r="C105" s="17" t="s">
        <v>24</v>
      </c>
      <c r="D105" s="17">
        <v>201</v>
      </c>
      <c r="E105" s="17">
        <v>161.5</v>
      </c>
      <c r="F105" s="17">
        <v>182.5</v>
      </c>
      <c r="G105" s="17">
        <v>157.5</v>
      </c>
      <c r="H105" s="17">
        <v>102.5</v>
      </c>
      <c r="I105" s="17">
        <v>88</v>
      </c>
      <c r="J105" s="17">
        <v>58.5</v>
      </c>
      <c r="K105" s="17">
        <v>125</v>
      </c>
      <c r="L105" s="17">
        <v>81.5</v>
      </c>
      <c r="M105" s="17">
        <v>83</v>
      </c>
      <c r="N105" s="17">
        <v>62</v>
      </c>
      <c r="O105" s="17">
        <v>113</v>
      </c>
      <c r="P105" s="17">
        <v>118.5</v>
      </c>
      <c r="Q105" s="17">
        <v>123</v>
      </c>
      <c r="R105" s="17">
        <v>166.5</v>
      </c>
      <c r="S105" s="17">
        <v>150.5</v>
      </c>
      <c r="T105" s="17">
        <v>137.5</v>
      </c>
      <c r="U105" s="17">
        <v>242.5</v>
      </c>
      <c r="V105" s="17">
        <v>194</v>
      </c>
      <c r="W105" s="17">
        <v>150</v>
      </c>
      <c r="X105" s="17">
        <v>112</v>
      </c>
      <c r="Y105" s="17">
        <v>189.5</v>
      </c>
      <c r="Z105" s="17">
        <v>111.5</v>
      </c>
      <c r="AA105" s="17">
        <v>101</v>
      </c>
      <c r="AB105" s="17">
        <v>102.5</v>
      </c>
      <c r="AC105" s="17">
        <v>68</v>
      </c>
      <c r="AD105" s="17">
        <v>94.5</v>
      </c>
      <c r="AE105" s="17">
        <v>132.5</v>
      </c>
      <c r="AF105" s="17">
        <v>153.5</v>
      </c>
      <c r="AG105" s="17">
        <v>116</v>
      </c>
      <c r="AH105" s="17">
        <v>99</v>
      </c>
      <c r="AI105" s="17">
        <v>139</v>
      </c>
      <c r="AJ105" s="17">
        <v>111.5</v>
      </c>
      <c r="AK105" s="17">
        <v>118.5</v>
      </c>
      <c r="AL105" s="17">
        <v>102</v>
      </c>
      <c r="AM105" s="17">
        <v>105</v>
      </c>
      <c r="AN105" s="17">
        <v>108</v>
      </c>
      <c r="AO105" s="17">
        <v>78</v>
      </c>
      <c r="AP105" s="17">
        <v>75</v>
      </c>
      <c r="AQ105" s="17">
        <v>124.5</v>
      </c>
      <c r="AR105" s="17">
        <v>69.5</v>
      </c>
      <c r="AS105" s="17">
        <v>61</v>
      </c>
      <c r="AT105" s="17">
        <v>83</v>
      </c>
      <c r="AU105" s="17">
        <v>81</v>
      </c>
      <c r="AV105" s="17">
        <v>88</v>
      </c>
      <c r="AW105" s="17">
        <v>74</v>
      </c>
      <c r="AX105" s="17">
        <v>85</v>
      </c>
      <c r="AY105" s="17">
        <v>66</v>
      </c>
      <c r="AZ105" s="17">
        <v>76</v>
      </c>
      <c r="BA105" s="17">
        <v>65.5</v>
      </c>
      <c r="BB105" s="17">
        <v>84</v>
      </c>
      <c r="BC105" s="17">
        <v>95</v>
      </c>
      <c r="BD105" s="17">
        <v>105</v>
      </c>
      <c r="BE105" s="17">
        <v>94.5</v>
      </c>
      <c r="BF105" s="17">
        <v>75</v>
      </c>
      <c r="BG105" s="17">
        <v>116.5</v>
      </c>
      <c r="BH105" s="17">
        <v>75</v>
      </c>
      <c r="BI105" s="17">
        <v>13</v>
      </c>
      <c r="BJ105" s="17">
        <v>635</v>
      </c>
      <c r="BK105" s="17">
        <v>1085.5</v>
      </c>
      <c r="BL105" s="17">
        <v>1306</v>
      </c>
      <c r="BM105" s="17">
        <v>98</v>
      </c>
      <c r="BN105" s="17">
        <v>115</v>
      </c>
      <c r="BO105" s="17">
        <v>136</v>
      </c>
      <c r="BP105" s="17">
        <v>294</v>
      </c>
      <c r="BQ105" s="17">
        <v>303</v>
      </c>
      <c r="BR105" s="17">
        <v>173.5</v>
      </c>
      <c r="BS105" s="17">
        <v>113.5</v>
      </c>
      <c r="BT105" s="17">
        <v>153</v>
      </c>
      <c r="BU105" s="17">
        <v>156</v>
      </c>
      <c r="BV105" s="17">
        <v>205</v>
      </c>
      <c r="BW105" s="17">
        <v>170</v>
      </c>
      <c r="BX105" s="17">
        <v>155</v>
      </c>
      <c r="BY105" s="17">
        <v>145</v>
      </c>
      <c r="BZ105" s="17">
        <v>48</v>
      </c>
      <c r="CA105" s="17">
        <v>75</v>
      </c>
      <c r="CB105" s="17">
        <v>73.5</v>
      </c>
      <c r="CC105" s="17">
        <v>101</v>
      </c>
      <c r="CD105" s="17">
        <v>85</v>
      </c>
      <c r="CE105" s="17">
        <v>70</v>
      </c>
      <c r="CF105" s="17">
        <v>83</v>
      </c>
      <c r="CG105" s="17">
        <v>88</v>
      </c>
      <c r="CH105" s="17">
        <v>94.5</v>
      </c>
      <c r="CI105" s="17">
        <v>88.5</v>
      </c>
      <c r="CJ105" s="17">
        <v>78</v>
      </c>
      <c r="CK105" s="17">
        <v>85.5</v>
      </c>
      <c r="CL105" s="17">
        <v>78</v>
      </c>
      <c r="CM105" s="17">
        <v>83</v>
      </c>
      <c r="CN105" s="17">
        <v>80</v>
      </c>
      <c r="CO105" s="17">
        <v>104</v>
      </c>
      <c r="CP105" s="17">
        <v>127</v>
      </c>
      <c r="CQ105" s="17">
        <v>121</v>
      </c>
      <c r="CR105" s="17">
        <v>79</v>
      </c>
      <c r="CS105" s="17">
        <v>88.8</v>
      </c>
      <c r="CT105" s="17">
        <v>102</v>
      </c>
      <c r="CU105" s="17">
        <v>99.6</v>
      </c>
      <c r="CV105" s="17">
        <v>135.6</v>
      </c>
      <c r="CW105" s="17">
        <v>142.80000000000001</v>
      </c>
      <c r="CX105" s="17">
        <v>109.8</v>
      </c>
      <c r="CY105" s="17">
        <v>81</v>
      </c>
      <c r="CZ105" s="17">
        <v>87</v>
      </c>
      <c r="DA105" s="17">
        <v>127.8</v>
      </c>
      <c r="DB105" s="17">
        <v>64.8</v>
      </c>
      <c r="DC105" s="17">
        <v>108.6</v>
      </c>
      <c r="DD105" s="17">
        <v>57.6</v>
      </c>
      <c r="DE105" s="17">
        <v>81</v>
      </c>
      <c r="DF105" s="17">
        <v>127.2</v>
      </c>
      <c r="DG105" s="17">
        <v>119.4</v>
      </c>
      <c r="DH105" s="17">
        <v>180.95</v>
      </c>
      <c r="DI105" s="17">
        <v>136.65</v>
      </c>
      <c r="DJ105" s="17">
        <v>130.44999999999999</v>
      </c>
      <c r="DK105" s="17">
        <v>188.75</v>
      </c>
      <c r="DL105" s="17">
        <v>151.05000000000001</v>
      </c>
      <c r="DM105" s="17">
        <v>124.7</v>
      </c>
      <c r="DN105" s="17">
        <v>125.05</v>
      </c>
      <c r="DO105" s="17">
        <v>122.85</v>
      </c>
      <c r="DP105" s="17">
        <v>160.35</v>
      </c>
      <c r="DQ105" s="17">
        <v>175.95</v>
      </c>
      <c r="DR105" s="17">
        <v>129.85</v>
      </c>
      <c r="DS105" s="17">
        <v>111.5</v>
      </c>
      <c r="DT105" s="17">
        <v>228.45</v>
      </c>
      <c r="DU105" s="17">
        <v>172.55</v>
      </c>
      <c r="DV105" s="17">
        <v>244.65</v>
      </c>
      <c r="DW105" s="17">
        <v>279.2</v>
      </c>
      <c r="DX105" s="17">
        <v>236.15</v>
      </c>
      <c r="DY105" s="17">
        <v>176.75</v>
      </c>
      <c r="DZ105" s="17">
        <v>167.2</v>
      </c>
      <c r="EA105" s="17">
        <v>130.6</v>
      </c>
      <c r="EB105" s="17">
        <v>141.19999999999999</v>
      </c>
      <c r="EC105" s="17">
        <v>127.2</v>
      </c>
      <c r="ED105" s="17">
        <v>181.8</v>
      </c>
      <c r="EE105" s="17">
        <v>162.55000000000001</v>
      </c>
      <c r="EF105" s="17">
        <v>162.4</v>
      </c>
      <c r="EG105" s="17">
        <v>170.6</v>
      </c>
      <c r="EH105" s="17">
        <v>75.3</v>
      </c>
      <c r="EI105" s="17">
        <v>169.7</v>
      </c>
      <c r="EJ105" s="17">
        <v>181.9</v>
      </c>
      <c r="EK105" s="17">
        <v>151.35</v>
      </c>
      <c r="EL105" s="17">
        <v>121.35</v>
      </c>
      <c r="EM105" s="17">
        <v>122.9</v>
      </c>
      <c r="EN105" s="17">
        <v>65.55</v>
      </c>
      <c r="EO105" s="17">
        <v>119.2</v>
      </c>
      <c r="EP105" s="17">
        <v>95.8</v>
      </c>
      <c r="EQ105" s="17">
        <v>143.94999999999999</v>
      </c>
      <c r="ER105" s="17">
        <v>94.4</v>
      </c>
      <c r="ES105" s="17">
        <v>108.6</v>
      </c>
      <c r="ET105" s="17">
        <v>122</v>
      </c>
      <c r="EU105" s="17">
        <v>94.8</v>
      </c>
      <c r="EV105" s="17">
        <v>133</v>
      </c>
      <c r="EW105" s="17">
        <v>95.8</v>
      </c>
      <c r="EX105" s="17">
        <v>121.9</v>
      </c>
      <c r="EY105" s="17">
        <v>118.35</v>
      </c>
      <c r="EZ105" s="17">
        <v>116.1</v>
      </c>
      <c r="FA105" s="17">
        <v>106.8</v>
      </c>
      <c r="FB105" s="17">
        <v>95.5</v>
      </c>
      <c r="FC105" s="17">
        <v>59.3</v>
      </c>
      <c r="FD105" s="17">
        <v>146.5</v>
      </c>
      <c r="FE105" s="17">
        <v>172.6</v>
      </c>
      <c r="FF105" s="17">
        <v>125.2</v>
      </c>
      <c r="FG105" s="17">
        <v>151.1</v>
      </c>
      <c r="FH105" s="17">
        <v>175.5</v>
      </c>
      <c r="FI105" s="17">
        <v>142.19999999999999</v>
      </c>
      <c r="FJ105" s="17">
        <v>185.7</v>
      </c>
      <c r="FK105" s="17">
        <v>149</v>
      </c>
      <c r="FL105" s="17">
        <v>145.5</v>
      </c>
      <c r="FM105" s="17">
        <v>149.5</v>
      </c>
      <c r="FN105" s="17">
        <v>149.5</v>
      </c>
      <c r="FO105" s="17"/>
      <c r="FP105" s="17"/>
      <c r="FQ105" s="17"/>
      <c r="FR105" s="17"/>
      <c r="FS105" s="17"/>
      <c r="FT105" s="17"/>
      <c r="FU105" s="17"/>
      <c r="FV105" s="17"/>
      <c r="FW105" s="17"/>
      <c r="FX105" s="17"/>
      <c r="FY105" s="17"/>
      <c r="FZ105" s="17"/>
      <c r="GA105" s="17"/>
      <c r="GB105" s="17"/>
      <c r="GC105" s="17"/>
      <c r="GD105" s="17"/>
      <c r="GE105" s="17"/>
      <c r="GF105" s="17"/>
      <c r="GG105" s="17"/>
      <c r="GH105" s="17"/>
      <c r="GI105" s="17"/>
      <c r="GJ105" s="17"/>
      <c r="GK105" s="17"/>
      <c r="GL105" s="17"/>
      <c r="GM105" s="17"/>
      <c r="GN105" s="17"/>
      <c r="GO105" s="17"/>
      <c r="GP105" s="17"/>
      <c r="GQ105" s="17"/>
      <c r="GR105" s="107"/>
      <c r="GS105" s="160">
        <f>DL105</f>
        <v>151.05000000000001</v>
      </c>
      <c r="GT105" s="5" t="s">
        <v>24</v>
      </c>
      <c r="GU105" s="5"/>
      <c r="GV105" s="5"/>
      <c r="GW105" s="59"/>
      <c r="GX105" s="59"/>
      <c r="GY105" s="59"/>
      <c r="GZ105" s="59"/>
      <c r="HA105" s="59"/>
    </row>
    <row r="106" spans="1:209" s="2" customFormat="1" ht="15" customHeight="1" x14ac:dyDescent="0.3">
      <c r="A106" s="171"/>
      <c r="B106" s="19" t="s">
        <v>21</v>
      </c>
      <c r="C106" s="20"/>
      <c r="D106" s="20">
        <f>SUM(D104:D105)</f>
        <v>6527.6</v>
      </c>
      <c r="E106" s="20">
        <f t="shared" ref="E106:AZ106" si="2924">SUM(E104:E105)</f>
        <v>7088</v>
      </c>
      <c r="F106" s="20">
        <f t="shared" si="2924"/>
        <v>6955.95</v>
      </c>
      <c r="G106" s="20">
        <f t="shared" si="2924"/>
        <v>7377.15</v>
      </c>
      <c r="H106" s="20">
        <f t="shared" si="2924"/>
        <v>8569.5</v>
      </c>
      <c r="I106" s="20">
        <f t="shared" si="2924"/>
        <v>7613.7</v>
      </c>
      <c r="J106" s="20">
        <f t="shared" si="2924"/>
        <v>7371.4</v>
      </c>
      <c r="K106" s="20">
        <f t="shared" si="2924"/>
        <v>9001.2999999999993</v>
      </c>
      <c r="L106" s="20">
        <f t="shared" si="2924"/>
        <v>6969.75</v>
      </c>
      <c r="M106" s="20">
        <f t="shared" si="2924"/>
        <v>9515.4500000000007</v>
      </c>
      <c r="N106" s="20">
        <f t="shared" si="2924"/>
        <v>6204.8</v>
      </c>
      <c r="O106" s="20">
        <f t="shared" si="2924"/>
        <v>9048.4500000000007</v>
      </c>
      <c r="P106" s="20">
        <f t="shared" si="2924"/>
        <v>8904.5499999999993</v>
      </c>
      <c r="Q106" s="20">
        <f t="shared" si="2924"/>
        <v>8437.7999999999993</v>
      </c>
      <c r="R106" s="20">
        <f t="shared" si="2924"/>
        <v>10361.85</v>
      </c>
      <c r="S106" s="20">
        <f t="shared" si="2924"/>
        <v>9692</v>
      </c>
      <c r="T106" s="20">
        <f t="shared" si="2924"/>
        <v>13175.45</v>
      </c>
      <c r="U106" s="20">
        <f t="shared" si="2924"/>
        <v>23248.6</v>
      </c>
      <c r="V106" s="20">
        <f t="shared" si="2924"/>
        <v>23078.35</v>
      </c>
      <c r="W106" s="20">
        <f t="shared" si="2924"/>
        <v>13579.9</v>
      </c>
      <c r="X106" s="20">
        <f t="shared" si="2924"/>
        <v>10670.9</v>
      </c>
      <c r="Y106" s="20">
        <f t="shared" si="2924"/>
        <v>13320.9</v>
      </c>
      <c r="Z106" s="20">
        <f t="shared" si="2924"/>
        <v>8992.5499999999993</v>
      </c>
      <c r="AA106" s="20">
        <f t="shared" si="2924"/>
        <v>7929.95</v>
      </c>
      <c r="AB106" s="20">
        <f t="shared" si="2924"/>
        <v>9243.0499999999993</v>
      </c>
      <c r="AC106" s="20">
        <f t="shared" si="2924"/>
        <v>9095.85</v>
      </c>
      <c r="AD106" s="20">
        <f t="shared" si="2924"/>
        <v>9104.15</v>
      </c>
      <c r="AE106" s="20">
        <f t="shared" si="2924"/>
        <v>10408.700000000001</v>
      </c>
      <c r="AF106" s="20">
        <f t="shared" si="2924"/>
        <v>12240.8</v>
      </c>
      <c r="AG106" s="20">
        <f t="shared" si="2924"/>
        <v>11545.75</v>
      </c>
      <c r="AH106" s="20">
        <f t="shared" si="2924"/>
        <v>10395.35</v>
      </c>
      <c r="AI106" s="20">
        <f t="shared" si="2924"/>
        <v>11191.45</v>
      </c>
      <c r="AJ106" s="20">
        <f t="shared" si="2924"/>
        <v>11229.9</v>
      </c>
      <c r="AK106" s="20">
        <f t="shared" si="2924"/>
        <v>11183.8</v>
      </c>
      <c r="AL106" s="20">
        <f t="shared" si="2924"/>
        <v>9715.7000000000007</v>
      </c>
      <c r="AM106" s="20">
        <f t="shared" si="2924"/>
        <v>10282.049999999999</v>
      </c>
      <c r="AN106" s="20">
        <f t="shared" si="2924"/>
        <v>9006.5</v>
      </c>
      <c r="AO106" s="20">
        <f t="shared" si="2924"/>
        <v>8355.85</v>
      </c>
      <c r="AP106" s="20">
        <f t="shared" si="2924"/>
        <v>9759.7999999999993</v>
      </c>
      <c r="AQ106" s="20">
        <f t="shared" si="2924"/>
        <v>11527.3</v>
      </c>
      <c r="AR106" s="20">
        <f t="shared" si="2924"/>
        <v>8145.05</v>
      </c>
      <c r="AS106" s="20">
        <f t="shared" si="2924"/>
        <v>9617.9500000000007</v>
      </c>
      <c r="AT106" s="20">
        <f t="shared" si="2924"/>
        <v>9271.4</v>
      </c>
      <c r="AU106" s="20">
        <f t="shared" si="2924"/>
        <v>8721.0499999999993</v>
      </c>
      <c r="AV106" s="20">
        <f t="shared" si="2924"/>
        <v>7634.45</v>
      </c>
      <c r="AW106" s="20">
        <f t="shared" si="2924"/>
        <v>7780.4</v>
      </c>
      <c r="AX106" s="20">
        <f t="shared" si="2924"/>
        <v>7030.7</v>
      </c>
      <c r="AY106" s="20">
        <f t="shared" si="2924"/>
        <v>8050.55</v>
      </c>
      <c r="AZ106" s="20">
        <f t="shared" si="2924"/>
        <v>7250.45</v>
      </c>
      <c r="BA106" s="20">
        <f t="shared" ref="BA106:BR106" si="2925">SUM(BA104:BA105)</f>
        <v>7932</v>
      </c>
      <c r="BB106" s="20">
        <f t="shared" si="2925"/>
        <v>8013.55</v>
      </c>
      <c r="BC106" s="20">
        <f t="shared" si="2925"/>
        <v>9095.5</v>
      </c>
      <c r="BD106" s="20">
        <f t="shared" si="2925"/>
        <v>9887.4</v>
      </c>
      <c r="BE106" s="20">
        <f t="shared" si="2925"/>
        <v>8646.4500000000007</v>
      </c>
      <c r="BF106" s="20">
        <f t="shared" si="2925"/>
        <v>10901.65</v>
      </c>
      <c r="BG106" s="20">
        <f t="shared" si="2925"/>
        <v>9657.35</v>
      </c>
      <c r="BH106" s="20">
        <f t="shared" si="2925"/>
        <v>8301.65</v>
      </c>
      <c r="BI106" s="20">
        <f t="shared" si="2925"/>
        <v>2048</v>
      </c>
      <c r="BJ106" s="20">
        <f t="shared" si="2925"/>
        <v>4718.1499999999996</v>
      </c>
      <c r="BK106" s="20">
        <f t="shared" si="2925"/>
        <v>12078.1</v>
      </c>
      <c r="BL106" s="20">
        <f t="shared" si="2925"/>
        <v>10844.7</v>
      </c>
      <c r="BM106" s="20">
        <f t="shared" si="2925"/>
        <v>10129.049999999999</v>
      </c>
      <c r="BN106" s="20">
        <f t="shared" si="2925"/>
        <v>10871.8</v>
      </c>
      <c r="BO106" s="20">
        <f t="shared" si="2925"/>
        <v>10124.85</v>
      </c>
      <c r="BP106" s="20">
        <f t="shared" si="2925"/>
        <v>12169.45</v>
      </c>
      <c r="BQ106" s="20">
        <f t="shared" si="2925"/>
        <v>11268.65</v>
      </c>
      <c r="BR106" s="20">
        <f t="shared" si="2925"/>
        <v>10878.65</v>
      </c>
      <c r="BS106" s="20">
        <f t="shared" ref="BS106:BW106" si="2926">SUM(BS104:BS105)</f>
        <v>13961.4</v>
      </c>
      <c r="BT106" s="20">
        <f t="shared" si="2926"/>
        <v>18122.150000000001</v>
      </c>
      <c r="BU106" s="20">
        <f t="shared" si="2926"/>
        <v>24952.45</v>
      </c>
      <c r="BV106" s="20">
        <f t="shared" si="2926"/>
        <v>22773.8</v>
      </c>
      <c r="BW106" s="20">
        <f t="shared" si="2926"/>
        <v>16038.4</v>
      </c>
      <c r="BX106" s="20">
        <f t="shared" ref="BX106:CN106" si="2927">SUM(BX104:BX105)</f>
        <v>18260.45</v>
      </c>
      <c r="BY106" s="20">
        <f t="shared" si="2927"/>
        <v>15203.95</v>
      </c>
      <c r="BZ106" s="20">
        <f t="shared" si="2927"/>
        <v>8304.5499999999993</v>
      </c>
      <c r="CA106" s="20">
        <f t="shared" si="2927"/>
        <v>8263.75</v>
      </c>
      <c r="CB106" s="20">
        <f t="shared" si="2927"/>
        <v>8128.1</v>
      </c>
      <c r="CC106" s="20">
        <f t="shared" si="2927"/>
        <v>7618.65</v>
      </c>
      <c r="CD106" s="20">
        <f t="shared" si="2927"/>
        <v>7510.6</v>
      </c>
      <c r="CE106" s="20">
        <f t="shared" si="2927"/>
        <v>9061.65</v>
      </c>
      <c r="CF106" s="20">
        <f t="shared" si="2927"/>
        <v>9473.85</v>
      </c>
      <c r="CG106" s="20">
        <f t="shared" si="2927"/>
        <v>9238.5</v>
      </c>
      <c r="CH106" s="20">
        <f t="shared" si="2927"/>
        <v>9586.1</v>
      </c>
      <c r="CI106" s="20">
        <f t="shared" si="2927"/>
        <v>9744.4500000000007</v>
      </c>
      <c r="CJ106" s="20">
        <f t="shared" si="2927"/>
        <v>9163.15</v>
      </c>
      <c r="CK106" s="20">
        <f t="shared" si="2927"/>
        <v>9859.9500000000007</v>
      </c>
      <c r="CL106" s="20">
        <f t="shared" si="2927"/>
        <v>9309.15</v>
      </c>
      <c r="CM106" s="20">
        <f t="shared" si="2927"/>
        <v>7642.3</v>
      </c>
      <c r="CN106" s="20">
        <f t="shared" si="2927"/>
        <v>9020.2000000000007</v>
      </c>
      <c r="CO106" s="20">
        <f t="shared" ref="CO106:CZ106" si="2928">SUM(CO104:CO105)</f>
        <v>8979</v>
      </c>
      <c r="CP106" s="20">
        <f t="shared" si="2928"/>
        <v>12186.9</v>
      </c>
      <c r="CQ106" s="20">
        <f t="shared" si="2928"/>
        <v>9972.85</v>
      </c>
      <c r="CR106" s="20">
        <f t="shared" si="2928"/>
        <v>9073.7000000000007</v>
      </c>
      <c r="CS106" s="20">
        <f t="shared" si="2928"/>
        <v>12590.15</v>
      </c>
      <c r="CT106" s="20">
        <f t="shared" si="2928"/>
        <v>8433.7000000000007</v>
      </c>
      <c r="CU106" s="20">
        <f t="shared" si="2928"/>
        <v>11684.7</v>
      </c>
      <c r="CV106" s="20">
        <f t="shared" si="2928"/>
        <v>9127.6</v>
      </c>
      <c r="CW106" s="20">
        <f t="shared" si="2928"/>
        <v>11130.83</v>
      </c>
      <c r="CX106" s="20">
        <f t="shared" si="2928"/>
        <v>8589.1999999999989</v>
      </c>
      <c r="CY106" s="20">
        <f t="shared" si="2928"/>
        <v>9091.4500000000007</v>
      </c>
      <c r="CZ106" s="20">
        <f t="shared" si="2928"/>
        <v>8406.43</v>
      </c>
      <c r="DA106" s="20">
        <f t="shared" ref="DA106:DB106" si="2929">SUM(DA104:DA105)</f>
        <v>10185.549999999999</v>
      </c>
      <c r="DB106" s="20">
        <f t="shared" si="2929"/>
        <v>8513.7699999999986</v>
      </c>
      <c r="DC106" s="20">
        <f t="shared" ref="DC106:DD106" si="2930">SUM(DC104:DC105)</f>
        <v>9221.9</v>
      </c>
      <c r="DD106" s="20">
        <f t="shared" si="2930"/>
        <v>8131.9000000000005</v>
      </c>
      <c r="DE106" s="20">
        <f t="shared" ref="DE106:DF106" si="2931">SUM(DE104:DE105)</f>
        <v>8814.7000000000007</v>
      </c>
      <c r="DF106" s="20">
        <f t="shared" si="2931"/>
        <v>10524</v>
      </c>
      <c r="DG106" s="20">
        <f t="shared" ref="DG106:DH106" si="2932">SUM(DG104:DG105)</f>
        <v>10627.449999999999</v>
      </c>
      <c r="DH106" s="20">
        <f t="shared" si="2932"/>
        <v>10926.35</v>
      </c>
      <c r="DI106" s="20">
        <f t="shared" ref="DI106:DJ106" si="2933">SUM(DI104:DI105)</f>
        <v>9486.5499999999993</v>
      </c>
      <c r="DJ106" s="20">
        <f t="shared" si="2933"/>
        <v>10018.700000000001</v>
      </c>
      <c r="DK106" s="20">
        <f t="shared" ref="DK106:DL106" si="2934">SUM(DK104:DK105)</f>
        <v>11530.35</v>
      </c>
      <c r="DL106" s="20">
        <f t="shared" si="2934"/>
        <v>10612.9</v>
      </c>
      <c r="DM106" s="20">
        <f t="shared" ref="DM106:DN106" si="2935">SUM(DM104:DM105)</f>
        <v>13490.75</v>
      </c>
      <c r="DN106" s="20">
        <f t="shared" si="2935"/>
        <v>11520.599999999999</v>
      </c>
      <c r="DO106" s="20">
        <f t="shared" ref="DO106:DP106" si="2936">SUM(DO104:DO105)</f>
        <v>11186.550000000001</v>
      </c>
      <c r="DP106" s="20">
        <f t="shared" si="2936"/>
        <v>13092.4</v>
      </c>
      <c r="DQ106" s="20">
        <f t="shared" ref="DQ106:DR106" si="2937">SUM(DQ104:DQ105)</f>
        <v>12743.650000000001</v>
      </c>
      <c r="DR106" s="20">
        <f t="shared" si="2937"/>
        <v>11672.1</v>
      </c>
      <c r="DS106" s="20">
        <f t="shared" ref="DS106:DT106" si="2938">SUM(DS104:DS105)</f>
        <v>9959.7999999999993</v>
      </c>
      <c r="DT106" s="20">
        <f t="shared" si="2938"/>
        <v>14546.1</v>
      </c>
      <c r="DU106" s="20">
        <f t="shared" ref="DU106:DV106" si="2939">SUM(DU104:DU105)</f>
        <v>24481.399999999998</v>
      </c>
      <c r="DV106" s="20">
        <f t="shared" si="2939"/>
        <v>21839.9</v>
      </c>
      <c r="DW106" s="20">
        <f t="shared" ref="DW106" si="2940">SUM(DW104:DW105)</f>
        <v>25833.95</v>
      </c>
      <c r="DX106" s="20">
        <f t="shared" ref="DX106:ED106" si="2941">SUM(DX104:DX105)</f>
        <v>18375.300000000003</v>
      </c>
      <c r="DY106" s="20">
        <f t="shared" si="2941"/>
        <v>17847.330000000002</v>
      </c>
      <c r="DZ106" s="20">
        <f t="shared" si="2941"/>
        <v>12988.6</v>
      </c>
      <c r="EA106" s="20">
        <f t="shared" si="2941"/>
        <v>9801.3000000000011</v>
      </c>
      <c r="EB106" s="20">
        <f t="shared" si="2941"/>
        <v>11054.85</v>
      </c>
      <c r="EC106" s="20">
        <f t="shared" si="2941"/>
        <v>11220.900000000001</v>
      </c>
      <c r="ED106" s="20">
        <f t="shared" si="2941"/>
        <v>13006.3</v>
      </c>
      <c r="EE106" s="20">
        <f t="shared" ref="EE106:EF106" si="2942">SUM(EE104:EE105)</f>
        <v>13350.849999999999</v>
      </c>
      <c r="EF106" s="20">
        <f t="shared" si="2942"/>
        <v>13097.6</v>
      </c>
      <c r="EG106" s="20">
        <f t="shared" ref="EG106:EH106" si="2943">SUM(EG104:EG105)</f>
        <v>13161.7</v>
      </c>
      <c r="EH106" s="20">
        <f t="shared" si="2943"/>
        <v>7914.6500000000005</v>
      </c>
      <c r="EI106" s="20">
        <f t="shared" ref="EI106:EJ106" si="2944">SUM(EI104:EI105)</f>
        <v>13220.5</v>
      </c>
      <c r="EJ106" s="20">
        <f t="shared" si="2944"/>
        <v>13861.15</v>
      </c>
      <c r="EK106" s="20">
        <f t="shared" ref="EK106:EL106" si="2945">SUM(EK104:EK105)</f>
        <v>13972.1</v>
      </c>
      <c r="EL106" s="20">
        <f t="shared" si="2945"/>
        <v>13551.300000000001</v>
      </c>
      <c r="EM106" s="20">
        <f t="shared" ref="EM106:EN106" si="2946">SUM(EM104:EM105)</f>
        <v>8968.7999999999993</v>
      </c>
      <c r="EN106" s="20">
        <f t="shared" si="2946"/>
        <v>8630.1999999999989</v>
      </c>
      <c r="EO106" s="20">
        <f t="shared" ref="EO106:EP106" si="2947">SUM(EO104:EO105)</f>
        <v>11078.650000000001</v>
      </c>
      <c r="EP106" s="20">
        <f t="shared" si="2947"/>
        <v>12717.8</v>
      </c>
      <c r="EQ106" s="20">
        <f t="shared" ref="EQ106:ER106" si="2948">SUM(EQ104:EQ105)</f>
        <v>10171</v>
      </c>
      <c r="ER106" s="20">
        <f t="shared" si="2948"/>
        <v>9953.15</v>
      </c>
      <c r="ES106" s="20">
        <f t="shared" ref="ES106:ET106" si="2949">SUM(ES104:ES105)</f>
        <v>10861.050000000001</v>
      </c>
      <c r="ET106" s="20">
        <f t="shared" si="2949"/>
        <v>11328.35</v>
      </c>
      <c r="EU106" s="20">
        <f t="shared" ref="EU106:EV106" si="2950">SUM(EU104:EU105)</f>
        <v>11868.849999999999</v>
      </c>
      <c r="EV106" s="20">
        <f t="shared" si="2950"/>
        <v>12985.6</v>
      </c>
      <c r="EW106" s="20">
        <f t="shared" ref="EW106:EX106" si="2951">SUM(EW104:EW105)</f>
        <v>11452.349999999999</v>
      </c>
      <c r="EX106" s="20">
        <f t="shared" si="2951"/>
        <v>10725</v>
      </c>
      <c r="EY106" s="20">
        <f t="shared" ref="EY106:FB106" si="2952">SUM(EY104:EY105)</f>
        <v>10955.85</v>
      </c>
      <c r="EZ106" s="20">
        <f t="shared" si="2952"/>
        <v>9689.35</v>
      </c>
      <c r="FA106" s="20">
        <f t="shared" si="2952"/>
        <v>12696.75</v>
      </c>
      <c r="FB106" s="20">
        <f t="shared" si="2952"/>
        <v>13021.8</v>
      </c>
      <c r="FC106" s="20">
        <f t="shared" ref="FC106:FD106" si="2953">SUM(FC104:FC105)</f>
        <v>11087.85</v>
      </c>
      <c r="FD106" s="20">
        <f t="shared" si="2953"/>
        <v>11086.8</v>
      </c>
      <c r="FE106" s="20">
        <f t="shared" ref="FE106:FF106" si="2954">SUM(FE104:FE105)</f>
        <v>12176.800000000001</v>
      </c>
      <c r="FF106" s="20">
        <f t="shared" si="2954"/>
        <v>13101.400000000001</v>
      </c>
      <c r="FG106" s="20">
        <f t="shared" ref="FG106:FH106" si="2955">SUM(FG104:FG105)</f>
        <v>13449</v>
      </c>
      <c r="FH106" s="20">
        <f t="shared" si="2955"/>
        <v>15001.95</v>
      </c>
      <c r="FI106" s="20">
        <f t="shared" ref="FI106:FJ106" si="2956">SUM(FI104:FI105)</f>
        <v>13371.550000000001</v>
      </c>
      <c r="FJ106" s="20">
        <f t="shared" si="2956"/>
        <v>14871.85</v>
      </c>
      <c r="FK106" s="20">
        <f t="shared" ref="FK106:FL106" si="2957">SUM(FK104:FK105)</f>
        <v>15774.15</v>
      </c>
      <c r="FL106" s="20">
        <f t="shared" si="2957"/>
        <v>14615.6</v>
      </c>
      <c r="FM106" s="20">
        <f t="shared" ref="FM106" si="2958">SUM(FM104:FM105)</f>
        <v>17694.099999999999</v>
      </c>
      <c r="FN106" s="20">
        <v>16620</v>
      </c>
      <c r="FO106" s="20">
        <f>16396.4+204.7</f>
        <v>16601.100000000002</v>
      </c>
      <c r="FP106" s="20">
        <f>18117.45+161.7</f>
        <v>18279.150000000001</v>
      </c>
      <c r="FQ106" s="20">
        <f>18698.2+230.9</f>
        <v>18929.100000000002</v>
      </c>
      <c r="FR106" s="20">
        <f>16974+160.4</f>
        <v>17134.400000000001</v>
      </c>
      <c r="FS106" s="20">
        <f>17348.6+192</f>
        <v>17540.599999999999</v>
      </c>
      <c r="FT106" s="20">
        <f>17743.6+185.1</f>
        <v>17928.699999999997</v>
      </c>
      <c r="FU106" s="20">
        <f>26834.65+229.2</f>
        <v>27063.850000000002</v>
      </c>
      <c r="FV106" s="20">
        <f>35764.55+225+42</f>
        <v>36031.550000000003</v>
      </c>
      <c r="FW106" s="20">
        <f>27348.7+191.5+75.6</f>
        <v>27615.8</v>
      </c>
      <c r="FX106" s="20">
        <f>22173.1+136+50.4</f>
        <v>22359.5</v>
      </c>
      <c r="FY106" s="20">
        <f>20595.2+146.1+42</f>
        <v>20783.3</v>
      </c>
      <c r="FZ106" s="20">
        <f>20330+202+16.8</f>
        <v>20548.8</v>
      </c>
      <c r="GA106" s="20">
        <f>10492.15+124.3+33.6</f>
        <v>10650.05</v>
      </c>
      <c r="GB106" s="20">
        <f>15019.35+131.1</f>
        <v>15150.45</v>
      </c>
      <c r="GC106" s="20">
        <f>13826.9+176.9</f>
        <v>14003.8</v>
      </c>
      <c r="GD106" s="20">
        <f>14639.9+155+175.2</f>
        <v>14970.1</v>
      </c>
      <c r="GE106" s="20">
        <f>15598.85+138.7+285.6</f>
        <v>16023.150000000001</v>
      </c>
      <c r="GF106" s="20">
        <f>16720.01+162.6+154</f>
        <v>17036.609999999997</v>
      </c>
      <c r="GG106" s="20">
        <f>17757.1+198.2+195.6</f>
        <v>18150.899999999998</v>
      </c>
      <c r="GH106" s="20">
        <f>15471.15+126+458.6</f>
        <v>16055.75</v>
      </c>
      <c r="GI106" s="20">
        <f>14637.15+145.9+563.85</f>
        <v>15346.9</v>
      </c>
      <c r="GJ106" s="20">
        <f>16031+344.4+171.1</f>
        <v>16546.5</v>
      </c>
      <c r="GK106" s="20">
        <f>17169.6+1104+145.6</f>
        <v>18419.199999999997</v>
      </c>
      <c r="GL106" s="20">
        <f>13145.35+90.1+827.15</f>
        <v>14062.6</v>
      </c>
      <c r="GM106" s="20">
        <f>169+20066.15</f>
        <v>20235.150000000001</v>
      </c>
      <c r="GN106" s="20">
        <f>15443.85+189.7+568.9</f>
        <v>16202.45</v>
      </c>
      <c r="GO106" s="20">
        <f>16047.85+114.3</f>
        <v>16162.15</v>
      </c>
      <c r="GP106" s="20">
        <f>11539.05+116.2</f>
        <v>11655.25</v>
      </c>
      <c r="GQ106" s="20">
        <f>15263.75+97.5</f>
        <v>15361.25</v>
      </c>
      <c r="GR106" s="108">
        <f>15373.2+103.1</f>
        <v>15476.300000000001</v>
      </c>
      <c r="GS106" s="154">
        <f>EQ106</f>
        <v>10171</v>
      </c>
      <c r="GT106" s="10" t="str">
        <f>B104</f>
        <v>SAM WELLERS</v>
      </c>
      <c r="GU106" s="92" t="s">
        <v>369</v>
      </c>
      <c r="GV106" s="93"/>
      <c r="GW106" s="56">
        <f>AVERAGE(ES106:GR106)</f>
        <v>15899.238653846154</v>
      </c>
      <c r="GX106" s="56">
        <f>AVERAGE(FS106:GR106)</f>
        <v>18130.025384615386</v>
      </c>
      <c r="GY106" s="56">
        <f>AVERAGE(GF106:GR106)</f>
        <v>16208.539230769229</v>
      </c>
      <c r="GZ106" s="56">
        <f>AVERAGE(GN106:GR106)</f>
        <v>14971.48</v>
      </c>
      <c r="HA106" s="56">
        <f>MAX(D106:GR106)</f>
        <v>36031.550000000003</v>
      </c>
    </row>
    <row r="107" spans="1:209" s="2" customFormat="1" ht="15" customHeight="1" x14ac:dyDescent="0.3">
      <c r="A107" s="171"/>
      <c r="B107" s="35" t="s">
        <v>365</v>
      </c>
      <c r="C107" s="36"/>
      <c r="D107" s="37"/>
      <c r="E107" s="37">
        <f>SUM(E106-D106)</f>
        <v>560.39999999999964</v>
      </c>
      <c r="F107" s="37">
        <f t="shared" ref="F107:P107" si="2959">SUM(F106-E106)</f>
        <v>-132.05000000000018</v>
      </c>
      <c r="G107" s="37">
        <f t="shared" si="2959"/>
        <v>421.19999999999982</v>
      </c>
      <c r="H107" s="37">
        <f t="shared" si="2959"/>
        <v>1192.3500000000004</v>
      </c>
      <c r="I107" s="37">
        <f t="shared" si="2959"/>
        <v>-955.80000000000018</v>
      </c>
      <c r="J107" s="37">
        <f t="shared" si="2959"/>
        <v>-242.30000000000018</v>
      </c>
      <c r="K107" s="37">
        <f t="shared" si="2959"/>
        <v>1629.8999999999996</v>
      </c>
      <c r="L107" s="37">
        <f t="shared" si="2959"/>
        <v>-2031.5499999999993</v>
      </c>
      <c r="M107" s="37">
        <f t="shared" si="2959"/>
        <v>2545.7000000000007</v>
      </c>
      <c r="N107" s="37">
        <f t="shared" si="2959"/>
        <v>-3310.6500000000005</v>
      </c>
      <c r="O107" s="37">
        <f t="shared" si="2959"/>
        <v>2843.6500000000005</v>
      </c>
      <c r="P107" s="37">
        <f t="shared" si="2959"/>
        <v>-143.90000000000146</v>
      </c>
      <c r="Q107" s="37">
        <f t="shared" ref="Q107" si="2960">SUM(Q106-P106)</f>
        <v>-466.75</v>
      </c>
      <c r="R107" s="37">
        <f t="shared" ref="R107:AN107" si="2961">SUM(R106-Q106)</f>
        <v>1924.0500000000011</v>
      </c>
      <c r="S107" s="37">
        <f t="shared" si="2961"/>
        <v>-669.85000000000036</v>
      </c>
      <c r="T107" s="37">
        <f t="shared" si="2961"/>
        <v>3483.4500000000007</v>
      </c>
      <c r="U107" s="37">
        <f t="shared" si="2961"/>
        <v>10073.149999999998</v>
      </c>
      <c r="V107" s="37">
        <f t="shared" si="2961"/>
        <v>-170.25</v>
      </c>
      <c r="W107" s="37">
        <f t="shared" si="2961"/>
        <v>-9498.4499999999989</v>
      </c>
      <c r="X107" s="37">
        <f t="shared" si="2961"/>
        <v>-2909</v>
      </c>
      <c r="Y107" s="37">
        <f t="shared" si="2961"/>
        <v>2650</v>
      </c>
      <c r="Z107" s="37">
        <f t="shared" si="2961"/>
        <v>-4328.3500000000004</v>
      </c>
      <c r="AA107" s="37">
        <f t="shared" si="2961"/>
        <v>-1062.5999999999995</v>
      </c>
      <c r="AB107" s="37">
        <f t="shared" si="2961"/>
        <v>1313.0999999999995</v>
      </c>
      <c r="AC107" s="37">
        <f t="shared" si="2961"/>
        <v>-147.19999999999891</v>
      </c>
      <c r="AD107" s="37">
        <f t="shared" si="2961"/>
        <v>8.2999999999992724</v>
      </c>
      <c r="AE107" s="37">
        <f t="shared" si="2961"/>
        <v>1304.5500000000011</v>
      </c>
      <c r="AF107" s="37">
        <f t="shared" si="2961"/>
        <v>1832.0999999999985</v>
      </c>
      <c r="AG107" s="37">
        <f t="shared" si="2961"/>
        <v>-695.04999999999927</v>
      </c>
      <c r="AH107" s="37">
        <f t="shared" si="2961"/>
        <v>-1150.3999999999996</v>
      </c>
      <c r="AI107" s="37">
        <f t="shared" si="2961"/>
        <v>796.10000000000036</v>
      </c>
      <c r="AJ107" s="37">
        <f t="shared" si="2961"/>
        <v>38.449999999998909</v>
      </c>
      <c r="AK107" s="37">
        <f t="shared" si="2961"/>
        <v>-46.100000000000364</v>
      </c>
      <c r="AL107" s="37">
        <f t="shared" si="2961"/>
        <v>-1468.0999999999985</v>
      </c>
      <c r="AM107" s="37">
        <f t="shared" si="2961"/>
        <v>566.34999999999854</v>
      </c>
      <c r="AN107" s="37">
        <f t="shared" si="2961"/>
        <v>-1275.5499999999993</v>
      </c>
      <c r="AO107" s="37">
        <f t="shared" ref="AO107:BA107" si="2962">SUM(AO106-AN106)</f>
        <v>-650.64999999999964</v>
      </c>
      <c r="AP107" s="37">
        <f t="shared" si="2962"/>
        <v>1403.9499999999989</v>
      </c>
      <c r="AQ107" s="37">
        <f t="shared" si="2962"/>
        <v>1767.5</v>
      </c>
      <c r="AR107" s="37">
        <f t="shared" si="2962"/>
        <v>-3382.2499999999991</v>
      </c>
      <c r="AS107" s="37">
        <f t="shared" si="2962"/>
        <v>1472.9000000000005</v>
      </c>
      <c r="AT107" s="37">
        <f t="shared" si="2962"/>
        <v>-346.55000000000109</v>
      </c>
      <c r="AU107" s="37">
        <f t="shared" si="2962"/>
        <v>-550.35000000000036</v>
      </c>
      <c r="AV107" s="37">
        <f t="shared" si="2962"/>
        <v>-1086.5999999999995</v>
      </c>
      <c r="AW107" s="37">
        <f t="shared" si="2962"/>
        <v>145.94999999999982</v>
      </c>
      <c r="AX107" s="37">
        <f t="shared" si="2962"/>
        <v>-749.69999999999982</v>
      </c>
      <c r="AY107" s="37">
        <f t="shared" si="2962"/>
        <v>1019.8500000000004</v>
      </c>
      <c r="AZ107" s="37">
        <f t="shared" si="2962"/>
        <v>-800.10000000000036</v>
      </c>
      <c r="BA107" s="37">
        <f t="shared" si="2962"/>
        <v>681.55000000000018</v>
      </c>
      <c r="BB107" s="37">
        <f>SUM(BB106-BA106)</f>
        <v>81.550000000000182</v>
      </c>
      <c r="BC107" s="37">
        <f t="shared" ref="BC107:CO107" si="2963">SUM(BC106-BB106)</f>
        <v>1081.9499999999998</v>
      </c>
      <c r="BD107" s="37">
        <f t="shared" si="2963"/>
        <v>791.89999999999964</v>
      </c>
      <c r="BE107" s="37">
        <f t="shared" si="2963"/>
        <v>-1240.9499999999989</v>
      </c>
      <c r="BF107" s="37">
        <f t="shared" si="2963"/>
        <v>2255.1999999999989</v>
      </c>
      <c r="BG107" s="37">
        <f t="shared" si="2963"/>
        <v>-1244.2999999999993</v>
      </c>
      <c r="BH107" s="37">
        <f t="shared" si="2963"/>
        <v>-1355.7000000000007</v>
      </c>
      <c r="BI107" s="37">
        <f t="shared" si="2963"/>
        <v>-6253.65</v>
      </c>
      <c r="BJ107" s="37">
        <f t="shared" si="2963"/>
        <v>2670.1499999999996</v>
      </c>
      <c r="BK107" s="37">
        <f t="shared" si="2963"/>
        <v>7359.9500000000007</v>
      </c>
      <c r="BL107" s="37">
        <f t="shared" si="2963"/>
        <v>-1233.3999999999996</v>
      </c>
      <c r="BM107" s="37">
        <f t="shared" si="2963"/>
        <v>-715.65000000000146</v>
      </c>
      <c r="BN107" s="37">
        <f t="shared" si="2963"/>
        <v>742.75</v>
      </c>
      <c r="BO107" s="37">
        <f t="shared" si="2963"/>
        <v>-746.94999999999891</v>
      </c>
      <c r="BP107" s="37">
        <f t="shared" si="2963"/>
        <v>2044.6000000000004</v>
      </c>
      <c r="BQ107" s="37">
        <f t="shared" si="2963"/>
        <v>-900.80000000000109</v>
      </c>
      <c r="BR107" s="37">
        <f t="shared" si="2963"/>
        <v>-390</v>
      </c>
      <c r="BS107" s="37">
        <f t="shared" si="2963"/>
        <v>3082.75</v>
      </c>
      <c r="BT107" s="37">
        <f t="shared" si="2963"/>
        <v>4160.7500000000018</v>
      </c>
      <c r="BU107" s="37">
        <f t="shared" si="2963"/>
        <v>6830.2999999999993</v>
      </c>
      <c r="BV107" s="37">
        <f t="shared" si="2963"/>
        <v>-2178.6500000000015</v>
      </c>
      <c r="BW107" s="37">
        <f t="shared" si="2963"/>
        <v>-6735.4</v>
      </c>
      <c r="BX107" s="37">
        <f t="shared" si="2963"/>
        <v>2222.0500000000011</v>
      </c>
      <c r="BY107" s="37">
        <f t="shared" si="2963"/>
        <v>-3056.5</v>
      </c>
      <c r="BZ107" s="37">
        <f t="shared" si="2963"/>
        <v>-6899.4000000000015</v>
      </c>
      <c r="CA107" s="37">
        <f t="shared" si="2963"/>
        <v>-40.799999999999272</v>
      </c>
      <c r="CB107" s="37">
        <f t="shared" si="2963"/>
        <v>-135.64999999999964</v>
      </c>
      <c r="CC107" s="37">
        <f t="shared" si="2963"/>
        <v>-509.45000000000073</v>
      </c>
      <c r="CD107" s="37">
        <f t="shared" si="2963"/>
        <v>-108.04999999999927</v>
      </c>
      <c r="CE107" s="37">
        <f t="shared" si="2963"/>
        <v>1551.0499999999993</v>
      </c>
      <c r="CF107" s="37">
        <f t="shared" si="2963"/>
        <v>412.20000000000073</v>
      </c>
      <c r="CG107" s="37">
        <f t="shared" si="2963"/>
        <v>-235.35000000000036</v>
      </c>
      <c r="CH107" s="37">
        <f t="shared" si="2963"/>
        <v>347.60000000000036</v>
      </c>
      <c r="CI107" s="37">
        <f t="shared" si="2963"/>
        <v>158.35000000000036</v>
      </c>
      <c r="CJ107" s="37">
        <f t="shared" si="2963"/>
        <v>-581.30000000000109</v>
      </c>
      <c r="CK107" s="37">
        <f t="shared" si="2963"/>
        <v>696.80000000000109</v>
      </c>
      <c r="CL107" s="37">
        <f t="shared" si="2963"/>
        <v>-550.80000000000109</v>
      </c>
      <c r="CM107" s="37">
        <f t="shared" si="2963"/>
        <v>-1666.8499999999995</v>
      </c>
      <c r="CN107" s="37">
        <f t="shared" si="2963"/>
        <v>1377.9000000000005</v>
      </c>
      <c r="CO107" s="37">
        <f t="shared" si="2963"/>
        <v>-41.200000000000728</v>
      </c>
      <c r="CP107" s="37">
        <f t="shared" ref="CP107:DH107" si="2964">SUM(CP106-CO106)</f>
        <v>3207.8999999999996</v>
      </c>
      <c r="CQ107" s="37">
        <f t="shared" si="2964"/>
        <v>-2214.0499999999993</v>
      </c>
      <c r="CR107" s="37">
        <f t="shared" si="2964"/>
        <v>-899.14999999999964</v>
      </c>
      <c r="CS107" s="37">
        <f t="shared" si="2964"/>
        <v>3516.4499999999989</v>
      </c>
      <c r="CT107" s="37">
        <f t="shared" si="2964"/>
        <v>-4156.4499999999989</v>
      </c>
      <c r="CU107" s="37">
        <f t="shared" si="2964"/>
        <v>3251</v>
      </c>
      <c r="CV107" s="37">
        <f t="shared" si="2964"/>
        <v>-2557.1000000000004</v>
      </c>
      <c r="CW107" s="37">
        <f t="shared" si="2964"/>
        <v>2003.2299999999996</v>
      </c>
      <c r="CX107" s="37">
        <f t="shared" si="2964"/>
        <v>-2541.630000000001</v>
      </c>
      <c r="CY107" s="37">
        <f t="shared" si="2964"/>
        <v>502.25000000000182</v>
      </c>
      <c r="CZ107" s="37">
        <f t="shared" si="2964"/>
        <v>-685.02000000000044</v>
      </c>
      <c r="DA107" s="37">
        <f t="shared" si="2964"/>
        <v>1779.119999999999</v>
      </c>
      <c r="DB107" s="37">
        <f t="shared" si="2964"/>
        <v>-1671.7800000000007</v>
      </c>
      <c r="DC107" s="37">
        <f t="shared" si="2964"/>
        <v>708.13000000000102</v>
      </c>
      <c r="DD107" s="37">
        <f t="shared" si="2964"/>
        <v>-1089.9999999999991</v>
      </c>
      <c r="DE107" s="37">
        <f t="shared" si="2964"/>
        <v>682.80000000000018</v>
      </c>
      <c r="DF107" s="37">
        <f t="shared" si="2964"/>
        <v>1709.2999999999993</v>
      </c>
      <c r="DG107" s="37">
        <f t="shared" si="2964"/>
        <v>103.44999999999891</v>
      </c>
      <c r="DH107" s="37">
        <f t="shared" si="2964"/>
        <v>298.90000000000146</v>
      </c>
      <c r="DI107" s="28">
        <f t="shared" ref="DI107" si="2965">SUM(DI106-DH106)/DH106</f>
        <v>-0.13177319049819941</v>
      </c>
      <c r="DJ107" s="28">
        <f t="shared" ref="DJ107" si="2966">SUM(DJ106-DI106)/DI106</f>
        <v>5.6095208479373583E-2</v>
      </c>
      <c r="DK107" s="28">
        <f t="shared" ref="DK107" si="2967">SUM(DK106-DJ106)/DJ106</f>
        <v>0.15088284907223487</v>
      </c>
      <c r="DL107" s="28">
        <f t="shared" ref="DL107" si="2968">SUM(DL106-DK106)/DK106</f>
        <v>-7.9568269827021795E-2</v>
      </c>
      <c r="DM107" s="28">
        <f t="shared" ref="DM107" si="2969">SUM(DM106-DL106)/DL106</f>
        <v>0.27116527998944684</v>
      </c>
      <c r="DN107" s="28">
        <f t="shared" ref="DN107" si="2970">SUM(DN106-DM106)/DM106</f>
        <v>-0.14603709949409791</v>
      </c>
      <c r="DO107" s="28">
        <f t="shared" ref="DO107" si="2971">SUM(DO106-DN106)/DN106</f>
        <v>-2.8995885630956505E-2</v>
      </c>
      <c r="DP107" s="28">
        <f t="shared" ref="DP107" si="2972">SUM(DP106-DO106)/DO106</f>
        <v>0.17036977441659837</v>
      </c>
      <c r="DQ107" s="28">
        <f t="shared" ref="DQ107" si="2973">SUM(DQ106-DP106)/DP106</f>
        <v>-2.6637591274326952E-2</v>
      </c>
      <c r="DR107" s="28">
        <f t="shared" ref="DR107" si="2974">SUM(DR106-DQ106)/DQ106</f>
        <v>-8.4085014889768703E-2</v>
      </c>
      <c r="DS107" s="28">
        <f t="shared" ref="DS107" si="2975">SUM(DS106-DR106)/DR106</f>
        <v>-0.14670025102595086</v>
      </c>
      <c r="DT107" s="28">
        <f t="shared" ref="DT107" si="2976">SUM(DT106-DS106)/DS106</f>
        <v>0.46048113415932063</v>
      </c>
      <c r="DU107" s="28">
        <f t="shared" ref="DU107" si="2977">SUM(DU106-DT106)/DT106</f>
        <v>0.68302156591801222</v>
      </c>
      <c r="DV107" s="28">
        <f t="shared" ref="DV107" si="2978">SUM(DV106-DU106)/DU106</f>
        <v>-0.10789824111366166</v>
      </c>
      <c r="DW107" s="28">
        <f t="shared" ref="DW107" si="2979">SUM(DW106-DV106)/DV106</f>
        <v>0.18287858460890385</v>
      </c>
      <c r="DX107" s="28">
        <f t="shared" ref="DX107" si="2980">SUM(DX106-DW106)/DW106</f>
        <v>-0.28871504357637906</v>
      </c>
      <c r="DY107" s="28">
        <f t="shared" ref="DY107" si="2981">SUM(DY106-DX106)/DX106</f>
        <v>-2.8732592120945023E-2</v>
      </c>
      <c r="DZ107" s="28">
        <f t="shared" ref="DZ107" si="2982">SUM(DZ106-DY106)/DY106</f>
        <v>-0.27223848048979882</v>
      </c>
      <c r="EA107" s="28">
        <f t="shared" ref="EA107" si="2983">SUM(EA106-DZ106)/DZ106</f>
        <v>-0.24539211308378109</v>
      </c>
      <c r="EB107" s="28">
        <f t="shared" ref="EB107" si="2984">SUM(EB106-EA106)/EA106</f>
        <v>0.12789629947047831</v>
      </c>
      <c r="EC107" s="28">
        <f t="shared" ref="EC107" si="2985">SUM(EC106-EB106)/EB106</f>
        <v>1.5020556588284878E-2</v>
      </c>
      <c r="ED107" s="28">
        <f t="shared" ref="ED107" si="2986">SUM(ED106-EC106)/EC106</f>
        <v>0.159113796576032</v>
      </c>
      <c r="EE107" s="28">
        <f t="shared" ref="EE107" si="2987">SUM(EE106-ED106)/ED106</f>
        <v>2.6491008203716606E-2</v>
      </c>
      <c r="EF107" s="28">
        <f t="shared" ref="EF107" si="2988">SUM(EF106-EE106)/EE106</f>
        <v>-1.8968829699981513E-2</v>
      </c>
      <c r="EG107" s="28">
        <f t="shared" ref="EG107" si="2989">SUM(EG106-EF106)/EF106</f>
        <v>4.8940263865135877E-3</v>
      </c>
      <c r="EH107" s="28">
        <f t="shared" ref="EH107" si="2990">SUM(EH106-EG106)/EG106</f>
        <v>-0.39866050738126535</v>
      </c>
      <c r="EI107" s="28">
        <f t="shared" ref="EI107" si="2991">SUM(EI106-EH106)/EH106</f>
        <v>0.67038340293000942</v>
      </c>
      <c r="EJ107" s="28">
        <f t="shared" ref="EJ107" si="2992">SUM(EJ106-EI106)/EI106</f>
        <v>4.8458832873189341E-2</v>
      </c>
      <c r="EK107" s="28">
        <f t="shared" ref="EK107" si="2993">SUM(EK106-EJ106)/EJ106</f>
        <v>8.0043863604391217E-3</v>
      </c>
      <c r="EL107" s="28">
        <f t="shared" ref="EL107" si="2994">SUM(EL106-EK106)/EK106</f>
        <v>-3.011716205867402E-2</v>
      </c>
      <c r="EM107" s="28">
        <f t="shared" ref="EM107" si="2995">SUM(EM106-EL106)/EL106</f>
        <v>-0.33815943857784875</v>
      </c>
      <c r="EN107" s="28">
        <f t="shared" ref="EN107" si="2996">SUM(EN106-EM106)/EM106</f>
        <v>-3.7753099634287794E-2</v>
      </c>
      <c r="EO107" s="28">
        <f t="shared" ref="EO107" si="2997">SUM(EO106-EN106)/EN106</f>
        <v>0.28370721420129347</v>
      </c>
      <c r="EP107" s="28">
        <f t="shared" ref="EP107" si="2998">SUM(EP106-EO106)/EO106</f>
        <v>0.14795575273160516</v>
      </c>
      <c r="EQ107" s="28">
        <f t="shared" ref="EQ107" si="2999">SUM(EQ106-EP106)/EP106</f>
        <v>-0.20025476104357667</v>
      </c>
      <c r="ER107" s="28">
        <f t="shared" ref="ER107" si="3000">SUM(ER106-EQ106)/EQ106</f>
        <v>-2.1418739553632913E-2</v>
      </c>
      <c r="ES107" s="28">
        <f t="shared" ref="ES107" si="3001">SUM(ES106-ER106)/ER106</f>
        <v>9.1217353300211634E-2</v>
      </c>
      <c r="ET107" s="28">
        <f t="shared" ref="ET107" si="3002">SUM(ET106-ES106)/ES106</f>
        <v>4.302530602473971E-2</v>
      </c>
      <c r="EU107" s="28">
        <f t="shared" ref="EU107" si="3003">SUM(EU106-ET106)/ET106</f>
        <v>4.771215578614698E-2</v>
      </c>
      <c r="EV107" s="28">
        <f t="shared" ref="EV107" si="3004">SUM(EV106-EU106)/EU106</f>
        <v>9.4090834411084637E-2</v>
      </c>
      <c r="EW107" s="28">
        <f t="shared" ref="EW107" si="3005">SUM(EW106-EV106)/EV106</f>
        <v>-0.11807309635288334</v>
      </c>
      <c r="EX107" s="28">
        <f t="shared" ref="EX107" si="3006">SUM(EX106-EW106)/EW106</f>
        <v>-6.3510982462114646E-2</v>
      </c>
      <c r="EY107" s="28">
        <f t="shared" ref="EY107" si="3007">SUM(EY106-EX106)/EX106</f>
        <v>2.1524475524475558E-2</v>
      </c>
      <c r="EZ107" s="28">
        <f t="shared" ref="EZ107" si="3008">SUM(EZ106-EY106)/EY106</f>
        <v>-0.11560034137013558</v>
      </c>
      <c r="FA107" s="28">
        <f t="shared" ref="FA107" si="3009">SUM(FA106-EZ106)/EZ106</f>
        <v>0.31038201736958615</v>
      </c>
      <c r="FB107" s="28">
        <f t="shared" ref="FB107" si="3010">SUM(FB106-FA106)/FA106</f>
        <v>2.5601039636127299E-2</v>
      </c>
      <c r="FC107" s="28">
        <f t="shared" ref="FC107" si="3011">SUM(FC106-FB106)/FB106</f>
        <v>-0.14851633414735282</v>
      </c>
      <c r="FD107" s="28">
        <f t="shared" ref="FD107" si="3012">SUM(FD106-FC106)/FC106</f>
        <v>-9.4698250788123159E-5</v>
      </c>
      <c r="FE107" s="28">
        <f t="shared" ref="FE107" si="3013">SUM(FE106-FD106)/FD106</f>
        <v>9.8315113468268739E-2</v>
      </c>
      <c r="FF107" s="28">
        <f t="shared" ref="FF107" si="3014">SUM(FF106-FE106)/FE106</f>
        <v>7.5931279153800699E-2</v>
      </c>
      <c r="FG107" s="28">
        <f t="shared" ref="FG107" si="3015">SUM(FG106-FF106)/FF106</f>
        <v>2.6531515715877578E-2</v>
      </c>
      <c r="FH107" s="28">
        <f t="shared" ref="FH107" si="3016">SUM(FH106-FG106)/FG106</f>
        <v>0.11546955163952716</v>
      </c>
      <c r="FI107" s="28">
        <f t="shared" ref="FI107" si="3017">SUM(FI106-FH106)/FH106</f>
        <v>-0.10867920503667854</v>
      </c>
      <c r="FJ107" s="28">
        <f t="shared" ref="FJ107" si="3018">SUM(FJ106-FI106)/FI106</f>
        <v>0.11220090415845577</v>
      </c>
      <c r="FK107" s="28">
        <f t="shared" ref="FK107" si="3019">SUM(FK106-FJ106)/FJ106</f>
        <v>6.067167164811367E-2</v>
      </c>
      <c r="FL107" s="28">
        <f t="shared" ref="FL107" si="3020">SUM(FL106-FK106)/FK106</f>
        <v>-7.3446112785791898E-2</v>
      </c>
      <c r="FM107" s="28">
        <f t="shared" ref="FM107:GK107" si="3021">SUM(FM106-FL106)/FL106</f>
        <v>0.21063110648895689</v>
      </c>
      <c r="FN107" s="28">
        <f t="shared" si="3021"/>
        <v>-6.0703850436020966E-2</v>
      </c>
      <c r="FO107" s="28">
        <f t="shared" si="3021"/>
        <v>-1.1371841155233345E-3</v>
      </c>
      <c r="FP107" s="28">
        <f t="shared" si="3021"/>
        <v>0.1010806512821439</v>
      </c>
      <c r="FQ107" s="28">
        <f t="shared" si="3021"/>
        <v>3.555690499831779E-2</v>
      </c>
      <c r="FR107" s="28">
        <f t="shared" si="3021"/>
        <v>-9.4811692050863511E-2</v>
      </c>
      <c r="FS107" s="28">
        <f t="shared" si="3021"/>
        <v>2.3706695303015984E-2</v>
      </c>
      <c r="FT107" s="28">
        <f t="shared" si="3021"/>
        <v>2.21258109756792E-2</v>
      </c>
      <c r="FU107" s="28">
        <f t="shared" si="3021"/>
        <v>0.5095266249086664</v>
      </c>
      <c r="FV107" s="28">
        <f t="shared" si="3021"/>
        <v>0.33135344749545981</v>
      </c>
      <c r="FW107" s="28">
        <f t="shared" si="3021"/>
        <v>-0.23356613856467465</v>
      </c>
      <c r="FX107" s="28">
        <f t="shared" si="3021"/>
        <v>-0.19033669131439246</v>
      </c>
      <c r="FY107" s="28">
        <f t="shared" si="3021"/>
        <v>-7.049352624164229E-2</v>
      </c>
      <c r="FZ107" s="28">
        <f t="shared" si="3021"/>
        <v>-1.1283097486924598E-2</v>
      </c>
      <c r="GA107" s="28">
        <f t="shared" si="3021"/>
        <v>-0.4817191271509772</v>
      </c>
      <c r="GB107" s="28">
        <f t="shared" si="3021"/>
        <v>0.42257078605264781</v>
      </c>
      <c r="GC107" s="28">
        <f t="shared" si="3021"/>
        <v>-7.5684220600708327E-2</v>
      </c>
      <c r="GD107" s="28">
        <f t="shared" si="3021"/>
        <v>6.9002699267341802E-2</v>
      </c>
      <c r="GE107" s="28">
        <f t="shared" si="3021"/>
        <v>7.0343551479282104E-2</v>
      </c>
      <c r="GF107" s="28">
        <f t="shared" si="3021"/>
        <v>6.3249735538891877E-2</v>
      </c>
      <c r="GG107" s="28">
        <f t="shared" si="3021"/>
        <v>6.5405617666895066E-2</v>
      </c>
      <c r="GH107" s="28">
        <f t="shared" si="3021"/>
        <v>-0.11542953792924858</v>
      </c>
      <c r="GI107" s="28">
        <f t="shared" si="3021"/>
        <v>-4.4149292309608727E-2</v>
      </c>
      <c r="GJ107" s="28">
        <f t="shared" si="3021"/>
        <v>7.8165623024845435E-2</v>
      </c>
      <c r="GK107" s="28">
        <f t="shared" si="3021"/>
        <v>0.11317801347717023</v>
      </c>
      <c r="GL107" s="28">
        <f t="shared" ref="GL107" si="3022">(GL106-GK106)/GK106</f>
        <v>-0.23652493050729659</v>
      </c>
      <c r="GM107" s="28">
        <f t="shared" ref="GM107" si="3023">(GM106-GL106)/GL106</f>
        <v>0.43893376758209723</v>
      </c>
      <c r="GN107" s="28">
        <f t="shared" ref="GN107" si="3024">(GN106-GM106)/GM106</f>
        <v>-0.19929182635167025</v>
      </c>
      <c r="GO107" s="28">
        <f t="shared" ref="GO107:GR107" si="3025">(GO106-GN106)/GN106</f>
        <v>-2.4872781585501629E-3</v>
      </c>
      <c r="GP107" s="28">
        <f t="shared" si="3025"/>
        <v>-0.27885522656329759</v>
      </c>
      <c r="GQ107" s="28">
        <f t="shared" si="3025"/>
        <v>0.31796829754831513</v>
      </c>
      <c r="GR107" s="165">
        <f t="shared" si="3025"/>
        <v>7.4896248677679932E-3</v>
      </c>
      <c r="GS107" s="161"/>
      <c r="GT107" s="11"/>
      <c r="GU107" s="166" t="s">
        <v>368</v>
      </c>
      <c r="GV107" s="167">
        <f>LABOUR!AG76</f>
        <v>0.15088877832556877</v>
      </c>
      <c r="GW107" s="58"/>
      <c r="GX107" s="58"/>
      <c r="GY107" s="58"/>
      <c r="GZ107" s="58"/>
      <c r="HA107" s="58"/>
    </row>
    <row r="108" spans="1:209" s="2" customFormat="1" ht="15" customHeight="1" x14ac:dyDescent="0.3">
      <c r="A108" s="171"/>
      <c r="B108" s="22" t="s">
        <v>91</v>
      </c>
      <c r="C108" s="23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>
        <f t="shared" ref="BD108" si="3026">D106</f>
        <v>6527.6</v>
      </c>
      <c r="BE108" s="25">
        <f t="shared" ref="BE108" si="3027">E106</f>
        <v>7088</v>
      </c>
      <c r="BF108" s="25">
        <f t="shared" ref="BF108" si="3028">F106</f>
        <v>6955.95</v>
      </c>
      <c r="BG108" s="25">
        <f t="shared" ref="BG108" si="3029">G106</f>
        <v>7377.15</v>
      </c>
      <c r="BH108" s="25">
        <f t="shared" ref="BH108" si="3030">H106</f>
        <v>8569.5</v>
      </c>
      <c r="BI108" s="25">
        <f t="shared" ref="BI108" si="3031">I106</f>
        <v>7613.7</v>
      </c>
      <c r="BJ108" s="25">
        <f t="shared" ref="BJ108" si="3032">J106</f>
        <v>7371.4</v>
      </c>
      <c r="BK108" s="25">
        <f t="shared" ref="BK108" si="3033">K106</f>
        <v>9001.2999999999993</v>
      </c>
      <c r="BL108" s="25">
        <f t="shared" ref="BL108" si="3034">L106</f>
        <v>6969.75</v>
      </c>
      <c r="BM108" s="25">
        <f t="shared" ref="BM108" si="3035">M106</f>
        <v>9515.4500000000007</v>
      </c>
      <c r="BN108" s="25">
        <f t="shared" ref="BN108" si="3036">N106</f>
        <v>6204.8</v>
      </c>
      <c r="BO108" s="25">
        <f t="shared" ref="BO108" si="3037">O106</f>
        <v>9048.4500000000007</v>
      </c>
      <c r="BP108" s="25">
        <f t="shared" ref="BP108" si="3038">P106</f>
        <v>8904.5499999999993</v>
      </c>
      <c r="BQ108" s="25">
        <f t="shared" ref="BQ108" si="3039">Q106</f>
        <v>8437.7999999999993</v>
      </c>
      <c r="BR108" s="25">
        <f t="shared" ref="BR108" si="3040">R106</f>
        <v>10361.85</v>
      </c>
      <c r="BS108" s="25">
        <f t="shared" ref="BS108" si="3041">S106</f>
        <v>9692</v>
      </c>
      <c r="BT108" s="25">
        <f t="shared" ref="BT108" si="3042">T106</f>
        <v>13175.45</v>
      </c>
      <c r="BU108" s="25">
        <f t="shared" ref="BU108" si="3043">U106</f>
        <v>23248.6</v>
      </c>
      <c r="BV108" s="25">
        <f t="shared" ref="BV108" si="3044">V106</f>
        <v>23078.35</v>
      </c>
      <c r="BW108" s="25">
        <f t="shared" ref="BW108" si="3045">W106</f>
        <v>13579.9</v>
      </c>
      <c r="BX108" s="25">
        <f t="shared" ref="BX108" si="3046">X106</f>
        <v>10670.9</v>
      </c>
      <c r="BY108" s="25">
        <f t="shared" ref="BY108" si="3047">Y106</f>
        <v>13320.9</v>
      </c>
      <c r="BZ108" s="25">
        <f t="shared" ref="BZ108" si="3048">Z106</f>
        <v>8992.5499999999993</v>
      </c>
      <c r="CA108" s="25">
        <f t="shared" ref="CA108" si="3049">AA106</f>
        <v>7929.95</v>
      </c>
      <c r="CB108" s="25">
        <f t="shared" ref="CB108" si="3050">AB106</f>
        <v>9243.0499999999993</v>
      </c>
      <c r="CC108" s="25">
        <f t="shared" ref="CC108" si="3051">AC106</f>
        <v>9095.85</v>
      </c>
      <c r="CD108" s="25">
        <f t="shared" ref="CD108" si="3052">AD106</f>
        <v>9104.15</v>
      </c>
      <c r="CE108" s="25">
        <f t="shared" ref="CE108" si="3053">AE106</f>
        <v>10408.700000000001</v>
      </c>
      <c r="CF108" s="25">
        <f t="shared" ref="CF108" si="3054">AF106</f>
        <v>12240.8</v>
      </c>
      <c r="CG108" s="25">
        <f t="shared" ref="CG108" si="3055">AG106</f>
        <v>11545.75</v>
      </c>
      <c r="CH108" s="25">
        <f t="shared" ref="CH108" si="3056">AH106</f>
        <v>10395.35</v>
      </c>
      <c r="CI108" s="25">
        <f t="shared" ref="CI108" si="3057">AI106</f>
        <v>11191.45</v>
      </c>
      <c r="CJ108" s="25">
        <f t="shared" ref="CJ108" si="3058">AJ106</f>
        <v>11229.9</v>
      </c>
      <c r="CK108" s="25">
        <f t="shared" ref="CK108" si="3059">AK106</f>
        <v>11183.8</v>
      </c>
      <c r="CL108" s="25">
        <f t="shared" ref="CL108" si="3060">AL106</f>
        <v>9715.7000000000007</v>
      </c>
      <c r="CM108" s="25">
        <f t="shared" ref="CM108" si="3061">AM106</f>
        <v>10282.049999999999</v>
      </c>
      <c r="CN108" s="25">
        <f t="shared" ref="CN108" si="3062">AN106</f>
        <v>9006.5</v>
      </c>
      <c r="CO108" s="25">
        <f t="shared" ref="CO108" si="3063">AO106</f>
        <v>8355.85</v>
      </c>
      <c r="CP108" s="25">
        <f t="shared" ref="CP108" si="3064">AP106</f>
        <v>9759.7999999999993</v>
      </c>
      <c r="CQ108" s="25">
        <f t="shared" ref="CQ108" si="3065">AQ106</f>
        <v>11527.3</v>
      </c>
      <c r="CR108" s="25">
        <f t="shared" ref="CR108" si="3066">AR106</f>
        <v>8145.05</v>
      </c>
      <c r="CS108" s="25">
        <f t="shared" ref="CS108" si="3067">AS106</f>
        <v>9617.9500000000007</v>
      </c>
      <c r="CT108" s="25">
        <f t="shared" ref="CT108" si="3068">AT106</f>
        <v>9271.4</v>
      </c>
      <c r="CU108" s="25">
        <f t="shared" ref="CU108" si="3069">AU106</f>
        <v>8721.0499999999993</v>
      </c>
      <c r="CV108" s="25">
        <f t="shared" ref="CV108" si="3070">AV106</f>
        <v>7634.45</v>
      </c>
      <c r="CW108" s="25">
        <f t="shared" ref="CW108" si="3071">AW106</f>
        <v>7780.4</v>
      </c>
      <c r="CX108" s="25">
        <f t="shared" ref="CX108" si="3072">AX106</f>
        <v>7030.7</v>
      </c>
      <c r="CY108" s="25">
        <f t="shared" ref="CY108" si="3073">AY106</f>
        <v>8050.55</v>
      </c>
      <c r="CZ108" s="25">
        <f t="shared" ref="CZ108" si="3074">AZ106</f>
        <v>7250.45</v>
      </c>
      <c r="DA108" s="25">
        <f t="shared" ref="DA108" si="3075">BA106</f>
        <v>7932</v>
      </c>
      <c r="DB108" s="25">
        <f t="shared" ref="DB108" si="3076">BB106</f>
        <v>8013.55</v>
      </c>
      <c r="DC108" s="25">
        <f t="shared" ref="DC108" si="3077">BC106</f>
        <v>9095.5</v>
      </c>
      <c r="DD108" s="25">
        <f t="shared" ref="DD108" si="3078">BD106</f>
        <v>9887.4</v>
      </c>
      <c r="DE108" s="25">
        <f t="shared" ref="DE108" si="3079">BE106</f>
        <v>8646.4500000000007</v>
      </c>
      <c r="DF108" s="25">
        <f t="shared" ref="DF108" si="3080">BF106</f>
        <v>10901.65</v>
      </c>
      <c r="DG108" s="25">
        <f t="shared" ref="DG108" si="3081">BG106</f>
        <v>9657.35</v>
      </c>
      <c r="DH108" s="25">
        <f t="shared" ref="DH108" si="3082">BH106</f>
        <v>8301.65</v>
      </c>
      <c r="DI108" s="25">
        <f t="shared" ref="DI108" si="3083">BI106</f>
        <v>2048</v>
      </c>
      <c r="DJ108" s="25">
        <f t="shared" ref="DJ108" si="3084">BJ106</f>
        <v>4718.1499999999996</v>
      </c>
      <c r="DK108" s="25">
        <f t="shared" ref="DK108" si="3085">BK106</f>
        <v>12078.1</v>
      </c>
      <c r="DL108" s="25">
        <f t="shared" ref="DL108" si="3086">BL106</f>
        <v>10844.7</v>
      </c>
      <c r="DM108" s="25">
        <f t="shared" ref="DM108" si="3087">BM106</f>
        <v>10129.049999999999</v>
      </c>
      <c r="DN108" s="25">
        <f t="shared" ref="DN108" si="3088">BN106</f>
        <v>10871.8</v>
      </c>
      <c r="DO108" s="25">
        <f t="shared" ref="DO108" si="3089">BO106</f>
        <v>10124.85</v>
      </c>
      <c r="DP108" s="25">
        <f t="shared" ref="DP108" si="3090">BP106</f>
        <v>12169.45</v>
      </c>
      <c r="DQ108" s="25">
        <f t="shared" ref="DQ108" si="3091">BQ106</f>
        <v>11268.65</v>
      </c>
      <c r="DR108" s="25">
        <f t="shared" ref="DR108" si="3092">BR106</f>
        <v>10878.65</v>
      </c>
      <c r="DS108" s="25">
        <f t="shared" ref="DS108" si="3093">BS106</f>
        <v>13961.4</v>
      </c>
      <c r="DT108" s="25">
        <f t="shared" ref="DT108" si="3094">BT106</f>
        <v>18122.150000000001</v>
      </c>
      <c r="DU108" s="25">
        <f t="shared" ref="DU108" si="3095">BU106</f>
        <v>24952.45</v>
      </c>
      <c r="DV108" s="25">
        <f t="shared" ref="DV108" si="3096">BV106</f>
        <v>22773.8</v>
      </c>
      <c r="DW108" s="25">
        <f t="shared" ref="DW108:GL108" si="3097">BW106</f>
        <v>16038.4</v>
      </c>
      <c r="DX108" s="25">
        <f t="shared" si="3097"/>
        <v>18260.45</v>
      </c>
      <c r="DY108" s="25">
        <f t="shared" si="3097"/>
        <v>15203.95</v>
      </c>
      <c r="DZ108" s="25">
        <f t="shared" si="3097"/>
        <v>8304.5499999999993</v>
      </c>
      <c r="EA108" s="25">
        <f t="shared" si="3097"/>
        <v>8263.75</v>
      </c>
      <c r="EB108" s="25">
        <f t="shared" si="3097"/>
        <v>8128.1</v>
      </c>
      <c r="EC108" s="25">
        <f t="shared" si="3097"/>
        <v>7618.65</v>
      </c>
      <c r="ED108" s="25">
        <f t="shared" si="3097"/>
        <v>7510.6</v>
      </c>
      <c r="EE108" s="25">
        <f t="shared" si="3097"/>
        <v>9061.65</v>
      </c>
      <c r="EF108" s="25">
        <f t="shared" si="3097"/>
        <v>9473.85</v>
      </c>
      <c r="EG108" s="25">
        <f t="shared" si="3097"/>
        <v>9238.5</v>
      </c>
      <c r="EH108" s="25">
        <f t="shared" si="3097"/>
        <v>9586.1</v>
      </c>
      <c r="EI108" s="25">
        <f t="shared" si="3097"/>
        <v>9744.4500000000007</v>
      </c>
      <c r="EJ108" s="25">
        <f t="shared" si="3097"/>
        <v>9163.15</v>
      </c>
      <c r="EK108" s="25">
        <f t="shared" si="3097"/>
        <v>9859.9500000000007</v>
      </c>
      <c r="EL108" s="25">
        <f t="shared" si="3097"/>
        <v>9309.15</v>
      </c>
      <c r="EM108" s="25">
        <f t="shared" si="3097"/>
        <v>7642.3</v>
      </c>
      <c r="EN108" s="25">
        <f t="shared" si="3097"/>
        <v>9020.2000000000007</v>
      </c>
      <c r="EO108" s="25">
        <f t="shared" si="3097"/>
        <v>8979</v>
      </c>
      <c r="EP108" s="25">
        <f t="shared" si="3097"/>
        <v>12186.9</v>
      </c>
      <c r="EQ108" s="25">
        <f t="shared" si="3097"/>
        <v>9972.85</v>
      </c>
      <c r="ER108" s="25">
        <f t="shared" si="3097"/>
        <v>9073.7000000000007</v>
      </c>
      <c r="ES108" s="25">
        <f t="shared" si="3097"/>
        <v>12590.15</v>
      </c>
      <c r="ET108" s="25">
        <f t="shared" si="3097"/>
        <v>8433.7000000000007</v>
      </c>
      <c r="EU108" s="25">
        <f t="shared" si="3097"/>
        <v>11684.7</v>
      </c>
      <c r="EV108" s="25">
        <f t="shared" si="3097"/>
        <v>9127.6</v>
      </c>
      <c r="EW108" s="25">
        <f t="shared" si="3097"/>
        <v>11130.83</v>
      </c>
      <c r="EX108" s="25">
        <f t="shared" si="3097"/>
        <v>8589.1999999999989</v>
      </c>
      <c r="EY108" s="25">
        <f t="shared" si="3097"/>
        <v>9091.4500000000007</v>
      </c>
      <c r="EZ108" s="25">
        <f t="shared" si="3097"/>
        <v>8406.43</v>
      </c>
      <c r="FA108" s="25">
        <f t="shared" si="3097"/>
        <v>10185.549999999999</v>
      </c>
      <c r="FB108" s="25">
        <f t="shared" si="3097"/>
        <v>8513.7699999999986</v>
      </c>
      <c r="FC108" s="25">
        <f t="shared" si="3097"/>
        <v>9221.9</v>
      </c>
      <c r="FD108" s="25">
        <f t="shared" si="3097"/>
        <v>8131.9000000000005</v>
      </c>
      <c r="FE108" s="25">
        <f t="shared" si="3097"/>
        <v>8814.7000000000007</v>
      </c>
      <c r="FF108" s="25">
        <f t="shared" si="3097"/>
        <v>10524</v>
      </c>
      <c r="FG108" s="25">
        <f t="shared" si="3097"/>
        <v>10627.449999999999</v>
      </c>
      <c r="FH108" s="25">
        <f t="shared" si="3097"/>
        <v>10926.35</v>
      </c>
      <c r="FI108" s="25">
        <f t="shared" si="3097"/>
        <v>9486.5499999999993</v>
      </c>
      <c r="FJ108" s="25">
        <f t="shared" si="3097"/>
        <v>10018.700000000001</v>
      </c>
      <c r="FK108" s="25">
        <f t="shared" si="3097"/>
        <v>11530.35</v>
      </c>
      <c r="FL108" s="25">
        <f t="shared" si="3097"/>
        <v>10612.9</v>
      </c>
      <c r="FM108" s="25">
        <f t="shared" si="3097"/>
        <v>13490.75</v>
      </c>
      <c r="FN108" s="25">
        <f t="shared" si="3097"/>
        <v>11520.599999999999</v>
      </c>
      <c r="FO108" s="25">
        <f t="shared" si="3097"/>
        <v>11186.550000000001</v>
      </c>
      <c r="FP108" s="25">
        <f t="shared" si="3097"/>
        <v>13092.4</v>
      </c>
      <c r="FQ108" s="25">
        <f t="shared" si="3097"/>
        <v>12743.650000000001</v>
      </c>
      <c r="FR108" s="25">
        <f t="shared" si="3097"/>
        <v>11672.1</v>
      </c>
      <c r="FS108" s="25">
        <f t="shared" si="3097"/>
        <v>9959.7999999999993</v>
      </c>
      <c r="FT108" s="25">
        <f t="shared" si="3097"/>
        <v>14546.1</v>
      </c>
      <c r="FU108" s="25">
        <f t="shared" si="3097"/>
        <v>24481.399999999998</v>
      </c>
      <c r="FV108" s="25">
        <f t="shared" si="3097"/>
        <v>21839.9</v>
      </c>
      <c r="FW108" s="25">
        <f t="shared" si="3097"/>
        <v>25833.95</v>
      </c>
      <c r="FX108" s="25">
        <f t="shared" si="3097"/>
        <v>18375.300000000003</v>
      </c>
      <c r="FY108" s="25">
        <f t="shared" si="3097"/>
        <v>17847.330000000002</v>
      </c>
      <c r="FZ108" s="25">
        <f t="shared" si="3097"/>
        <v>12988.6</v>
      </c>
      <c r="GA108" s="25">
        <f t="shared" si="3097"/>
        <v>9801.3000000000011</v>
      </c>
      <c r="GB108" s="25">
        <f t="shared" si="3097"/>
        <v>11054.85</v>
      </c>
      <c r="GC108" s="25">
        <f t="shared" si="3097"/>
        <v>11220.900000000001</v>
      </c>
      <c r="GD108" s="25">
        <f t="shared" si="3097"/>
        <v>13006.3</v>
      </c>
      <c r="GE108" s="25">
        <f t="shared" si="3097"/>
        <v>13350.849999999999</v>
      </c>
      <c r="GF108" s="25">
        <f t="shared" si="3097"/>
        <v>13097.6</v>
      </c>
      <c r="GG108" s="25">
        <f t="shared" si="3097"/>
        <v>13161.7</v>
      </c>
      <c r="GH108" s="25">
        <f t="shared" si="3097"/>
        <v>7914.6500000000005</v>
      </c>
      <c r="GI108" s="25">
        <f t="shared" si="3097"/>
        <v>13220.5</v>
      </c>
      <c r="GJ108" s="25">
        <f t="shared" si="3097"/>
        <v>13861.15</v>
      </c>
      <c r="GK108" s="25">
        <f t="shared" si="3097"/>
        <v>13972.1</v>
      </c>
      <c r="GL108" s="25">
        <f t="shared" si="3097"/>
        <v>13551.300000000001</v>
      </c>
      <c r="GM108" s="25">
        <f t="shared" ref="GM108:GR108" si="3098">EL106</f>
        <v>13551.300000000001</v>
      </c>
      <c r="GN108" s="25">
        <f t="shared" si="3098"/>
        <v>8968.7999999999993</v>
      </c>
      <c r="GO108" s="25">
        <f t="shared" si="3098"/>
        <v>8630.1999999999989</v>
      </c>
      <c r="GP108" s="25">
        <f t="shared" si="3098"/>
        <v>11078.650000000001</v>
      </c>
      <c r="GQ108" s="25">
        <f t="shared" si="3098"/>
        <v>12717.8</v>
      </c>
      <c r="GR108" s="110">
        <f t="shared" si="3098"/>
        <v>10171</v>
      </c>
      <c r="GS108" s="159"/>
      <c r="GT108" s="11"/>
      <c r="GU108" s="11"/>
      <c r="GV108" s="11"/>
      <c r="GW108" s="58"/>
      <c r="GX108" s="58"/>
      <c r="GY108" s="58"/>
      <c r="GZ108" s="58"/>
      <c r="HA108" s="58"/>
    </row>
    <row r="109" spans="1:209" s="2" customFormat="1" ht="15" customHeight="1" x14ac:dyDescent="0.3">
      <c r="A109" s="171"/>
      <c r="B109" s="26" t="s">
        <v>366</v>
      </c>
      <c r="C109" s="27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28">
        <f t="shared" ref="BD109:CN109" si="3099">(BD106-BD108)/BD108</f>
        <v>0.51470678350389099</v>
      </c>
      <c r="BE109" s="28">
        <f t="shared" si="3099"/>
        <v>0.21987161399548544</v>
      </c>
      <c r="BF109" s="28">
        <f t="shared" si="3099"/>
        <v>0.56724099511928638</v>
      </c>
      <c r="BG109" s="28">
        <f t="shared" si="3099"/>
        <v>0.30908955355387935</v>
      </c>
      <c r="BH109" s="28">
        <f t="shared" si="3099"/>
        <v>-3.1256199311511801E-2</v>
      </c>
      <c r="BI109" s="28">
        <f t="shared" si="3099"/>
        <v>-0.7310112034884485</v>
      </c>
      <c r="BJ109" s="28">
        <f t="shared" si="3099"/>
        <v>-0.35993841061399462</v>
      </c>
      <c r="BK109" s="28">
        <f t="shared" si="3099"/>
        <v>0.34181729305766961</v>
      </c>
      <c r="BL109" s="28">
        <f t="shared" si="3099"/>
        <v>0.555966856773916</v>
      </c>
      <c r="BM109" s="28">
        <f t="shared" si="3099"/>
        <v>6.4484601358842569E-2</v>
      </c>
      <c r="BN109" s="28">
        <f t="shared" si="3099"/>
        <v>0.75215961835997924</v>
      </c>
      <c r="BO109" s="28">
        <f t="shared" si="3099"/>
        <v>0.11895960081560926</v>
      </c>
      <c r="BP109" s="28">
        <f t="shared" si="3099"/>
        <v>0.36665524928267029</v>
      </c>
      <c r="BQ109" s="28">
        <f t="shared" si="3099"/>
        <v>0.33549621939368091</v>
      </c>
      <c r="BR109" s="28">
        <f t="shared" si="3099"/>
        <v>4.9875263587100691E-2</v>
      </c>
      <c r="BS109" s="28">
        <f t="shared" si="3099"/>
        <v>0.44050763516302099</v>
      </c>
      <c r="BT109" s="28">
        <f t="shared" si="3099"/>
        <v>0.37544827690894811</v>
      </c>
      <c r="BU109" s="28">
        <f t="shared" si="3099"/>
        <v>7.3288284025704878E-2</v>
      </c>
      <c r="BV109" s="28">
        <f t="shared" si="3099"/>
        <v>-1.3196350692315494E-2</v>
      </c>
      <c r="BW109" s="28">
        <f t="shared" si="3099"/>
        <v>0.18103962473950472</v>
      </c>
      <c r="BX109" s="28">
        <f t="shared" si="3099"/>
        <v>0.71123803990291368</v>
      </c>
      <c r="BY109" s="28">
        <f t="shared" si="3099"/>
        <v>0.14136056873034114</v>
      </c>
      <c r="BZ109" s="28">
        <f t="shared" si="3099"/>
        <v>-7.6507775881146073E-2</v>
      </c>
      <c r="CA109" s="28">
        <f t="shared" si="3099"/>
        <v>4.2093581926746095E-2</v>
      </c>
      <c r="CB109" s="28">
        <f t="shared" si="3099"/>
        <v>-0.12062576746853031</v>
      </c>
      <c r="CC109" s="28">
        <f t="shared" si="3099"/>
        <v>-0.16240373357080434</v>
      </c>
      <c r="CD109" s="28">
        <f t="shared" si="3099"/>
        <v>-0.17503556070583187</v>
      </c>
      <c r="CE109" s="28">
        <f t="shared" si="3099"/>
        <v>-0.12941577718639224</v>
      </c>
      <c r="CF109" s="28">
        <f t="shared" si="3099"/>
        <v>-0.22604323246846603</v>
      </c>
      <c r="CG109" s="28">
        <f t="shared" si="3099"/>
        <v>-0.19983543728211681</v>
      </c>
      <c r="CH109" s="28">
        <f t="shared" si="3099"/>
        <v>-7.7847306728489177E-2</v>
      </c>
      <c r="CI109" s="28">
        <f t="shared" si="3099"/>
        <v>-0.12929513155131819</v>
      </c>
      <c r="CJ109" s="28">
        <f t="shared" si="3099"/>
        <v>-0.18403992911780159</v>
      </c>
      <c r="CK109" s="28">
        <f t="shared" si="3099"/>
        <v>-0.11837210965861322</v>
      </c>
      <c r="CL109" s="28">
        <f t="shared" si="3099"/>
        <v>-4.1844643206356828E-2</v>
      </c>
      <c r="CM109" s="28">
        <f t="shared" si="3099"/>
        <v>-0.25673382253538929</v>
      </c>
      <c r="CN109" s="28">
        <f t="shared" si="3099"/>
        <v>1.5211236329318522E-3</v>
      </c>
      <c r="CO109" s="28">
        <f t="shared" ref="CO109:CZ109" si="3100">(CO106-CO108)/CO108</f>
        <v>7.457649431236793E-2</v>
      </c>
      <c r="CP109" s="28">
        <f t="shared" si="3100"/>
        <v>0.24868337465931684</v>
      </c>
      <c r="CQ109" s="28">
        <f t="shared" si="3100"/>
        <v>-0.13484944436251325</v>
      </c>
      <c r="CR109" s="28">
        <f t="shared" si="3100"/>
        <v>0.11401403306302607</v>
      </c>
      <c r="CS109" s="28">
        <f t="shared" si="3100"/>
        <v>0.30902635176934778</v>
      </c>
      <c r="CT109" s="28">
        <f t="shared" si="3100"/>
        <v>-9.0353128977284869E-2</v>
      </c>
      <c r="CU109" s="28">
        <f t="shared" si="3100"/>
        <v>0.33982719970645758</v>
      </c>
      <c r="CV109" s="28">
        <f t="shared" si="3100"/>
        <v>0.19558055917584116</v>
      </c>
      <c r="CW109" s="28">
        <f t="shared" si="3100"/>
        <v>0.43062438949154291</v>
      </c>
      <c r="CX109" s="28">
        <f t="shared" si="3100"/>
        <v>0.22167067290596942</v>
      </c>
      <c r="CY109" s="28">
        <f t="shared" si="3100"/>
        <v>0.12929551397109521</v>
      </c>
      <c r="CZ109" s="28">
        <f t="shared" si="3100"/>
        <v>0.15943562123730259</v>
      </c>
      <c r="DA109" s="28">
        <f t="shared" ref="DA109:DB109" si="3101">(DA106-DA108)/DA108</f>
        <v>0.28410867372667664</v>
      </c>
      <c r="DB109" s="28">
        <f t="shared" si="3101"/>
        <v>6.2421773121774798E-2</v>
      </c>
      <c r="DC109" s="28">
        <f t="shared" ref="DC109:DD109" si="3102">(DC106-DC108)/DC108</f>
        <v>1.3896982024077801E-2</v>
      </c>
      <c r="DD109" s="28">
        <f t="shared" si="3102"/>
        <v>-0.17754920403746174</v>
      </c>
      <c r="DE109" s="28">
        <f t="shared" ref="DE109:DF109" si="3103">(DE106-DE108)/DE108</f>
        <v>1.9458853055300152E-2</v>
      </c>
      <c r="DF109" s="28">
        <f t="shared" si="3103"/>
        <v>-3.4641545087211539E-2</v>
      </c>
      <c r="DG109" s="28">
        <f t="shared" ref="DG109:DH109" si="3104">(DG106-DG108)/DG108</f>
        <v>0.1004519873464251</v>
      </c>
      <c r="DH109" s="28">
        <f t="shared" si="3104"/>
        <v>0.31616606337294406</v>
      </c>
      <c r="DI109" s="28">
        <f t="shared" ref="DI109:DJ109" si="3105">(DI106-DI108)/DI108</f>
        <v>3.6321044921874996</v>
      </c>
      <c r="DJ109" s="28">
        <f t="shared" si="3105"/>
        <v>1.123438212011064</v>
      </c>
      <c r="DK109" s="28">
        <f t="shared" ref="DK109:DL109" si="3106">(DK106-DK108)/DK108</f>
        <v>-4.5350676016923192E-2</v>
      </c>
      <c r="DL109" s="28">
        <f t="shared" si="3106"/>
        <v>-2.1374496297730788E-2</v>
      </c>
      <c r="DM109" s="28">
        <f t="shared" ref="DM109:DN109" si="3107">(DM106-DM108)/DM108</f>
        <v>0.331886998287105</v>
      </c>
      <c r="DN109" s="28">
        <f t="shared" si="3107"/>
        <v>5.9677330340881851E-2</v>
      </c>
      <c r="DO109" s="28">
        <f t="shared" ref="DO109:DP109" si="3108">(DO106-DO108)/DO108</f>
        <v>0.10486081275278158</v>
      </c>
      <c r="DP109" s="28">
        <f t="shared" si="3108"/>
        <v>7.5841554055442018E-2</v>
      </c>
      <c r="DQ109" s="28">
        <f t="shared" ref="DQ109:DR109" si="3109">(DQ106-DQ108)/DQ108</f>
        <v>0.13089411775146106</v>
      </c>
      <c r="DR109" s="28">
        <f t="shared" si="3109"/>
        <v>7.2936439723679025E-2</v>
      </c>
      <c r="DS109" s="28">
        <f t="shared" ref="DS109:DT109" si="3110">(DS106-DS108)/DS108</f>
        <v>-0.28661882046213133</v>
      </c>
      <c r="DT109" s="28">
        <f t="shared" si="3110"/>
        <v>-0.19733033883948653</v>
      </c>
      <c r="DU109" s="28">
        <f t="shared" ref="DU109:DV109" si="3111">(DU106-DU108)/DU108</f>
        <v>-1.8877905776787565E-2</v>
      </c>
      <c r="DV109" s="28">
        <f t="shared" si="3111"/>
        <v>-4.1007649140679107E-2</v>
      </c>
      <c r="DW109" s="28">
        <f t="shared" ref="DW109:DX109" si="3112">(DW106-DW108)/DW108</f>
        <v>0.61075606045490827</v>
      </c>
      <c r="DX109" s="28">
        <f t="shared" si="3112"/>
        <v>6.2895492717869594E-3</v>
      </c>
      <c r="DY109" s="28">
        <f t="shared" ref="DY109:DZ109" si="3113">(DY106-DY108)/DY108</f>
        <v>0.17386139786042448</v>
      </c>
      <c r="DZ109" s="28">
        <f t="shared" si="3113"/>
        <v>0.56403417403712441</v>
      </c>
      <c r="EA109" s="28">
        <f t="shared" ref="EA109:EB109" si="3114">(EA106-EA108)/EA108</f>
        <v>0.18605959764029661</v>
      </c>
      <c r="EB109" s="28">
        <f t="shared" si="3114"/>
        <v>0.36007800100884585</v>
      </c>
      <c r="EC109" s="28">
        <f t="shared" ref="EC109:ED109" si="3115">(EC106-EC108)/EC108</f>
        <v>0.47281998779311324</v>
      </c>
      <c r="ED109" s="28">
        <f t="shared" si="3115"/>
        <v>0.73172582749713722</v>
      </c>
      <c r="EE109" s="28">
        <f t="shared" ref="EE109:EF109" si="3116">(EE106-EE108)/EE108</f>
        <v>0.47333543008171791</v>
      </c>
      <c r="EF109" s="28">
        <f t="shared" si="3116"/>
        <v>0.38250025069005733</v>
      </c>
      <c r="EG109" s="28">
        <f t="shared" ref="EG109:EH109" si="3117">(EG106-EG108)/EG108</f>
        <v>0.42465768252421937</v>
      </c>
      <c r="EH109" s="28">
        <f t="shared" si="3117"/>
        <v>-0.17436183640896713</v>
      </c>
      <c r="EI109" s="28">
        <f t="shared" ref="EI109:EJ109" si="3118">(EI106-EI108)/EI108</f>
        <v>0.35672100529019074</v>
      </c>
      <c r="EJ109" s="28">
        <f t="shared" si="3118"/>
        <v>0.51270578349148499</v>
      </c>
      <c r="EK109" s="28">
        <f t="shared" ref="EK109:EL109" si="3119">(EK106-EK108)/EK108</f>
        <v>0.41705586742326273</v>
      </c>
      <c r="EL109" s="28">
        <f t="shared" si="3119"/>
        <v>0.45569681442451798</v>
      </c>
      <c r="EM109" s="28">
        <f t="shared" ref="EM109:EN109" si="3120">(EM106-EM108)/EM108</f>
        <v>0.1735734006778063</v>
      </c>
      <c r="EN109" s="28">
        <f t="shared" si="3120"/>
        <v>-4.3236291878229062E-2</v>
      </c>
      <c r="EO109" s="28">
        <f t="shared" ref="EO109:EP109" si="3121">(EO106-EO108)/EO108</f>
        <v>0.23384007127742526</v>
      </c>
      <c r="EP109" s="28">
        <f t="shared" si="3121"/>
        <v>4.3563170289409092E-2</v>
      </c>
      <c r="EQ109" s="28">
        <f t="shared" ref="EQ109:ER109" si="3122">(EQ106-EQ108)/EQ108</f>
        <v>1.986894418345805E-2</v>
      </c>
      <c r="ER109" s="28">
        <f t="shared" si="3122"/>
        <v>9.6922975192038407E-2</v>
      </c>
      <c r="ES109" s="28">
        <f t="shared" ref="ES109:ET109" si="3123">(ES106-ES108)/ES108</f>
        <v>-0.13733752179282999</v>
      </c>
      <c r="ET109" s="28">
        <f t="shared" si="3123"/>
        <v>0.34322420764314587</v>
      </c>
      <c r="EU109" s="28">
        <f t="shared" ref="EU109:EV109" si="3124">(EU106-EU108)/EU108</f>
        <v>1.575992537249547E-2</v>
      </c>
      <c r="EV109" s="28">
        <f t="shared" si="3124"/>
        <v>0.42267408738332091</v>
      </c>
      <c r="EW109" s="28">
        <f t="shared" ref="EW109:EX109" si="3125">(EW106-EW108)/EW108</f>
        <v>2.8885536837773878E-2</v>
      </c>
      <c r="EX109" s="28">
        <f t="shared" si="3125"/>
        <v>0.24866110930005139</v>
      </c>
      <c r="EY109" s="28">
        <f t="shared" ref="EY109:EZ109" si="3126">(EY106-EY108)/EY108</f>
        <v>0.20507179822800536</v>
      </c>
      <c r="EZ109" s="28">
        <f t="shared" si="3126"/>
        <v>0.15261175076697242</v>
      </c>
      <c r="FA109" s="28">
        <f t="shared" ref="FA109:FB109" si="3127">(FA106-FA108)/FA108</f>
        <v>0.24654535101197295</v>
      </c>
      <c r="FB109" s="28">
        <f t="shared" si="3127"/>
        <v>0.52949868272222544</v>
      </c>
      <c r="FC109" s="28">
        <f t="shared" ref="FC109:FD109" si="3128">(FC106-FC108)/FC108</f>
        <v>0.20233899738665576</v>
      </c>
      <c r="FD109" s="28">
        <f t="shared" si="3128"/>
        <v>0.36337141381472948</v>
      </c>
      <c r="FE109" s="28">
        <f t="shared" ref="FE109:FF109" si="3129">(FE106-FE108)/FE108</f>
        <v>0.38141967395373638</v>
      </c>
      <c r="FF109" s="28">
        <f t="shared" si="3129"/>
        <v>0.2449068795134931</v>
      </c>
      <c r="FG109" s="28">
        <f t="shared" ref="FG109:FH109" si="3130">(FG106-FG108)/FG108</f>
        <v>0.26549642670631257</v>
      </c>
      <c r="FH109" s="28">
        <f t="shared" si="3130"/>
        <v>0.37300653923771437</v>
      </c>
      <c r="FI109" s="28">
        <f t="shared" ref="FI109:FJ109" si="3131">(FI106-FI108)/FI108</f>
        <v>0.40952717268132272</v>
      </c>
      <c r="FJ109" s="28">
        <f t="shared" si="3131"/>
        <v>0.48440915488037362</v>
      </c>
      <c r="FK109" s="28">
        <f t="shared" ref="FK109:FL109" si="3132">(FK106-FK108)/FK108</f>
        <v>0.36805474248396614</v>
      </c>
      <c r="FL109" s="28">
        <f t="shared" si="3132"/>
        <v>0.37715421798000553</v>
      </c>
      <c r="FM109" s="28">
        <f t="shared" ref="FM109:FN109" si="3133">(FM106-FM108)/FM108</f>
        <v>0.31157274428775261</v>
      </c>
      <c r="FN109" s="28">
        <f t="shared" si="3133"/>
        <v>0.44263319618769875</v>
      </c>
      <c r="FO109" s="28">
        <f t="shared" ref="FO109:FP109" si="3134">(FO106-FO108)/FO108</f>
        <v>0.48402322431848965</v>
      </c>
      <c r="FP109" s="28">
        <f t="shared" si="3134"/>
        <v>0.39616495065839741</v>
      </c>
      <c r="FQ109" s="28">
        <f t="shared" ref="FQ109:FR109" si="3135">(FQ106-FQ108)/FQ108</f>
        <v>0.4853750691520875</v>
      </c>
      <c r="FR109" s="28">
        <f t="shared" si="3135"/>
        <v>0.46797919825909656</v>
      </c>
      <c r="FS109" s="28">
        <f t="shared" ref="FS109:FT109" si="3136">(FS106-FS108)/FS108</f>
        <v>0.76113978192333176</v>
      </c>
      <c r="FT109" s="28">
        <f t="shared" si="3136"/>
        <v>0.23254343088525423</v>
      </c>
      <c r="FU109" s="28">
        <f t="shared" ref="FU109:FV109" si="3137">(FU106-FU108)/FU108</f>
        <v>0.10548620585424055</v>
      </c>
      <c r="FV109" s="28">
        <f t="shared" si="3137"/>
        <v>0.64980379946794631</v>
      </c>
      <c r="FW109" s="28">
        <f t="shared" ref="FW109:FX109" si="3138">(FW106-FW108)/FW108</f>
        <v>6.8973192252830037E-2</v>
      </c>
      <c r="FX109" s="28">
        <f t="shared" si="3138"/>
        <v>0.21682367090605303</v>
      </c>
      <c r="FY109" s="28">
        <f t="shared" ref="FY109:FZ109" si="3139">(FY106-FY108)/FY108</f>
        <v>0.16450471863298305</v>
      </c>
      <c r="FZ109" s="28">
        <f t="shared" si="3139"/>
        <v>0.58206427174599251</v>
      </c>
      <c r="GA109" s="28">
        <f t="shared" ref="GA109:GB109" si="3140">(GA106-GA108)/GA108</f>
        <v>8.6595655678328193E-2</v>
      </c>
      <c r="GB109" s="28">
        <f t="shared" si="3140"/>
        <v>0.37047992510074768</v>
      </c>
      <c r="GC109" s="28">
        <f t="shared" ref="GC109:GD109" si="3141">(GC106-GC108)/GC108</f>
        <v>0.24801040914721612</v>
      </c>
      <c r="GD109" s="28">
        <f t="shared" si="3141"/>
        <v>0.15098836717590716</v>
      </c>
      <c r="GE109" s="28">
        <f t="shared" ref="GE109:GF109" si="3142">(GE106-GE108)/GE108</f>
        <v>0.20015954040379474</v>
      </c>
      <c r="GF109" s="28">
        <f t="shared" si="3142"/>
        <v>0.30074288419252354</v>
      </c>
      <c r="GG109" s="28">
        <f t="shared" ref="GG109:GH109" si="3143">(GG106-GG108)/GG108</f>
        <v>0.37906957307946515</v>
      </c>
      <c r="GH109" s="28">
        <f t="shared" si="3143"/>
        <v>1.0286114989292008</v>
      </c>
      <c r="GI109" s="28">
        <f t="shared" ref="GI109:GJ109" si="3144">(GI106-GI108)/GI108</f>
        <v>0.16084111796074277</v>
      </c>
      <c r="GJ109" s="28">
        <f t="shared" si="3144"/>
        <v>0.19373212179364629</v>
      </c>
      <c r="GK109" s="28">
        <f t="shared" ref="GK109:GL109" si="3145">(GK106-GK108)/GK108</f>
        <v>0.31828429513101086</v>
      </c>
      <c r="GL109" s="28">
        <f t="shared" si="3145"/>
        <v>3.7730697423863334E-2</v>
      </c>
      <c r="GM109" s="28">
        <f t="shared" ref="GM109:GN109" si="3146">(GM106-GM108)/GM108</f>
        <v>0.49322574217971704</v>
      </c>
      <c r="GN109" s="28">
        <f t="shared" si="3146"/>
        <v>0.80653487646061928</v>
      </c>
      <c r="GO109" s="28">
        <f t="shared" ref="GO109:GP109" si="3147">(GO106-GO108)/GO108</f>
        <v>0.8727433894927118</v>
      </c>
      <c r="GP109" s="28">
        <f t="shared" si="3147"/>
        <v>5.2046052542502781E-2</v>
      </c>
      <c r="GQ109" s="28">
        <f t="shared" ref="GQ109:GR109" si="3148">(GQ106-GQ108)/GQ108</f>
        <v>0.20785434587743171</v>
      </c>
      <c r="GR109" s="109">
        <f t="shared" si="3148"/>
        <v>0.5216104611149347</v>
      </c>
      <c r="GS109" s="159"/>
      <c r="GT109" s="11"/>
      <c r="GU109" s="11"/>
      <c r="GV109" s="11"/>
      <c r="GW109" s="58"/>
      <c r="GX109" s="58"/>
      <c r="GY109" s="58"/>
      <c r="GZ109" s="58"/>
      <c r="HA109" s="58"/>
    </row>
    <row r="110" spans="1:209" s="2" customFormat="1" ht="7.5" customHeight="1" x14ac:dyDescent="0.3">
      <c r="A110" s="8"/>
      <c r="B110" s="29"/>
      <c r="C110" s="30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  <c r="EW110" s="32"/>
      <c r="EX110" s="32"/>
      <c r="EY110" s="32"/>
      <c r="EZ110" s="32"/>
      <c r="FA110" s="32"/>
      <c r="FB110" s="32"/>
      <c r="FC110" s="32"/>
      <c r="FD110" s="32"/>
      <c r="FE110" s="32"/>
      <c r="FF110" s="32"/>
      <c r="FG110" s="32"/>
      <c r="FH110" s="32"/>
      <c r="FI110" s="32"/>
      <c r="FJ110" s="32"/>
      <c r="FK110" s="32"/>
      <c r="FL110" s="32"/>
      <c r="FM110" s="32"/>
      <c r="FN110" s="32"/>
      <c r="FO110" s="32"/>
      <c r="FP110" s="32"/>
      <c r="FQ110" s="32"/>
      <c r="FR110" s="32"/>
      <c r="FS110" s="32"/>
      <c r="FT110" s="32"/>
      <c r="FU110" s="32"/>
      <c r="FV110" s="32"/>
      <c r="FW110" s="32"/>
      <c r="FX110" s="32"/>
      <c r="FY110" s="32"/>
      <c r="FZ110" s="32"/>
      <c r="GA110" s="32"/>
      <c r="GB110" s="32"/>
      <c r="GC110" s="32"/>
      <c r="GD110" s="32"/>
      <c r="GE110" s="32"/>
      <c r="GF110" s="32"/>
      <c r="GG110" s="32"/>
      <c r="GH110" s="32"/>
      <c r="GI110" s="32"/>
      <c r="GJ110" s="32"/>
      <c r="GK110" s="32"/>
      <c r="GL110" s="32"/>
      <c r="GM110" s="32"/>
      <c r="GN110" s="32"/>
      <c r="GO110" s="32"/>
      <c r="GP110" s="32"/>
      <c r="GQ110" s="32"/>
      <c r="GR110" s="111"/>
      <c r="GS110" s="156"/>
      <c r="GT110" s="9"/>
      <c r="GU110" s="9"/>
      <c r="GV110" s="9"/>
    </row>
    <row r="111" spans="1:209" s="2" customFormat="1" ht="15" hidden="1" customHeight="1" x14ac:dyDescent="0.3">
      <c r="A111" s="170" t="s">
        <v>85</v>
      </c>
      <c r="B111" s="33" t="s">
        <v>85</v>
      </c>
      <c r="C111" s="17" t="s">
        <v>23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>
        <v>4187.3</v>
      </c>
      <c r="BU111" s="17">
        <v>6198.5</v>
      </c>
      <c r="BV111" s="17">
        <v>5290.8</v>
      </c>
      <c r="BW111" s="17">
        <v>7021.25</v>
      </c>
      <c r="BX111" s="17">
        <v>13528.2</v>
      </c>
      <c r="BY111" s="17">
        <v>7669.25</v>
      </c>
      <c r="BZ111" s="17">
        <v>4791.05</v>
      </c>
      <c r="CA111" s="17">
        <v>4652.8</v>
      </c>
      <c r="CB111" s="17">
        <v>3773.95</v>
      </c>
      <c r="CC111" s="17">
        <v>5175.2</v>
      </c>
      <c r="CD111" s="17">
        <v>5079.8500000000004</v>
      </c>
      <c r="CE111" s="17">
        <v>4543.1000000000004</v>
      </c>
      <c r="CF111" s="17">
        <v>4669.91</v>
      </c>
      <c r="CG111" s="17">
        <v>4890</v>
      </c>
      <c r="CH111" s="17">
        <v>4702</v>
      </c>
      <c r="CI111" s="17">
        <v>6486.3</v>
      </c>
      <c r="CJ111" s="17">
        <v>6712.3</v>
      </c>
      <c r="CK111" s="17">
        <v>6883.4</v>
      </c>
      <c r="CL111" s="17">
        <v>7728.45</v>
      </c>
      <c r="CM111" s="17">
        <v>9151.85</v>
      </c>
      <c r="CN111" s="17">
        <v>7432.8</v>
      </c>
      <c r="CO111" s="17">
        <v>6624.4</v>
      </c>
      <c r="CP111" s="17">
        <v>6096.1</v>
      </c>
      <c r="CQ111" s="17">
        <v>8590.75</v>
      </c>
      <c r="CR111" s="17">
        <v>7403.4</v>
      </c>
      <c r="CS111" s="17">
        <v>5909.75</v>
      </c>
      <c r="CT111" s="17">
        <v>5754.7</v>
      </c>
      <c r="CU111" s="17">
        <v>7037.25</v>
      </c>
      <c r="CV111" s="17">
        <v>5881.45</v>
      </c>
      <c r="CW111" s="17">
        <v>6424.2</v>
      </c>
      <c r="CX111" s="17">
        <v>7328.45</v>
      </c>
      <c r="CY111" s="17">
        <v>7021.45</v>
      </c>
      <c r="CZ111" s="17">
        <v>5658.45</v>
      </c>
      <c r="DA111" s="17">
        <v>6967.85</v>
      </c>
      <c r="DB111" s="17">
        <v>5926.4</v>
      </c>
      <c r="DC111" s="17">
        <v>6699.1</v>
      </c>
      <c r="DD111" s="17">
        <v>7402.95</v>
      </c>
      <c r="DE111" s="17">
        <v>6986.65</v>
      </c>
      <c r="DF111" s="17">
        <v>6675.45</v>
      </c>
      <c r="DG111" s="17">
        <v>6813.65</v>
      </c>
      <c r="DH111" s="17">
        <v>7195.45</v>
      </c>
      <c r="DI111" s="17">
        <v>5128.8500000000004</v>
      </c>
      <c r="DJ111" s="17">
        <v>6126.45</v>
      </c>
      <c r="DK111" s="17">
        <v>5817.7</v>
      </c>
      <c r="DL111" s="17">
        <v>5854.6</v>
      </c>
      <c r="DM111" s="17">
        <v>5805.5</v>
      </c>
      <c r="DN111" s="17">
        <v>6858.65</v>
      </c>
      <c r="DO111" s="17">
        <v>5349.55</v>
      </c>
      <c r="DP111" s="17">
        <v>5260.1</v>
      </c>
      <c r="DQ111" s="17">
        <v>4730.55</v>
      </c>
      <c r="DR111" s="17">
        <v>4968</v>
      </c>
      <c r="DS111" s="17">
        <v>5804.05</v>
      </c>
      <c r="DT111" s="17">
        <v>4820.1000000000004</v>
      </c>
      <c r="DU111" s="17">
        <v>6956.55</v>
      </c>
      <c r="DV111" s="17">
        <v>5492.75</v>
      </c>
      <c r="DW111" s="17">
        <v>6538.15</v>
      </c>
      <c r="DX111" s="17">
        <v>7897.65</v>
      </c>
      <c r="DY111" s="17">
        <v>10884.55</v>
      </c>
      <c r="DZ111" s="17">
        <v>6500.85</v>
      </c>
      <c r="EA111" s="17">
        <v>5075.55</v>
      </c>
      <c r="EB111" s="17">
        <v>4418.45</v>
      </c>
      <c r="EC111" s="17">
        <v>5486.8</v>
      </c>
      <c r="ED111" s="17">
        <v>5905.3</v>
      </c>
      <c r="EE111" s="17">
        <v>5167.6000000000004</v>
      </c>
      <c r="EF111" s="17">
        <v>6478</v>
      </c>
      <c r="EG111" s="17">
        <v>5542.9</v>
      </c>
      <c r="EH111" s="17">
        <v>6546.45</v>
      </c>
      <c r="EI111" s="17">
        <v>5924.7</v>
      </c>
      <c r="EJ111" s="17">
        <v>6922.15</v>
      </c>
      <c r="EK111" s="17">
        <v>7554.8</v>
      </c>
      <c r="EL111" s="17">
        <v>6920.1</v>
      </c>
      <c r="EM111" s="17">
        <v>7201.7</v>
      </c>
      <c r="EN111" s="17">
        <v>7964.45</v>
      </c>
      <c r="EO111" s="17">
        <v>9205.0499999999993</v>
      </c>
      <c r="EP111" s="17">
        <v>7101.4</v>
      </c>
      <c r="EQ111" s="17">
        <v>8042.5</v>
      </c>
      <c r="ER111" s="17">
        <v>8919.15</v>
      </c>
      <c r="ES111" s="17">
        <v>9841.85</v>
      </c>
      <c r="ET111" s="17">
        <v>7936.55</v>
      </c>
      <c r="EU111" s="17">
        <v>8241.5</v>
      </c>
      <c r="EV111" s="17">
        <v>5970.95</v>
      </c>
      <c r="EW111" s="17">
        <v>7304.5</v>
      </c>
      <c r="EX111" s="17">
        <v>7006.6</v>
      </c>
      <c r="EY111" s="17">
        <v>8260.9500000000007</v>
      </c>
      <c r="EZ111" s="17">
        <v>6415.1</v>
      </c>
      <c r="FA111" s="17">
        <v>6684.75</v>
      </c>
      <c r="FB111" s="17">
        <v>8163.7</v>
      </c>
      <c r="FC111" s="17">
        <v>7771.6</v>
      </c>
      <c r="FD111" s="17">
        <v>6128.1</v>
      </c>
      <c r="FE111" s="17">
        <v>5982.6</v>
      </c>
      <c r="FF111" s="17">
        <v>7031.8</v>
      </c>
      <c r="FG111" s="17">
        <v>8215.9500000000007</v>
      </c>
      <c r="FH111" s="17">
        <v>8937.5499999999993</v>
      </c>
      <c r="FI111" s="17">
        <v>9142.6</v>
      </c>
      <c r="FJ111" s="17">
        <v>7613.1</v>
      </c>
      <c r="FK111" s="17">
        <v>8246.9500000000007</v>
      </c>
      <c r="FL111" s="17">
        <v>7760.85</v>
      </c>
      <c r="FM111" s="17">
        <v>7861.25</v>
      </c>
      <c r="FN111" s="17">
        <v>7861.25</v>
      </c>
      <c r="FO111" s="17"/>
      <c r="FP111" s="17"/>
      <c r="FQ111" s="17"/>
      <c r="FR111" s="17"/>
      <c r="FS111" s="17"/>
      <c r="FT111" s="17"/>
      <c r="FU111" s="17"/>
      <c r="FV111" s="17"/>
      <c r="FW111" s="17"/>
      <c r="FX111" s="17"/>
      <c r="FY111" s="17"/>
      <c r="FZ111" s="17"/>
      <c r="GA111" s="17"/>
      <c r="GB111" s="17"/>
      <c r="GC111" s="17"/>
      <c r="GD111" s="17"/>
      <c r="GE111" s="17"/>
      <c r="GF111" s="17"/>
      <c r="GG111" s="17"/>
      <c r="GH111" s="17"/>
      <c r="GI111" s="17"/>
      <c r="GJ111" s="17"/>
      <c r="GK111" s="17"/>
      <c r="GL111" s="17"/>
      <c r="GM111" s="17"/>
      <c r="GN111" s="17"/>
      <c r="GO111" s="17"/>
      <c r="GP111" s="17"/>
      <c r="GQ111" s="17"/>
      <c r="GR111" s="107"/>
      <c r="GS111" s="160">
        <f>DL111</f>
        <v>5854.6</v>
      </c>
      <c r="GT111" s="84" t="s">
        <v>23</v>
      </c>
      <c r="GU111" s="84"/>
      <c r="GV111" s="84"/>
      <c r="GW111" s="58"/>
      <c r="GX111" s="58"/>
      <c r="GY111" s="58"/>
      <c r="GZ111" s="58"/>
      <c r="HA111" s="58"/>
    </row>
    <row r="112" spans="1:209" s="2" customFormat="1" ht="15" hidden="1" customHeight="1" x14ac:dyDescent="0.3">
      <c r="A112" s="171"/>
      <c r="B112" s="34"/>
      <c r="C112" s="17" t="s">
        <v>24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>
        <v>44</v>
      </c>
      <c r="BU112" s="17">
        <v>62</v>
      </c>
      <c r="BV112" s="17">
        <v>57</v>
      </c>
      <c r="BW112" s="17">
        <v>111.5</v>
      </c>
      <c r="BX112" s="17">
        <v>94</v>
      </c>
      <c r="BY112" s="17">
        <v>81.5</v>
      </c>
      <c r="BZ112" s="17">
        <v>0</v>
      </c>
      <c r="CA112" s="17">
        <v>0</v>
      </c>
      <c r="CB112" s="17">
        <v>78</v>
      </c>
      <c r="CC112" s="17">
        <v>78</v>
      </c>
      <c r="CD112" s="17"/>
      <c r="CE112" s="17"/>
      <c r="CF112" s="17"/>
      <c r="CG112" s="17"/>
      <c r="CH112" s="17">
        <v>58.5</v>
      </c>
      <c r="CI112" s="17">
        <v>92</v>
      </c>
      <c r="CJ112" s="17">
        <v>105</v>
      </c>
      <c r="CK112" s="17">
        <v>117</v>
      </c>
      <c r="CL112" s="17">
        <v>142.5</v>
      </c>
      <c r="CM112" s="17">
        <v>142</v>
      </c>
      <c r="CN112" s="17">
        <v>149</v>
      </c>
      <c r="CO112" s="17">
        <v>135</v>
      </c>
      <c r="CP112" s="17">
        <v>101</v>
      </c>
      <c r="CQ112" s="17">
        <v>119.5</v>
      </c>
      <c r="CR112" s="17">
        <v>101</v>
      </c>
      <c r="CS112" s="17">
        <v>88.5</v>
      </c>
      <c r="CT112" s="17">
        <v>96</v>
      </c>
      <c r="CU112" s="17">
        <v>106</v>
      </c>
      <c r="CV112" s="17">
        <v>143</v>
      </c>
      <c r="CW112" s="17">
        <v>106.5</v>
      </c>
      <c r="CX112" s="17">
        <v>140</v>
      </c>
      <c r="CY112" s="17">
        <v>134</v>
      </c>
      <c r="CZ112" s="17">
        <v>115.5</v>
      </c>
      <c r="DA112" s="17">
        <v>117</v>
      </c>
      <c r="DB112" s="17">
        <v>94.5</v>
      </c>
      <c r="DC112" s="17">
        <v>96</v>
      </c>
      <c r="DD112" s="17">
        <v>99.5</v>
      </c>
      <c r="DE112" s="17">
        <v>295.10000000000002</v>
      </c>
      <c r="DF112" s="17">
        <v>273.8</v>
      </c>
      <c r="DG112" s="17">
        <v>273</v>
      </c>
      <c r="DH112" s="17">
        <v>222.7</v>
      </c>
      <c r="DI112" s="17">
        <v>137.80000000000001</v>
      </c>
      <c r="DJ112" s="17">
        <v>182.4</v>
      </c>
      <c r="DK112" s="17">
        <v>161.19999999999999</v>
      </c>
      <c r="DL112" s="17">
        <v>139.80000000000001</v>
      </c>
      <c r="DM112" s="17">
        <v>66</v>
      </c>
      <c r="DN112" s="17">
        <v>94.1</v>
      </c>
      <c r="DO112" s="17">
        <v>69.5</v>
      </c>
      <c r="DP112" s="17">
        <v>105.8</v>
      </c>
      <c r="DQ112" s="17">
        <v>127.5</v>
      </c>
      <c r="DR112" s="17">
        <v>98.4</v>
      </c>
      <c r="DS112" s="17">
        <v>154.30000000000001</v>
      </c>
      <c r="DT112" s="17">
        <v>90.5</v>
      </c>
      <c r="DU112" s="17">
        <v>175.1</v>
      </c>
      <c r="DV112" s="17">
        <v>104.4</v>
      </c>
      <c r="DW112" s="17">
        <v>159</v>
      </c>
      <c r="DX112" s="17">
        <v>194.4</v>
      </c>
      <c r="DY112" s="17">
        <v>158.30000000000001</v>
      </c>
      <c r="DZ112" s="17">
        <v>117.1</v>
      </c>
      <c r="EA112" s="17">
        <v>66</v>
      </c>
      <c r="EB112" s="17">
        <v>82.6</v>
      </c>
      <c r="EC112" s="17">
        <v>89.4</v>
      </c>
      <c r="ED112" s="17">
        <v>78.8</v>
      </c>
      <c r="EE112" s="17">
        <v>83.2</v>
      </c>
      <c r="EF112" s="17">
        <v>147.6</v>
      </c>
      <c r="EG112" s="17">
        <v>157.19999999999999</v>
      </c>
      <c r="EH112" s="17">
        <v>144.30000000000001</v>
      </c>
      <c r="EI112" s="17">
        <v>207.6</v>
      </c>
      <c r="EJ112" s="17">
        <v>107.7</v>
      </c>
      <c r="EK112" s="17">
        <v>209.5</v>
      </c>
      <c r="EL112" s="17">
        <v>207.5</v>
      </c>
      <c r="EM112" s="17">
        <v>210.9</v>
      </c>
      <c r="EN112" s="17">
        <v>163.19999999999999</v>
      </c>
      <c r="EO112" s="17">
        <v>175</v>
      </c>
      <c r="EP112" s="17">
        <v>224.8</v>
      </c>
      <c r="EQ112" s="17">
        <v>178</v>
      </c>
      <c r="ER112" s="17">
        <v>194.6</v>
      </c>
      <c r="ES112" s="17">
        <v>155.30000000000001</v>
      </c>
      <c r="ET112" s="17">
        <v>124.8</v>
      </c>
      <c r="EU112" s="17">
        <v>170.2</v>
      </c>
      <c r="EV112" s="17">
        <v>150.80000000000001</v>
      </c>
      <c r="EW112" s="17">
        <v>134</v>
      </c>
      <c r="EX112" s="17">
        <v>123</v>
      </c>
      <c r="EY112" s="17">
        <v>98.8</v>
      </c>
      <c r="EZ112" s="17">
        <v>129.30000000000001</v>
      </c>
      <c r="FA112" s="17">
        <v>89.4</v>
      </c>
      <c r="FB112" s="17">
        <v>123.1</v>
      </c>
      <c r="FC112" s="17">
        <v>121.5</v>
      </c>
      <c r="FD112" s="17">
        <v>141.1</v>
      </c>
      <c r="FE112" s="17">
        <v>152.80000000000001</v>
      </c>
      <c r="FF112" s="17">
        <v>130</v>
      </c>
      <c r="FG112" s="17">
        <v>120.4</v>
      </c>
      <c r="FH112" s="17">
        <v>177.3</v>
      </c>
      <c r="FI112" s="17">
        <v>165.9</v>
      </c>
      <c r="FJ112" s="17">
        <v>160.19999999999999</v>
      </c>
      <c r="FK112" s="17">
        <v>140.69999999999999</v>
      </c>
      <c r="FL112" s="17">
        <v>148.1</v>
      </c>
      <c r="FM112" s="17">
        <v>132.80000000000001</v>
      </c>
      <c r="FN112" s="17">
        <v>132.80000000000001</v>
      </c>
      <c r="FO112" s="17"/>
      <c r="FP112" s="17"/>
      <c r="FQ112" s="17"/>
      <c r="FR112" s="17"/>
      <c r="FS112" s="17"/>
      <c r="FT112" s="17"/>
      <c r="FU112" s="17"/>
      <c r="FV112" s="17"/>
      <c r="FW112" s="17"/>
      <c r="FX112" s="17"/>
      <c r="FY112" s="17"/>
      <c r="FZ112" s="17"/>
      <c r="GA112" s="17"/>
      <c r="GB112" s="17"/>
      <c r="GC112" s="17"/>
      <c r="GD112" s="17"/>
      <c r="GE112" s="17"/>
      <c r="GF112" s="17"/>
      <c r="GG112" s="17"/>
      <c r="GH112" s="17"/>
      <c r="GI112" s="17"/>
      <c r="GJ112" s="17"/>
      <c r="GK112" s="17"/>
      <c r="GL112" s="17"/>
      <c r="GM112" s="17"/>
      <c r="GN112" s="17"/>
      <c r="GO112" s="17"/>
      <c r="GP112" s="17"/>
      <c r="GQ112" s="17"/>
      <c r="GR112" s="107"/>
      <c r="GS112" s="160">
        <f>DL112</f>
        <v>139.80000000000001</v>
      </c>
      <c r="GT112" s="5" t="s">
        <v>24</v>
      </c>
      <c r="GU112" s="5"/>
      <c r="GV112" s="5"/>
      <c r="GW112" s="58"/>
      <c r="GX112" s="58"/>
      <c r="GY112" s="58"/>
      <c r="GZ112" s="58"/>
      <c r="HA112" s="58"/>
    </row>
    <row r="113" spans="1:209" s="2" customFormat="1" ht="15" customHeight="1" x14ac:dyDescent="0.3">
      <c r="A113" s="171"/>
      <c r="B113" s="19" t="s">
        <v>21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>
        <f t="shared" ref="BT113:CN113" si="3149">SUM(BT111:BT112)</f>
        <v>4231.3</v>
      </c>
      <c r="BU113" s="20">
        <f t="shared" si="3149"/>
        <v>6260.5</v>
      </c>
      <c r="BV113" s="20">
        <f t="shared" si="3149"/>
        <v>5347.8</v>
      </c>
      <c r="BW113" s="20">
        <f t="shared" si="3149"/>
        <v>7132.75</v>
      </c>
      <c r="BX113" s="20">
        <f t="shared" si="3149"/>
        <v>13622.2</v>
      </c>
      <c r="BY113" s="20">
        <f t="shared" si="3149"/>
        <v>7750.75</v>
      </c>
      <c r="BZ113" s="20">
        <f t="shared" si="3149"/>
        <v>4791.05</v>
      </c>
      <c r="CA113" s="20">
        <f t="shared" si="3149"/>
        <v>4652.8</v>
      </c>
      <c r="CB113" s="20">
        <f t="shared" si="3149"/>
        <v>3851.95</v>
      </c>
      <c r="CC113" s="20">
        <f t="shared" si="3149"/>
        <v>5253.2</v>
      </c>
      <c r="CD113" s="20">
        <f t="shared" si="3149"/>
        <v>5079.8500000000004</v>
      </c>
      <c r="CE113" s="20">
        <f t="shared" si="3149"/>
        <v>4543.1000000000004</v>
      </c>
      <c r="CF113" s="20">
        <f t="shared" si="3149"/>
        <v>4669.91</v>
      </c>
      <c r="CG113" s="20">
        <f t="shared" si="3149"/>
        <v>4890</v>
      </c>
      <c r="CH113" s="20">
        <f t="shared" si="3149"/>
        <v>4760.5</v>
      </c>
      <c r="CI113" s="20">
        <f t="shared" si="3149"/>
        <v>6578.3</v>
      </c>
      <c r="CJ113" s="20">
        <f t="shared" si="3149"/>
        <v>6817.3</v>
      </c>
      <c r="CK113" s="20">
        <f t="shared" si="3149"/>
        <v>7000.4</v>
      </c>
      <c r="CL113" s="20">
        <f t="shared" si="3149"/>
        <v>7870.95</v>
      </c>
      <c r="CM113" s="20">
        <f t="shared" si="3149"/>
        <v>9293.85</v>
      </c>
      <c r="CN113" s="20">
        <f t="shared" si="3149"/>
        <v>7581.8</v>
      </c>
      <c r="CO113" s="20">
        <f t="shared" ref="CO113:CZ113" si="3150">SUM(CO111:CO112)</f>
        <v>6759.4</v>
      </c>
      <c r="CP113" s="20">
        <f t="shared" si="3150"/>
        <v>6197.1</v>
      </c>
      <c r="CQ113" s="20">
        <f t="shared" si="3150"/>
        <v>8710.25</v>
      </c>
      <c r="CR113" s="20">
        <f t="shared" si="3150"/>
        <v>7504.4</v>
      </c>
      <c r="CS113" s="20">
        <f t="shared" si="3150"/>
        <v>5998.25</v>
      </c>
      <c r="CT113" s="20">
        <f t="shared" si="3150"/>
        <v>5850.7</v>
      </c>
      <c r="CU113" s="20">
        <f t="shared" si="3150"/>
        <v>7143.25</v>
      </c>
      <c r="CV113" s="20">
        <f t="shared" si="3150"/>
        <v>6024.45</v>
      </c>
      <c r="CW113" s="20">
        <f t="shared" si="3150"/>
        <v>6530.7</v>
      </c>
      <c r="CX113" s="20">
        <f t="shared" si="3150"/>
        <v>7468.45</v>
      </c>
      <c r="CY113" s="20">
        <f t="shared" si="3150"/>
        <v>7155.45</v>
      </c>
      <c r="CZ113" s="20">
        <f t="shared" si="3150"/>
        <v>5773.95</v>
      </c>
      <c r="DA113" s="20">
        <f t="shared" ref="DA113:DB113" si="3151">SUM(DA111:DA112)</f>
        <v>7084.85</v>
      </c>
      <c r="DB113" s="20">
        <f t="shared" si="3151"/>
        <v>6020.9</v>
      </c>
      <c r="DC113" s="20">
        <f t="shared" ref="DC113:DD113" si="3152">SUM(DC111:DC112)</f>
        <v>6795.1</v>
      </c>
      <c r="DD113" s="20">
        <f t="shared" si="3152"/>
        <v>7502.45</v>
      </c>
      <c r="DE113" s="20">
        <f t="shared" ref="DE113:DF113" si="3153">SUM(DE111:DE112)</f>
        <v>7281.75</v>
      </c>
      <c r="DF113" s="20">
        <f t="shared" si="3153"/>
        <v>6949.25</v>
      </c>
      <c r="DG113" s="20">
        <f t="shared" ref="DG113:DH113" si="3154">SUM(DG111:DG112)</f>
        <v>7086.65</v>
      </c>
      <c r="DH113" s="20">
        <f t="shared" si="3154"/>
        <v>7418.15</v>
      </c>
      <c r="DI113" s="20">
        <f t="shared" ref="DI113:DJ113" si="3155">SUM(DI111:DI112)</f>
        <v>5266.6500000000005</v>
      </c>
      <c r="DJ113" s="20">
        <f t="shared" si="3155"/>
        <v>6308.8499999999995</v>
      </c>
      <c r="DK113" s="20">
        <f t="shared" ref="DK113:DL113" si="3156">SUM(DK111:DK112)</f>
        <v>5978.9</v>
      </c>
      <c r="DL113" s="20">
        <f t="shared" si="3156"/>
        <v>5994.4000000000005</v>
      </c>
      <c r="DM113" s="20">
        <f t="shared" ref="DM113:DN113" si="3157">SUM(DM111:DM112)</f>
        <v>5871.5</v>
      </c>
      <c r="DN113" s="20">
        <f t="shared" si="3157"/>
        <v>6952.75</v>
      </c>
      <c r="DO113" s="20">
        <f t="shared" ref="DO113:DP113" si="3158">SUM(DO111:DO112)</f>
        <v>5419.05</v>
      </c>
      <c r="DP113" s="20">
        <f t="shared" si="3158"/>
        <v>5365.9000000000005</v>
      </c>
      <c r="DQ113" s="20">
        <f t="shared" ref="DQ113:DR113" si="3159">SUM(DQ111:DQ112)</f>
        <v>4858.05</v>
      </c>
      <c r="DR113" s="20">
        <f t="shared" si="3159"/>
        <v>5066.3999999999996</v>
      </c>
      <c r="DS113" s="20">
        <f t="shared" ref="DS113:DT113" si="3160">SUM(DS111:DS112)</f>
        <v>5958.35</v>
      </c>
      <c r="DT113" s="20">
        <f t="shared" si="3160"/>
        <v>4910.6000000000004</v>
      </c>
      <c r="DU113" s="20">
        <f t="shared" ref="DU113:DV113" si="3161">SUM(DU111:DU112)</f>
        <v>7131.6500000000005</v>
      </c>
      <c r="DV113" s="20">
        <f t="shared" si="3161"/>
        <v>5597.15</v>
      </c>
      <c r="DW113" s="20">
        <f t="shared" ref="DW113:DX113" si="3162">SUM(DW111:DW112)</f>
        <v>6697.15</v>
      </c>
      <c r="DX113" s="20">
        <f t="shared" si="3162"/>
        <v>8092.0499999999993</v>
      </c>
      <c r="DY113" s="20">
        <f t="shared" ref="DY113:DZ113" si="3163">SUM(DY111:DY112)</f>
        <v>11042.849999999999</v>
      </c>
      <c r="DZ113" s="20">
        <f t="shared" si="3163"/>
        <v>6617.9500000000007</v>
      </c>
      <c r="EA113" s="20">
        <f t="shared" ref="EA113:EB113" si="3164">SUM(EA111:EA112)</f>
        <v>5141.55</v>
      </c>
      <c r="EB113" s="20">
        <f t="shared" si="3164"/>
        <v>4501.05</v>
      </c>
      <c r="EC113" s="20">
        <f t="shared" ref="EC113:ED113" si="3165">SUM(EC111:EC112)</f>
        <v>5576.2</v>
      </c>
      <c r="ED113" s="20">
        <f t="shared" si="3165"/>
        <v>5984.1</v>
      </c>
      <c r="EE113" s="20">
        <f t="shared" ref="EE113:EF113" si="3166">SUM(EE111:EE112)</f>
        <v>5250.8</v>
      </c>
      <c r="EF113" s="20">
        <f t="shared" si="3166"/>
        <v>6625.6</v>
      </c>
      <c r="EG113" s="20">
        <f t="shared" ref="EG113:EH113" si="3167">SUM(EG111:EG112)</f>
        <v>5700.0999999999995</v>
      </c>
      <c r="EH113" s="20">
        <f t="shared" si="3167"/>
        <v>6690.75</v>
      </c>
      <c r="EI113" s="20">
        <f t="shared" ref="EI113:EJ113" si="3168">SUM(EI111:EI112)</f>
        <v>6132.3</v>
      </c>
      <c r="EJ113" s="20">
        <f t="shared" si="3168"/>
        <v>7029.8499999999995</v>
      </c>
      <c r="EK113" s="20">
        <f t="shared" ref="EK113:EL113" si="3169">SUM(EK111:EK112)</f>
        <v>7764.3</v>
      </c>
      <c r="EL113" s="20">
        <f t="shared" si="3169"/>
        <v>7127.6</v>
      </c>
      <c r="EM113" s="20">
        <f t="shared" ref="EM113:EN113" si="3170">SUM(EM111:EM112)</f>
        <v>7412.5999999999995</v>
      </c>
      <c r="EN113" s="20">
        <f t="shared" si="3170"/>
        <v>8127.65</v>
      </c>
      <c r="EO113" s="20">
        <f t="shared" ref="EO113:EP113" si="3171">SUM(EO111:EO112)</f>
        <v>9380.0499999999993</v>
      </c>
      <c r="EP113" s="20">
        <f t="shared" si="3171"/>
        <v>7326.2</v>
      </c>
      <c r="EQ113" s="20">
        <f t="shared" ref="EQ113:ER113" si="3172">SUM(EQ111:EQ112)</f>
        <v>8220.5</v>
      </c>
      <c r="ER113" s="20">
        <f t="shared" si="3172"/>
        <v>9113.75</v>
      </c>
      <c r="ES113" s="20">
        <f t="shared" ref="ES113:ET113" si="3173">SUM(ES111:ES112)</f>
        <v>9997.15</v>
      </c>
      <c r="ET113" s="20">
        <f t="shared" si="3173"/>
        <v>8061.35</v>
      </c>
      <c r="EU113" s="20">
        <f t="shared" ref="EU113:EV113" si="3174">SUM(EU111:EU112)</f>
        <v>8411.7000000000007</v>
      </c>
      <c r="EV113" s="20">
        <f t="shared" si="3174"/>
        <v>6121.75</v>
      </c>
      <c r="EW113" s="20">
        <f t="shared" ref="EW113:EX113" si="3175">SUM(EW111:EW112)</f>
        <v>7438.5</v>
      </c>
      <c r="EX113" s="20">
        <f t="shared" si="3175"/>
        <v>7129.6</v>
      </c>
      <c r="EY113" s="20">
        <f t="shared" ref="EY113:EZ113" si="3176">SUM(EY111:EY112)</f>
        <v>8359.75</v>
      </c>
      <c r="EZ113" s="20">
        <f t="shared" si="3176"/>
        <v>6544.4000000000005</v>
      </c>
      <c r="FA113" s="20">
        <f t="shared" ref="FA113:FB113" si="3177">SUM(FA111:FA112)</f>
        <v>6774.15</v>
      </c>
      <c r="FB113" s="20">
        <f t="shared" si="3177"/>
        <v>8286.7999999999993</v>
      </c>
      <c r="FC113" s="20">
        <f t="shared" ref="FC113:FD113" si="3178">SUM(FC111:FC112)</f>
        <v>7893.1</v>
      </c>
      <c r="FD113" s="20">
        <f t="shared" si="3178"/>
        <v>6269.2000000000007</v>
      </c>
      <c r="FE113" s="20">
        <f t="shared" ref="FE113:FF113" si="3179">SUM(FE111:FE112)</f>
        <v>6135.4000000000005</v>
      </c>
      <c r="FF113" s="20">
        <f t="shared" si="3179"/>
        <v>7161.8</v>
      </c>
      <c r="FG113" s="20">
        <f t="shared" ref="FG113:FH113" si="3180">SUM(FG111:FG112)</f>
        <v>8336.35</v>
      </c>
      <c r="FH113" s="20">
        <f t="shared" si="3180"/>
        <v>9114.8499999999985</v>
      </c>
      <c r="FI113" s="20">
        <f t="shared" ref="FI113:FJ113" si="3181">SUM(FI111:FI112)</f>
        <v>9308.5</v>
      </c>
      <c r="FJ113" s="20">
        <f t="shared" si="3181"/>
        <v>7773.3</v>
      </c>
      <c r="FK113" s="20">
        <f t="shared" ref="FK113:FL113" si="3182">SUM(FK111:FK112)</f>
        <v>8387.6500000000015</v>
      </c>
      <c r="FL113" s="20">
        <f t="shared" si="3182"/>
        <v>7908.9500000000007</v>
      </c>
      <c r="FM113" s="20">
        <f t="shared" ref="FM113" si="3183">SUM(FM111:FM112)</f>
        <v>7994.05</v>
      </c>
      <c r="FN113" s="20">
        <v>7874.3</v>
      </c>
      <c r="FO113" s="20">
        <f>12149.35+118.9</f>
        <v>12268.25</v>
      </c>
      <c r="FP113" s="20">
        <f>7142.9+139.1</f>
        <v>7282</v>
      </c>
      <c r="FQ113" s="20">
        <f>7916.2+169.4</f>
        <v>8085.5999999999995</v>
      </c>
      <c r="FR113" s="20">
        <f>7099.1+125.1</f>
        <v>7224.2000000000007</v>
      </c>
      <c r="FS113" s="20">
        <f>8553.15+160.5</f>
        <v>8713.65</v>
      </c>
      <c r="FT113" s="20">
        <f>6998.4+119.9</f>
        <v>7118.2999999999993</v>
      </c>
      <c r="FU113" s="20">
        <f>8811.75+140.5</f>
        <v>8952.25</v>
      </c>
      <c r="FV113" s="20">
        <f>7190.05+125.9</f>
        <v>7315.95</v>
      </c>
      <c r="FW113" s="20">
        <f>6942.65+120.9</f>
        <v>7063.5499999999993</v>
      </c>
      <c r="FX113" s="20">
        <f>8995.55+135.3</f>
        <v>9130.8499999999985</v>
      </c>
      <c r="FY113" s="20">
        <f>12988.35+187.1</f>
        <v>13175.45</v>
      </c>
      <c r="FZ113" s="20">
        <f>9314.45+131.8</f>
        <v>9446.25</v>
      </c>
      <c r="GA113" s="20">
        <f>6629.8+124.5</f>
        <v>6754.3</v>
      </c>
      <c r="GB113" s="20">
        <f>7311.85+125.2</f>
        <v>7437.05</v>
      </c>
      <c r="GC113" s="20">
        <f>8211.1+120.4</f>
        <v>8331.5</v>
      </c>
      <c r="GD113" s="20">
        <f>6540.5+90.8</f>
        <v>6631.3</v>
      </c>
      <c r="GE113" s="20">
        <f>7063.2+122.6</f>
        <v>7185.8</v>
      </c>
      <c r="GF113" s="20">
        <f>6999.05+97.9</f>
        <v>7096.95</v>
      </c>
      <c r="GG113" s="20">
        <f>6208.5+119.2</f>
        <v>6327.7</v>
      </c>
      <c r="GH113" s="20">
        <f>7955.9+105.6</f>
        <v>8061.5</v>
      </c>
      <c r="GI113" s="20">
        <f>8571.6+145.5</f>
        <v>8717.1</v>
      </c>
      <c r="GJ113" s="20">
        <f>6257.25+84</f>
        <v>6341.25</v>
      </c>
      <c r="GK113" s="20">
        <f>7975.85+111.4</f>
        <v>8087.25</v>
      </c>
      <c r="GL113" s="20">
        <f>7098+124.9</f>
        <v>7222.9</v>
      </c>
      <c r="GM113" s="20">
        <f>9370+136</f>
        <v>9506</v>
      </c>
      <c r="GN113" s="20">
        <f>9097.1+112.4</f>
        <v>9209.5</v>
      </c>
      <c r="GO113" s="20">
        <f>115.1+9639.35</f>
        <v>9754.4500000000007</v>
      </c>
      <c r="GP113" s="20">
        <f>118.4+6858.5</f>
        <v>6976.9</v>
      </c>
      <c r="GQ113" s="20">
        <f>8066.25+122</f>
        <v>8188.25</v>
      </c>
      <c r="GR113" s="108">
        <f>7526.25+106.1</f>
        <v>7632.35</v>
      </c>
      <c r="GS113" s="154">
        <f>EQ113</f>
        <v>8220.5</v>
      </c>
      <c r="GT113" s="10" t="str">
        <f>B111</f>
        <v>WELLINGTON ARMS</v>
      </c>
      <c r="GU113" s="92" t="s">
        <v>369</v>
      </c>
      <c r="GV113" s="93"/>
      <c r="GW113" s="56">
        <f>AVERAGE(ES113:GR113)</f>
        <v>8010.0182692307681</v>
      </c>
      <c r="GX113" s="56">
        <f>AVERAGE(FS113:GR113)</f>
        <v>8091.4730769230773</v>
      </c>
      <c r="GY113" s="56">
        <f>AVERAGE(GF113:GR113)</f>
        <v>7932.4692307692303</v>
      </c>
      <c r="GZ113" s="56">
        <f>AVERAGE(GN113:GR113)</f>
        <v>8352.2899999999991</v>
      </c>
      <c r="HA113" s="56">
        <f>MAX(D113:GR113)</f>
        <v>13622.2</v>
      </c>
    </row>
    <row r="114" spans="1:209" s="2" customFormat="1" ht="15" customHeight="1" x14ac:dyDescent="0.3">
      <c r="A114" s="171"/>
      <c r="B114" s="35" t="s">
        <v>365</v>
      </c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>
        <f t="shared" ref="BT114:CO114" si="3184">SUM(BT113-BS113)</f>
        <v>4231.3</v>
      </c>
      <c r="BU114" s="21">
        <f t="shared" si="3184"/>
        <v>2029.1999999999998</v>
      </c>
      <c r="BV114" s="21">
        <f t="shared" si="3184"/>
        <v>-912.69999999999982</v>
      </c>
      <c r="BW114" s="21">
        <f t="shared" si="3184"/>
        <v>1784.9499999999998</v>
      </c>
      <c r="BX114" s="21">
        <f t="shared" si="3184"/>
        <v>6489.4500000000007</v>
      </c>
      <c r="BY114" s="21">
        <f t="shared" si="3184"/>
        <v>-5871.4500000000007</v>
      </c>
      <c r="BZ114" s="21">
        <f t="shared" si="3184"/>
        <v>-2959.7</v>
      </c>
      <c r="CA114" s="21">
        <f t="shared" si="3184"/>
        <v>-138.25</v>
      </c>
      <c r="CB114" s="21">
        <f t="shared" si="3184"/>
        <v>-800.85000000000036</v>
      </c>
      <c r="CC114" s="21">
        <f t="shared" si="3184"/>
        <v>1401.25</v>
      </c>
      <c r="CD114" s="21">
        <f t="shared" si="3184"/>
        <v>-173.34999999999945</v>
      </c>
      <c r="CE114" s="21">
        <f t="shared" si="3184"/>
        <v>-536.75</v>
      </c>
      <c r="CF114" s="21">
        <f t="shared" si="3184"/>
        <v>126.80999999999949</v>
      </c>
      <c r="CG114" s="21">
        <f t="shared" si="3184"/>
        <v>220.09000000000015</v>
      </c>
      <c r="CH114" s="21">
        <f t="shared" si="3184"/>
        <v>-129.5</v>
      </c>
      <c r="CI114" s="21">
        <f t="shared" si="3184"/>
        <v>1817.8000000000002</v>
      </c>
      <c r="CJ114" s="21">
        <f t="shared" si="3184"/>
        <v>239</v>
      </c>
      <c r="CK114" s="21">
        <f t="shared" si="3184"/>
        <v>183.09999999999945</v>
      </c>
      <c r="CL114" s="21">
        <f t="shared" si="3184"/>
        <v>870.55000000000018</v>
      </c>
      <c r="CM114" s="21">
        <f t="shared" si="3184"/>
        <v>1422.9000000000005</v>
      </c>
      <c r="CN114" s="21">
        <f t="shared" si="3184"/>
        <v>-1712.0500000000002</v>
      </c>
      <c r="CO114" s="21">
        <f t="shared" si="3184"/>
        <v>-822.40000000000055</v>
      </c>
      <c r="CP114" s="21">
        <f t="shared" ref="CP114:DH114" si="3185">SUM(CP113-CO113)</f>
        <v>-562.29999999999927</v>
      </c>
      <c r="CQ114" s="21">
        <f t="shared" si="3185"/>
        <v>2513.1499999999996</v>
      </c>
      <c r="CR114" s="21">
        <f t="shared" si="3185"/>
        <v>-1205.8500000000004</v>
      </c>
      <c r="CS114" s="21">
        <f t="shared" si="3185"/>
        <v>-1506.1499999999996</v>
      </c>
      <c r="CT114" s="21">
        <f t="shared" si="3185"/>
        <v>-147.55000000000018</v>
      </c>
      <c r="CU114" s="21">
        <f t="shared" si="3185"/>
        <v>1292.5500000000002</v>
      </c>
      <c r="CV114" s="21">
        <f t="shared" si="3185"/>
        <v>-1118.8000000000002</v>
      </c>
      <c r="CW114" s="21">
        <f t="shared" si="3185"/>
        <v>506.25</v>
      </c>
      <c r="CX114" s="21">
        <f t="shared" si="3185"/>
        <v>937.75</v>
      </c>
      <c r="CY114" s="21">
        <f t="shared" si="3185"/>
        <v>-313</v>
      </c>
      <c r="CZ114" s="21">
        <f t="shared" si="3185"/>
        <v>-1381.5</v>
      </c>
      <c r="DA114" s="21">
        <f t="shared" si="3185"/>
        <v>1310.9000000000005</v>
      </c>
      <c r="DB114" s="21">
        <f t="shared" si="3185"/>
        <v>-1063.9500000000007</v>
      </c>
      <c r="DC114" s="21">
        <f t="shared" si="3185"/>
        <v>774.20000000000073</v>
      </c>
      <c r="DD114" s="21">
        <f t="shared" si="3185"/>
        <v>707.34999999999945</v>
      </c>
      <c r="DE114" s="21">
        <f t="shared" si="3185"/>
        <v>-220.69999999999982</v>
      </c>
      <c r="DF114" s="21">
        <f t="shared" si="3185"/>
        <v>-332.5</v>
      </c>
      <c r="DG114" s="21">
        <f t="shared" si="3185"/>
        <v>137.39999999999964</v>
      </c>
      <c r="DH114" s="21">
        <f t="shared" si="3185"/>
        <v>331.5</v>
      </c>
      <c r="DI114" s="28">
        <f t="shared" ref="DI114" si="3186">SUM(DI113-DH113)/DH113</f>
        <v>-0.29003188126419649</v>
      </c>
      <c r="DJ114" s="28">
        <f t="shared" ref="DJ114" si="3187">SUM(DJ113-DI113)/DI113</f>
        <v>0.19788670217310791</v>
      </c>
      <c r="DK114" s="28">
        <f t="shared" ref="DK114" si="3188">SUM(DK113-DJ113)/DJ113</f>
        <v>-5.2299547461106197E-2</v>
      </c>
      <c r="DL114" s="28">
        <f t="shared" ref="DL114" si="3189">SUM(DL113-DK113)/DK113</f>
        <v>2.5924501162422702E-3</v>
      </c>
      <c r="DM114" s="28">
        <f t="shared" ref="DM114" si="3190">SUM(DM113-DL113)/DL113</f>
        <v>-2.0502468971039727E-2</v>
      </c>
      <c r="DN114" s="28">
        <f t="shared" ref="DN114" si="3191">SUM(DN113-DM113)/DM113</f>
        <v>0.1841522609214</v>
      </c>
      <c r="DO114" s="28">
        <f t="shared" ref="DO114" si="3192">SUM(DO113-DN113)/DN113</f>
        <v>-0.22058897558520008</v>
      </c>
      <c r="DP114" s="28">
        <f t="shared" ref="DP114" si="3193">SUM(DP113-DO113)/DO113</f>
        <v>-9.8079921757502943E-3</v>
      </c>
      <c r="DQ114" s="28">
        <f t="shared" ref="DQ114" si="3194">SUM(DQ113-DP113)/DP113</f>
        <v>-9.4643955347658418E-2</v>
      </c>
      <c r="DR114" s="28">
        <f t="shared" ref="DR114" si="3195">SUM(DR113-DQ113)/DQ113</f>
        <v>4.2887578349337582E-2</v>
      </c>
      <c r="DS114" s="28">
        <f t="shared" ref="DS114" si="3196">SUM(DS113-DR113)/DR113</f>
        <v>0.1760520290541609</v>
      </c>
      <c r="DT114" s="28">
        <f t="shared" ref="DT114" si="3197">SUM(DT113-DS113)/DS113</f>
        <v>-0.17584566197017629</v>
      </c>
      <c r="DU114" s="28">
        <f t="shared" ref="DU114" si="3198">SUM(DU113-DT113)/DT113</f>
        <v>0.45229707164094002</v>
      </c>
      <c r="DV114" s="28">
        <f t="shared" ref="DV114" si="3199">SUM(DV113-DU113)/DU113</f>
        <v>-0.21516759796120125</v>
      </c>
      <c r="DW114" s="28">
        <f t="shared" ref="DW114" si="3200">SUM(DW113-DV113)/DV113</f>
        <v>0.19652859044335064</v>
      </c>
      <c r="DX114" s="28">
        <f t="shared" ref="DX114" si="3201">SUM(DX113-DW113)/DW113</f>
        <v>0.20828262768491071</v>
      </c>
      <c r="DY114" s="28">
        <f t="shared" ref="DY114" si="3202">SUM(DY113-DX113)/DX113</f>
        <v>0.36465419763842283</v>
      </c>
      <c r="DZ114" s="28">
        <f t="shared" ref="DZ114" si="3203">SUM(DZ113-DY113)/DY113</f>
        <v>-0.40070271714276645</v>
      </c>
      <c r="EA114" s="28">
        <f t="shared" ref="EA114" si="3204">SUM(EA113-DZ113)/DZ113</f>
        <v>-0.22309023186938559</v>
      </c>
      <c r="EB114" s="28">
        <f t="shared" ref="EB114" si="3205">SUM(EB113-EA113)/EA113</f>
        <v>-0.12457332905446801</v>
      </c>
      <c r="EC114" s="28">
        <f t="shared" ref="EC114" si="3206">SUM(EC113-EB113)/EB113</f>
        <v>0.23886648670865679</v>
      </c>
      <c r="ED114" s="28">
        <f t="shared" ref="ED114" si="3207">SUM(ED113-EC113)/EC113</f>
        <v>7.3150173953588568E-2</v>
      </c>
      <c r="EE114" s="28">
        <f t="shared" ref="EE114" si="3208">SUM(EE113-ED113)/ED113</f>
        <v>-0.12254140138032454</v>
      </c>
      <c r="EF114" s="28">
        <f t="shared" ref="EF114" si="3209">SUM(EF113-EE113)/EE113</f>
        <v>0.26182676925420889</v>
      </c>
      <c r="EG114" s="28">
        <f t="shared" ref="EG114" si="3210">SUM(EG113-EF113)/EF113</f>
        <v>-0.13968546244868402</v>
      </c>
      <c r="EH114" s="28">
        <f t="shared" ref="EH114" si="3211">SUM(EH113-EG113)/EG113</f>
        <v>0.1737951965754988</v>
      </c>
      <c r="EI114" s="28">
        <f t="shared" ref="EI114" si="3212">SUM(EI113-EH113)/EH113</f>
        <v>-8.3465979150319447E-2</v>
      </c>
      <c r="EJ114" s="28">
        <f t="shared" ref="EJ114" si="3213">SUM(EJ113-EI113)/EI113</f>
        <v>0.14636433312134098</v>
      </c>
      <c r="EK114" s="28">
        <f t="shared" ref="EK114" si="3214">SUM(EK113-EJ113)/EJ113</f>
        <v>0.10447591342631789</v>
      </c>
      <c r="EL114" s="28">
        <f t="shared" ref="EL114" si="3215">SUM(EL113-EK113)/EK113</f>
        <v>-8.2003528972347778E-2</v>
      </c>
      <c r="EM114" s="28">
        <f t="shared" ref="EM114" si="3216">SUM(EM113-EL113)/EL113</f>
        <v>3.9985408833267733E-2</v>
      </c>
      <c r="EN114" s="28">
        <f t="shared" ref="EN114" si="3217">SUM(EN113-EM113)/EM113</f>
        <v>9.6464128645819311E-2</v>
      </c>
      <c r="EO114" s="28">
        <f t="shared" ref="EO114" si="3218">SUM(EO113-EN113)/EN113</f>
        <v>0.15409128099758229</v>
      </c>
      <c r="EP114" s="28">
        <f t="shared" ref="EP114" si="3219">SUM(EP113-EO113)/EO113</f>
        <v>-0.21895938721008945</v>
      </c>
      <c r="EQ114" s="28">
        <f t="shared" ref="EQ114" si="3220">SUM(EQ113-EP113)/EP113</f>
        <v>0.12206873959214876</v>
      </c>
      <c r="ER114" s="28">
        <f t="shared" ref="ER114" si="3221">SUM(ER113-EQ113)/EQ113</f>
        <v>0.1086612736451554</v>
      </c>
      <c r="ES114" s="28">
        <f t="shared" ref="ES114" si="3222">SUM(ES113-ER113)/ER113</f>
        <v>9.6930462213688062E-2</v>
      </c>
      <c r="ET114" s="28">
        <f t="shared" ref="ET114" si="3223">SUM(ET113-ES113)/ES113</f>
        <v>-0.19363518602801791</v>
      </c>
      <c r="EU114" s="28">
        <f t="shared" ref="EU114" si="3224">SUM(EU113-ET113)/ET113</f>
        <v>4.3460462577608015E-2</v>
      </c>
      <c r="EV114" s="28">
        <f t="shared" ref="EV114" si="3225">SUM(EV113-EU113)/EU113</f>
        <v>-0.27223391228883587</v>
      </c>
      <c r="EW114" s="28">
        <f t="shared" ref="EW114" si="3226">SUM(EW113-EV113)/EV113</f>
        <v>0.21509372320006534</v>
      </c>
      <c r="EX114" s="28">
        <f t="shared" ref="EX114" si="3227">SUM(EX113-EW113)/EW113</f>
        <v>-4.1527189621563439E-2</v>
      </c>
      <c r="EY114" s="28">
        <f t="shared" ref="EY114" si="3228">SUM(EY113-EX113)/EX113</f>
        <v>0.17254123653500891</v>
      </c>
      <c r="EZ114" s="28">
        <f t="shared" ref="EZ114" si="3229">SUM(EZ113-EY113)/EY113</f>
        <v>-0.21715362301504226</v>
      </c>
      <c r="FA114" s="28">
        <f t="shared" ref="FA114" si="3230">SUM(FA113-EZ113)/EZ113</f>
        <v>3.5106350467575188E-2</v>
      </c>
      <c r="FB114" s="28">
        <f t="shared" ref="FB114" si="3231">SUM(FB113-FA113)/FA113</f>
        <v>0.22329738786416004</v>
      </c>
      <c r="FC114" s="28">
        <f t="shared" ref="FC114" si="3232">SUM(FC113-FB113)/FB113</f>
        <v>-4.7509291885890689E-2</v>
      </c>
      <c r="FD114" s="28">
        <f t="shared" ref="FD114" si="3233">SUM(FD113-FC113)/FC113</f>
        <v>-0.20573665606669111</v>
      </c>
      <c r="FE114" s="28">
        <f t="shared" ref="FE114" si="3234">SUM(FE113-FD113)/FD113</f>
        <v>-2.134243603649591E-2</v>
      </c>
      <c r="FF114" s="28">
        <f t="shared" ref="FF114" si="3235">SUM(FF113-FE113)/FE113</f>
        <v>0.16729145613977892</v>
      </c>
      <c r="FG114" s="28">
        <f t="shared" ref="FG114" si="3236">SUM(FG113-FF113)/FF113</f>
        <v>0.16400206651959007</v>
      </c>
      <c r="FH114" s="28">
        <f t="shared" ref="FH114" si="3237">SUM(FH113-FG113)/FG113</f>
        <v>9.3386194197700209E-2</v>
      </c>
      <c r="FI114" s="28">
        <f t="shared" ref="FI114" si="3238">SUM(FI113-FH113)/FH113</f>
        <v>2.1245549844484714E-2</v>
      </c>
      <c r="FJ114" s="28">
        <f t="shared" ref="FJ114" si="3239">SUM(FJ113-FI113)/FI113</f>
        <v>-0.16492453134232152</v>
      </c>
      <c r="FK114" s="28">
        <f t="shared" ref="FK114" si="3240">SUM(FK113-FJ113)/FJ113</f>
        <v>7.9033357775976906E-2</v>
      </c>
      <c r="FL114" s="28">
        <f t="shared" ref="FL114" si="3241">SUM(FL113-FK113)/FK113</f>
        <v>-5.7072004673537957E-2</v>
      </c>
      <c r="FM114" s="28">
        <f t="shared" ref="FM114:GK114" si="3242">SUM(FM113-FL113)/FL113</f>
        <v>1.0759961815411584E-2</v>
      </c>
      <c r="FN114" s="28">
        <f t="shared" si="3242"/>
        <v>-1.4979891294150024E-2</v>
      </c>
      <c r="FO114" s="28">
        <f t="shared" si="3242"/>
        <v>0.55801150578464109</v>
      </c>
      <c r="FP114" s="28">
        <f t="shared" si="3242"/>
        <v>-0.40643531065962951</v>
      </c>
      <c r="FQ114" s="28">
        <f t="shared" si="3242"/>
        <v>0.11035429826970605</v>
      </c>
      <c r="FR114" s="28">
        <f t="shared" si="3242"/>
        <v>-0.10653507470070234</v>
      </c>
      <c r="FS114" s="28">
        <f t="shared" si="3242"/>
        <v>0.20617507820935174</v>
      </c>
      <c r="FT114" s="28">
        <f t="shared" si="3242"/>
        <v>-0.18308630711584703</v>
      </c>
      <c r="FU114" s="28">
        <f t="shared" si="3242"/>
        <v>0.25763876206397607</v>
      </c>
      <c r="FV114" s="28">
        <f t="shared" si="3242"/>
        <v>-0.1827808651456338</v>
      </c>
      <c r="FW114" s="28">
        <f t="shared" si="3242"/>
        <v>-3.4499962410896812E-2</v>
      </c>
      <c r="FX114" s="28">
        <f t="shared" si="3242"/>
        <v>0.29267153202001817</v>
      </c>
      <c r="FY114" s="28">
        <f t="shared" si="3242"/>
        <v>0.44295985587322129</v>
      </c>
      <c r="FZ114" s="28">
        <f t="shared" si="3242"/>
        <v>-0.28304156594271929</v>
      </c>
      <c r="GA114" s="28">
        <f t="shared" si="3242"/>
        <v>-0.28497551938599974</v>
      </c>
      <c r="GB114" s="28">
        <f t="shared" si="3242"/>
        <v>0.10108375405297367</v>
      </c>
      <c r="GC114" s="28">
        <f t="shared" si="3242"/>
        <v>0.12026946168171516</v>
      </c>
      <c r="GD114" s="28">
        <f t="shared" si="3242"/>
        <v>-0.20406889515693449</v>
      </c>
      <c r="GE114" s="28">
        <f t="shared" si="3242"/>
        <v>8.3618596655256131E-2</v>
      </c>
      <c r="GF114" s="28">
        <f t="shared" si="3242"/>
        <v>-1.2364663642183246E-2</v>
      </c>
      <c r="GG114" s="28">
        <f t="shared" si="3242"/>
        <v>-0.1083916330254546</v>
      </c>
      <c r="GH114" s="28">
        <f t="shared" si="3242"/>
        <v>0.27400161196011191</v>
      </c>
      <c r="GI114" s="28">
        <f t="shared" si="3242"/>
        <v>8.1324815480989937E-2</v>
      </c>
      <c r="GJ114" s="28">
        <f t="shared" si="3242"/>
        <v>-0.2725505041814365</v>
      </c>
      <c r="GK114" s="28">
        <f t="shared" si="3242"/>
        <v>0.27534003548196334</v>
      </c>
      <c r="GL114" s="28">
        <f t="shared" ref="GL114" si="3243">(GL113-GK113)/GK113</f>
        <v>-0.10687811060620116</v>
      </c>
      <c r="GM114" s="28">
        <f t="shared" ref="GM114" si="3244">(GM113-GL113)/GL113</f>
        <v>0.31609187445485892</v>
      </c>
      <c r="GN114" s="28">
        <f t="shared" ref="GN114" si="3245">(GN113-GM113)/GM113</f>
        <v>-3.1190826846202398E-2</v>
      </c>
      <c r="GO114" s="28">
        <f t="shared" ref="GO114:GR114" si="3246">(GO113-GN113)/GN113</f>
        <v>5.9172593517563467E-2</v>
      </c>
      <c r="GP114" s="28">
        <f t="shared" si="3246"/>
        <v>-0.28474696164314756</v>
      </c>
      <c r="GQ114" s="28">
        <f t="shared" si="3246"/>
        <v>0.17362295575398823</v>
      </c>
      <c r="GR114" s="165">
        <f t="shared" si="3246"/>
        <v>-6.7889964278081347E-2</v>
      </c>
      <c r="GS114" s="161"/>
      <c r="GT114" s="11"/>
      <c r="GU114" s="166" t="s">
        <v>368</v>
      </c>
      <c r="GV114" s="167">
        <f>LABOUR!AG80</f>
        <v>0.15722549411387055</v>
      </c>
      <c r="GW114" s="58"/>
      <c r="GX114" s="58"/>
      <c r="GY114" s="58"/>
      <c r="GZ114" s="58"/>
      <c r="HA114" s="58"/>
    </row>
    <row r="115" spans="1:209" s="2" customFormat="1" ht="15" customHeight="1" x14ac:dyDescent="0.3">
      <c r="A115" s="171"/>
      <c r="B115" s="22" t="s">
        <v>91</v>
      </c>
      <c r="C115" s="23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>
        <f t="shared" ref="BD115" si="3247">D113</f>
        <v>0</v>
      </c>
      <c r="BE115" s="25">
        <f t="shared" ref="BE115" si="3248">E113</f>
        <v>0</v>
      </c>
      <c r="BF115" s="25">
        <f t="shared" ref="BF115" si="3249">F113</f>
        <v>0</v>
      </c>
      <c r="BG115" s="25">
        <f t="shared" ref="BG115" si="3250">G113</f>
        <v>0</v>
      </c>
      <c r="BH115" s="25">
        <f t="shared" ref="BH115" si="3251">H113</f>
        <v>0</v>
      </c>
      <c r="BI115" s="25">
        <f t="shared" ref="BI115" si="3252">I113</f>
        <v>0</v>
      </c>
      <c r="BJ115" s="25">
        <f t="shared" ref="BJ115" si="3253">J113</f>
        <v>0</v>
      </c>
      <c r="BK115" s="25">
        <f t="shared" ref="BK115" si="3254">K113</f>
        <v>0</v>
      </c>
      <c r="BL115" s="25">
        <f t="shared" ref="BL115" si="3255">L113</f>
        <v>0</v>
      </c>
      <c r="BM115" s="25">
        <f t="shared" ref="BM115" si="3256">M113</f>
        <v>0</v>
      </c>
      <c r="BN115" s="25">
        <f t="shared" ref="BN115" si="3257">N113</f>
        <v>0</v>
      </c>
      <c r="BO115" s="25">
        <f t="shared" ref="BO115" si="3258">O113</f>
        <v>0</v>
      </c>
      <c r="BP115" s="25">
        <f t="shared" ref="BP115" si="3259">P113</f>
        <v>0</v>
      </c>
      <c r="BQ115" s="25">
        <f t="shared" ref="BQ115" si="3260">Q113</f>
        <v>0</v>
      </c>
      <c r="BR115" s="25">
        <f t="shared" ref="BR115" si="3261">R113</f>
        <v>0</v>
      </c>
      <c r="BS115" s="25">
        <f t="shared" ref="BS115" si="3262">S113</f>
        <v>0</v>
      </c>
      <c r="BT115" s="25">
        <f t="shared" ref="BT115" si="3263">T113</f>
        <v>0</v>
      </c>
      <c r="BU115" s="25">
        <f t="shared" ref="BU115" si="3264">U113</f>
        <v>0</v>
      </c>
      <c r="BV115" s="25">
        <f t="shared" ref="BV115" si="3265">V113</f>
        <v>0</v>
      </c>
      <c r="BW115" s="25">
        <f t="shared" ref="BW115" si="3266">W113</f>
        <v>0</v>
      </c>
      <c r="BX115" s="25">
        <f t="shared" ref="BX115" si="3267">X113</f>
        <v>0</v>
      </c>
      <c r="BY115" s="25">
        <f t="shared" ref="BY115" si="3268">Y113</f>
        <v>0</v>
      </c>
      <c r="BZ115" s="25">
        <f t="shared" ref="BZ115" si="3269">Z113</f>
        <v>0</v>
      </c>
      <c r="CA115" s="25">
        <f t="shared" ref="CA115" si="3270">AA113</f>
        <v>0</v>
      </c>
      <c r="CB115" s="25">
        <f t="shared" ref="CB115" si="3271">AB113</f>
        <v>0</v>
      </c>
      <c r="CC115" s="25">
        <f t="shared" ref="CC115" si="3272">AC113</f>
        <v>0</v>
      </c>
      <c r="CD115" s="25">
        <f t="shared" ref="CD115" si="3273">AD113</f>
        <v>0</v>
      </c>
      <c r="CE115" s="25">
        <f t="shared" ref="CE115" si="3274">AE113</f>
        <v>0</v>
      </c>
      <c r="CF115" s="25">
        <f t="shared" ref="CF115" si="3275">AF113</f>
        <v>0</v>
      </c>
      <c r="CG115" s="25">
        <f t="shared" ref="CG115" si="3276">AG113</f>
        <v>0</v>
      </c>
      <c r="CH115" s="25">
        <f t="shared" ref="CH115" si="3277">AH113</f>
        <v>0</v>
      </c>
      <c r="CI115" s="25">
        <f t="shared" ref="CI115" si="3278">AI113</f>
        <v>0</v>
      </c>
      <c r="CJ115" s="25">
        <f t="shared" ref="CJ115" si="3279">AJ113</f>
        <v>0</v>
      </c>
      <c r="CK115" s="25">
        <f t="shared" ref="CK115" si="3280">AK113</f>
        <v>0</v>
      </c>
      <c r="CL115" s="25">
        <f t="shared" ref="CL115" si="3281">AL113</f>
        <v>0</v>
      </c>
      <c r="CM115" s="25">
        <f t="shared" ref="CM115" si="3282">AM113</f>
        <v>0</v>
      </c>
      <c r="CN115" s="25">
        <f t="shared" ref="CN115" si="3283">AN113</f>
        <v>0</v>
      </c>
      <c r="CO115" s="25">
        <f t="shared" ref="CO115" si="3284">AO113</f>
        <v>0</v>
      </c>
      <c r="CP115" s="25">
        <f t="shared" ref="CP115" si="3285">AP113</f>
        <v>0</v>
      </c>
      <c r="CQ115" s="25">
        <f t="shared" ref="CQ115" si="3286">AQ113</f>
        <v>0</v>
      </c>
      <c r="CR115" s="25">
        <f t="shared" ref="CR115" si="3287">AR113</f>
        <v>0</v>
      </c>
      <c r="CS115" s="25">
        <f t="shared" ref="CS115" si="3288">AS113</f>
        <v>0</v>
      </c>
      <c r="CT115" s="25">
        <f t="shared" ref="CT115" si="3289">AT113</f>
        <v>0</v>
      </c>
      <c r="CU115" s="25">
        <f t="shared" ref="CU115" si="3290">AU113</f>
        <v>0</v>
      </c>
      <c r="CV115" s="25">
        <f t="shared" ref="CV115" si="3291">AV113</f>
        <v>0</v>
      </c>
      <c r="CW115" s="25">
        <f t="shared" ref="CW115" si="3292">AW113</f>
        <v>0</v>
      </c>
      <c r="CX115" s="25">
        <f t="shared" ref="CX115" si="3293">AX113</f>
        <v>0</v>
      </c>
      <c r="CY115" s="25">
        <f t="shared" ref="CY115" si="3294">AY113</f>
        <v>0</v>
      </c>
      <c r="CZ115" s="25">
        <f t="shared" ref="CZ115" si="3295">AZ113</f>
        <v>0</v>
      </c>
      <c r="DA115" s="25">
        <f t="shared" ref="DA115" si="3296">BA113</f>
        <v>0</v>
      </c>
      <c r="DB115" s="25">
        <f t="shared" ref="DB115" si="3297">BB113</f>
        <v>0</v>
      </c>
      <c r="DC115" s="25">
        <f t="shared" ref="DC115" si="3298">BC113</f>
        <v>0</v>
      </c>
      <c r="DD115" s="25">
        <f t="shared" ref="DD115" si="3299">BD113</f>
        <v>0</v>
      </c>
      <c r="DE115" s="25">
        <f t="shared" ref="DE115" si="3300">BE113</f>
        <v>0</v>
      </c>
      <c r="DF115" s="25">
        <f t="shared" ref="DF115" si="3301">BF113</f>
        <v>0</v>
      </c>
      <c r="DG115" s="25">
        <f t="shared" ref="DG115" si="3302">BG113</f>
        <v>0</v>
      </c>
      <c r="DH115" s="25">
        <f t="shared" ref="DH115" si="3303">BH113</f>
        <v>0</v>
      </c>
      <c r="DI115" s="25">
        <f t="shared" ref="DI115" si="3304">BI113</f>
        <v>0</v>
      </c>
      <c r="DJ115" s="25">
        <f t="shared" ref="DJ115" si="3305">BJ113</f>
        <v>0</v>
      </c>
      <c r="DK115" s="25">
        <f t="shared" ref="DK115" si="3306">BK113</f>
        <v>0</v>
      </c>
      <c r="DL115" s="25">
        <f t="shared" ref="DL115" si="3307">BL113</f>
        <v>0</v>
      </c>
      <c r="DM115" s="25">
        <f t="shared" ref="DM115" si="3308">BM113</f>
        <v>0</v>
      </c>
      <c r="DN115" s="25">
        <f t="shared" ref="DN115" si="3309">BN113</f>
        <v>0</v>
      </c>
      <c r="DO115" s="25">
        <f t="shared" ref="DO115" si="3310">BO113</f>
        <v>0</v>
      </c>
      <c r="DP115" s="25">
        <f t="shared" ref="DP115" si="3311">BP113</f>
        <v>0</v>
      </c>
      <c r="DQ115" s="25">
        <f t="shared" ref="DQ115" si="3312">BQ113</f>
        <v>0</v>
      </c>
      <c r="DR115" s="25">
        <f t="shared" ref="DR115" si="3313">BR113</f>
        <v>0</v>
      </c>
      <c r="DS115" s="25">
        <f t="shared" ref="DS115" si="3314">BS113</f>
        <v>0</v>
      </c>
      <c r="DT115" s="25">
        <f t="shared" ref="DT115" si="3315">BT113</f>
        <v>4231.3</v>
      </c>
      <c r="DU115" s="25">
        <f t="shared" ref="DU115" si="3316">BU113</f>
        <v>6260.5</v>
      </c>
      <c r="DV115" s="25">
        <f t="shared" ref="DV115" si="3317">BV113</f>
        <v>5347.8</v>
      </c>
      <c r="DW115" s="25">
        <f t="shared" ref="DW115:FO115" si="3318">BW113</f>
        <v>7132.75</v>
      </c>
      <c r="DX115" s="25">
        <f t="shared" si="3318"/>
        <v>13622.2</v>
      </c>
      <c r="DY115" s="25">
        <f t="shared" si="3318"/>
        <v>7750.75</v>
      </c>
      <c r="DZ115" s="25">
        <f t="shared" si="3318"/>
        <v>4791.05</v>
      </c>
      <c r="EA115" s="25">
        <f t="shared" si="3318"/>
        <v>4652.8</v>
      </c>
      <c r="EB115" s="25">
        <f t="shared" si="3318"/>
        <v>3851.95</v>
      </c>
      <c r="EC115" s="25">
        <f t="shared" si="3318"/>
        <v>5253.2</v>
      </c>
      <c r="ED115" s="25">
        <f t="shared" si="3318"/>
        <v>5079.8500000000004</v>
      </c>
      <c r="EE115" s="25">
        <f t="shared" si="3318"/>
        <v>4543.1000000000004</v>
      </c>
      <c r="EF115" s="25">
        <f t="shared" si="3318"/>
        <v>4669.91</v>
      </c>
      <c r="EG115" s="25">
        <f t="shared" si="3318"/>
        <v>4890</v>
      </c>
      <c r="EH115" s="25">
        <f t="shared" si="3318"/>
        <v>4760.5</v>
      </c>
      <c r="EI115" s="25">
        <f t="shared" si="3318"/>
        <v>6578.3</v>
      </c>
      <c r="EJ115" s="25">
        <f t="shared" si="3318"/>
        <v>6817.3</v>
      </c>
      <c r="EK115" s="25">
        <f t="shared" si="3318"/>
        <v>7000.4</v>
      </c>
      <c r="EL115" s="25">
        <f t="shared" si="3318"/>
        <v>7870.95</v>
      </c>
      <c r="EM115" s="25">
        <f t="shared" si="3318"/>
        <v>9293.85</v>
      </c>
      <c r="EN115" s="25">
        <f t="shared" si="3318"/>
        <v>7581.8</v>
      </c>
      <c r="EO115" s="25">
        <f t="shared" si="3318"/>
        <v>6759.4</v>
      </c>
      <c r="EP115" s="25">
        <f t="shared" si="3318"/>
        <v>6197.1</v>
      </c>
      <c r="EQ115" s="25">
        <f t="shared" si="3318"/>
        <v>8710.25</v>
      </c>
      <c r="ER115" s="25">
        <f t="shared" si="3318"/>
        <v>7504.4</v>
      </c>
      <c r="ES115" s="25">
        <f t="shared" si="3318"/>
        <v>5998.25</v>
      </c>
      <c r="ET115" s="25">
        <f t="shared" si="3318"/>
        <v>5850.7</v>
      </c>
      <c r="EU115" s="25">
        <f t="shared" si="3318"/>
        <v>7143.25</v>
      </c>
      <c r="EV115" s="25">
        <f t="shared" si="3318"/>
        <v>6024.45</v>
      </c>
      <c r="EW115" s="25">
        <f t="shared" si="3318"/>
        <v>6530.7</v>
      </c>
      <c r="EX115" s="25">
        <f t="shared" si="3318"/>
        <v>7468.45</v>
      </c>
      <c r="EY115" s="25">
        <f t="shared" si="3318"/>
        <v>7155.45</v>
      </c>
      <c r="EZ115" s="25">
        <f t="shared" si="3318"/>
        <v>5773.95</v>
      </c>
      <c r="FA115" s="25">
        <f t="shared" si="3318"/>
        <v>7084.85</v>
      </c>
      <c r="FB115" s="25">
        <f t="shared" si="3318"/>
        <v>6020.9</v>
      </c>
      <c r="FC115" s="25">
        <f t="shared" si="3318"/>
        <v>6795.1</v>
      </c>
      <c r="FD115" s="25">
        <f t="shared" si="3318"/>
        <v>7502.45</v>
      </c>
      <c r="FE115" s="25">
        <f t="shared" si="3318"/>
        <v>7281.75</v>
      </c>
      <c r="FF115" s="25">
        <f t="shared" si="3318"/>
        <v>6949.25</v>
      </c>
      <c r="FG115" s="25">
        <f t="shared" si="3318"/>
        <v>7086.65</v>
      </c>
      <c r="FH115" s="25">
        <f t="shared" si="3318"/>
        <v>7418.15</v>
      </c>
      <c r="FI115" s="25">
        <f t="shared" si="3318"/>
        <v>5266.6500000000005</v>
      </c>
      <c r="FJ115" s="25">
        <f t="shared" si="3318"/>
        <v>6308.8499999999995</v>
      </c>
      <c r="FK115" s="25">
        <f t="shared" si="3318"/>
        <v>5978.9</v>
      </c>
      <c r="FL115" s="25">
        <f t="shared" si="3318"/>
        <v>5994.4000000000005</v>
      </c>
      <c r="FM115" s="25">
        <f t="shared" si="3318"/>
        <v>5871.5</v>
      </c>
      <c r="FN115" s="25">
        <f t="shared" si="3318"/>
        <v>6952.75</v>
      </c>
      <c r="FO115" s="25">
        <f t="shared" si="3318"/>
        <v>5419.05</v>
      </c>
      <c r="FP115" s="25">
        <f t="shared" ref="FP115:GL115" si="3319">DP113</f>
        <v>5365.9000000000005</v>
      </c>
      <c r="FQ115" s="25">
        <f t="shared" si="3319"/>
        <v>4858.05</v>
      </c>
      <c r="FR115" s="25">
        <f t="shared" si="3319"/>
        <v>5066.3999999999996</v>
      </c>
      <c r="FS115" s="25">
        <f t="shared" si="3319"/>
        <v>5958.35</v>
      </c>
      <c r="FT115" s="25">
        <f t="shared" si="3319"/>
        <v>4910.6000000000004</v>
      </c>
      <c r="FU115" s="25">
        <f t="shared" si="3319"/>
        <v>7131.6500000000005</v>
      </c>
      <c r="FV115" s="25">
        <f t="shared" si="3319"/>
        <v>5597.15</v>
      </c>
      <c r="FW115" s="25">
        <f t="shared" si="3319"/>
        <v>6697.15</v>
      </c>
      <c r="FX115" s="25">
        <f t="shared" si="3319"/>
        <v>8092.0499999999993</v>
      </c>
      <c r="FY115" s="25">
        <f t="shared" si="3319"/>
        <v>11042.849999999999</v>
      </c>
      <c r="FZ115" s="25">
        <f t="shared" si="3319"/>
        <v>6617.9500000000007</v>
      </c>
      <c r="GA115" s="25">
        <f t="shared" si="3319"/>
        <v>5141.55</v>
      </c>
      <c r="GB115" s="25">
        <f t="shared" si="3319"/>
        <v>4501.05</v>
      </c>
      <c r="GC115" s="25">
        <f t="shared" si="3319"/>
        <v>5576.2</v>
      </c>
      <c r="GD115" s="25">
        <f t="shared" si="3319"/>
        <v>5984.1</v>
      </c>
      <c r="GE115" s="25">
        <f t="shared" si="3319"/>
        <v>5250.8</v>
      </c>
      <c r="GF115" s="25">
        <f t="shared" si="3319"/>
        <v>6625.6</v>
      </c>
      <c r="GG115" s="25">
        <f t="shared" si="3319"/>
        <v>5700.0999999999995</v>
      </c>
      <c r="GH115" s="25">
        <f t="shared" si="3319"/>
        <v>6690.75</v>
      </c>
      <c r="GI115" s="25">
        <f t="shared" si="3319"/>
        <v>6132.3</v>
      </c>
      <c r="GJ115" s="25">
        <f t="shared" si="3319"/>
        <v>7029.8499999999995</v>
      </c>
      <c r="GK115" s="25">
        <f t="shared" si="3319"/>
        <v>7764.3</v>
      </c>
      <c r="GL115" s="25">
        <f t="shared" si="3319"/>
        <v>7127.6</v>
      </c>
      <c r="GM115" s="25">
        <f t="shared" ref="GM115:GR115" si="3320">EL113</f>
        <v>7127.6</v>
      </c>
      <c r="GN115" s="25">
        <f t="shared" si="3320"/>
        <v>7412.5999999999995</v>
      </c>
      <c r="GO115" s="25">
        <f t="shared" si="3320"/>
        <v>8127.65</v>
      </c>
      <c r="GP115" s="25">
        <f t="shared" si="3320"/>
        <v>9380.0499999999993</v>
      </c>
      <c r="GQ115" s="25">
        <f t="shared" si="3320"/>
        <v>7326.2</v>
      </c>
      <c r="GR115" s="110">
        <f t="shared" si="3320"/>
        <v>8220.5</v>
      </c>
      <c r="GS115" s="159"/>
      <c r="GT115" s="11"/>
      <c r="GU115" s="11"/>
      <c r="GV115" s="11"/>
      <c r="GW115" s="58"/>
      <c r="GX115" s="58"/>
      <c r="GY115" s="58"/>
      <c r="GZ115" s="58"/>
      <c r="HA115" s="58"/>
    </row>
    <row r="116" spans="1:209" s="2" customFormat="1" ht="15" customHeight="1" x14ac:dyDescent="0.3">
      <c r="A116" s="171"/>
      <c r="B116" s="26" t="s">
        <v>366</v>
      </c>
      <c r="C116" s="27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>
        <f t="shared" ref="BY116:CN116" si="3321">IFERROR(((BY113-BY115)/BY115),0)</f>
        <v>0</v>
      </c>
      <c r="BZ116" s="28">
        <f t="shared" si="3321"/>
        <v>0</v>
      </c>
      <c r="CA116" s="28">
        <f t="shared" si="3321"/>
        <v>0</v>
      </c>
      <c r="CB116" s="28">
        <f t="shared" si="3321"/>
        <v>0</v>
      </c>
      <c r="CC116" s="28">
        <f t="shared" si="3321"/>
        <v>0</v>
      </c>
      <c r="CD116" s="28">
        <f t="shared" si="3321"/>
        <v>0</v>
      </c>
      <c r="CE116" s="28">
        <f t="shared" si="3321"/>
        <v>0</v>
      </c>
      <c r="CF116" s="28">
        <f t="shared" si="3321"/>
        <v>0</v>
      </c>
      <c r="CG116" s="28">
        <f t="shared" si="3321"/>
        <v>0</v>
      </c>
      <c r="CH116" s="28">
        <f t="shared" si="3321"/>
        <v>0</v>
      </c>
      <c r="CI116" s="28">
        <f t="shared" si="3321"/>
        <v>0</v>
      </c>
      <c r="CJ116" s="28">
        <f t="shared" si="3321"/>
        <v>0</v>
      </c>
      <c r="CK116" s="28">
        <f t="shared" si="3321"/>
        <v>0</v>
      </c>
      <c r="CL116" s="28">
        <f t="shared" si="3321"/>
        <v>0</v>
      </c>
      <c r="CM116" s="28">
        <f t="shared" si="3321"/>
        <v>0</v>
      </c>
      <c r="CN116" s="28">
        <f t="shared" si="3321"/>
        <v>0</v>
      </c>
      <c r="CO116" s="28">
        <f t="shared" ref="CO116:CZ116" si="3322">IFERROR(((CO113-CO115)/CO115),0)</f>
        <v>0</v>
      </c>
      <c r="CP116" s="28">
        <f t="shared" si="3322"/>
        <v>0</v>
      </c>
      <c r="CQ116" s="28">
        <f t="shared" si="3322"/>
        <v>0</v>
      </c>
      <c r="CR116" s="28">
        <f t="shared" si="3322"/>
        <v>0</v>
      </c>
      <c r="CS116" s="28">
        <f t="shared" si="3322"/>
        <v>0</v>
      </c>
      <c r="CT116" s="28">
        <f t="shared" si="3322"/>
        <v>0</v>
      </c>
      <c r="CU116" s="28">
        <f t="shared" si="3322"/>
        <v>0</v>
      </c>
      <c r="CV116" s="28">
        <f t="shared" si="3322"/>
        <v>0</v>
      </c>
      <c r="CW116" s="28">
        <f t="shared" si="3322"/>
        <v>0</v>
      </c>
      <c r="CX116" s="28">
        <f t="shared" si="3322"/>
        <v>0</v>
      </c>
      <c r="CY116" s="28">
        <f t="shared" si="3322"/>
        <v>0</v>
      </c>
      <c r="CZ116" s="28">
        <f t="shared" si="3322"/>
        <v>0</v>
      </c>
      <c r="DA116" s="28">
        <f t="shared" ref="DA116:DB116" si="3323">IFERROR(((DA113-DA115)/DA115),0)</f>
        <v>0</v>
      </c>
      <c r="DB116" s="28">
        <f t="shared" si="3323"/>
        <v>0</v>
      </c>
      <c r="DC116" s="28">
        <f t="shared" ref="DC116:DD116" si="3324">IFERROR(((DC113-DC115)/DC115),0)</f>
        <v>0</v>
      </c>
      <c r="DD116" s="28">
        <f t="shared" si="3324"/>
        <v>0</v>
      </c>
      <c r="DE116" s="28">
        <f t="shared" ref="DE116:DF116" si="3325">IFERROR(((DE113-DE115)/DE115),0)</f>
        <v>0</v>
      </c>
      <c r="DF116" s="28">
        <f t="shared" si="3325"/>
        <v>0</v>
      </c>
      <c r="DG116" s="28">
        <f t="shared" ref="DG116:DH116" si="3326">IFERROR(((DG113-DG115)/DG115),0)</f>
        <v>0</v>
      </c>
      <c r="DH116" s="28">
        <f t="shared" si="3326"/>
        <v>0</v>
      </c>
      <c r="DI116" s="28">
        <f t="shared" ref="DI116:DJ116" si="3327">IFERROR(((DI113-DI115)/DI115),0)</f>
        <v>0</v>
      </c>
      <c r="DJ116" s="28">
        <f t="shared" si="3327"/>
        <v>0</v>
      </c>
      <c r="DK116" s="28">
        <f t="shared" ref="DK116:DL116" si="3328">IFERROR(((DK113-DK115)/DK115),0)</f>
        <v>0</v>
      </c>
      <c r="DL116" s="28">
        <f t="shared" si="3328"/>
        <v>0</v>
      </c>
      <c r="DM116" s="28">
        <f t="shared" ref="DM116:DN116" si="3329">IFERROR(((DM113-DM115)/DM115),0)</f>
        <v>0</v>
      </c>
      <c r="DN116" s="28">
        <f t="shared" si="3329"/>
        <v>0</v>
      </c>
      <c r="DO116" s="28">
        <f t="shared" ref="DO116:DP116" si="3330">IFERROR(((DO113-DO115)/DO115),0)</f>
        <v>0</v>
      </c>
      <c r="DP116" s="28">
        <f t="shared" si="3330"/>
        <v>0</v>
      </c>
      <c r="DQ116" s="28">
        <f t="shared" ref="DQ116:DR116" si="3331">IFERROR(((DQ113-DQ115)/DQ115),0)</f>
        <v>0</v>
      </c>
      <c r="DR116" s="28">
        <f t="shared" si="3331"/>
        <v>0</v>
      </c>
      <c r="DS116" s="28">
        <f t="shared" ref="DS116:DT116" si="3332">IFERROR(((DS113-DS115)/DS115),0)</f>
        <v>0</v>
      </c>
      <c r="DT116" s="28">
        <f t="shared" si="3332"/>
        <v>0.16054167749864112</v>
      </c>
      <c r="DU116" s="28">
        <f t="shared" ref="DU116:DV116" si="3333">IFERROR(((DU113-DU115)/DU115),0)</f>
        <v>0.13915022761760251</v>
      </c>
      <c r="DV116" s="28">
        <f t="shared" si="3333"/>
        <v>4.6626650211301739E-2</v>
      </c>
      <c r="DW116" s="28">
        <f t="shared" ref="DW116:DX116" si="3334">IFERROR(((DW113-DW115)/DW115),0)</f>
        <v>-6.1070414636711E-2</v>
      </c>
      <c r="DX116" s="28">
        <f t="shared" si="3334"/>
        <v>-0.40596599668188699</v>
      </c>
      <c r="DY116" s="28">
        <f t="shared" ref="DY116:DZ116" si="3335">IFERROR(((DY113-DY115)/DY115),0)</f>
        <v>0.42474599232332338</v>
      </c>
      <c r="DZ116" s="28">
        <f t="shared" si="3335"/>
        <v>0.38131516055979386</v>
      </c>
      <c r="EA116" s="28">
        <f t="shared" ref="EA116:EB116" si="3336">IFERROR(((EA113-EA115)/EA115),0)</f>
        <v>0.10504427441540577</v>
      </c>
      <c r="EB116" s="28">
        <f t="shared" si="3336"/>
        <v>0.16851205233712804</v>
      </c>
      <c r="EC116" s="28">
        <f t="shared" ref="EC116:ED116" si="3337">IFERROR(((EC113-EC115)/EC115),0)</f>
        <v>6.1486332140409654E-2</v>
      </c>
      <c r="ED116" s="28">
        <f t="shared" si="3337"/>
        <v>0.17800722462277427</v>
      </c>
      <c r="EE116" s="28">
        <f t="shared" ref="EE116:EF116" si="3338">IFERROR(((EE113-EE115)/EE115),0)</f>
        <v>0.15577469129008822</v>
      </c>
      <c r="EF116" s="28">
        <f t="shared" si="3338"/>
        <v>0.4187853727373762</v>
      </c>
      <c r="EG116" s="28">
        <f t="shared" ref="EG116:EH116" si="3339">IFERROR(((EG113-EG115)/EG115),0)</f>
        <v>0.1656646216768915</v>
      </c>
      <c r="EH116" s="28">
        <f t="shared" si="3339"/>
        <v>0.40547211427371077</v>
      </c>
      <c r="EI116" s="28">
        <f t="shared" ref="EI116:EJ116" si="3340">IFERROR(((EI113-EI115)/EI115),0)</f>
        <v>-6.7798671389264709E-2</v>
      </c>
      <c r="EJ116" s="28">
        <f t="shared" si="3340"/>
        <v>3.1178032358851637E-2</v>
      </c>
      <c r="EK116" s="28">
        <f t="shared" ref="EK116:EL116" si="3341">IFERROR(((EK113-EK115)/EK115),0)</f>
        <v>0.10912233586652199</v>
      </c>
      <c r="EL116" s="28">
        <f t="shared" si="3341"/>
        <v>-9.444222107877695E-2</v>
      </c>
      <c r="EM116" s="28">
        <f t="shared" ref="EM116:EN116" si="3342">IFERROR(((EM113-EM115)/EM115),0)</f>
        <v>-0.2024188038326421</v>
      </c>
      <c r="EN116" s="28">
        <f t="shared" si="3342"/>
        <v>7.1994776965891932E-2</v>
      </c>
      <c r="EO116" s="28">
        <f t="shared" ref="EO116:EP116" si="3343">IFERROR(((EO113-EO115)/EO115),0)</f>
        <v>0.3877045299878687</v>
      </c>
      <c r="EP116" s="28">
        <f t="shared" si="3343"/>
        <v>0.18219812492940238</v>
      </c>
      <c r="EQ116" s="28">
        <f t="shared" ref="EQ116:ER116" si="3344">IFERROR(((EQ113-EQ115)/EQ115),0)</f>
        <v>-5.6226859160184842E-2</v>
      </c>
      <c r="ER116" s="28">
        <f t="shared" si="3344"/>
        <v>0.21445418687703219</v>
      </c>
      <c r="ES116" s="28">
        <f t="shared" ref="ES116:ET116" si="3345">IFERROR(((ES113-ES115)/ES115),0)</f>
        <v>0.66667778101946396</v>
      </c>
      <c r="ET116" s="28">
        <f t="shared" si="3345"/>
        <v>0.37784367682499542</v>
      </c>
      <c r="EU116" s="28">
        <f t="shared" ref="EU116:EV116" si="3346">IFERROR(((EU113-EU115)/EU115),0)</f>
        <v>0.17757323347215914</v>
      </c>
      <c r="EV116" s="28">
        <f t="shared" si="3346"/>
        <v>1.6150851944990861E-2</v>
      </c>
      <c r="EW116" s="28">
        <f t="shared" ref="EW116:EX116" si="3347">IFERROR(((EW113-EW115)/EW115),0)</f>
        <v>0.13900500712021685</v>
      </c>
      <c r="EX116" s="28">
        <f t="shared" si="3347"/>
        <v>-4.5370860084756472E-2</v>
      </c>
      <c r="EY116" s="28">
        <f t="shared" ref="EY116:EZ116" si="3348">IFERROR(((EY113-EY115)/EY115),0)</f>
        <v>0.16830527779524701</v>
      </c>
      <c r="EZ116" s="28">
        <f t="shared" si="3348"/>
        <v>0.13343551641423995</v>
      </c>
      <c r="FA116" s="28">
        <f t="shared" ref="FA116:FB116" si="3349">IFERROR(((FA113-FA115)/FA115),0)</f>
        <v>-4.3854139466608426E-2</v>
      </c>
      <c r="FB116" s="28">
        <f t="shared" si="3349"/>
        <v>0.37633908551877621</v>
      </c>
      <c r="FC116" s="28">
        <f t="shared" ref="FC116:FD116" si="3350">IFERROR(((FC113-FC115)/FC115),0)</f>
        <v>0.16158702594516636</v>
      </c>
      <c r="FD116" s="28">
        <f t="shared" si="3350"/>
        <v>-0.16437963598557792</v>
      </c>
      <c r="FE116" s="28">
        <f t="shared" ref="FE116:FF116" si="3351">IFERROR(((FE113-FE115)/FE115),0)</f>
        <v>-0.15742781611563147</v>
      </c>
      <c r="FF116" s="28">
        <f t="shared" si="3351"/>
        <v>3.0586034464150834E-2</v>
      </c>
      <c r="FG116" s="28">
        <f t="shared" ref="FG116:FH116" si="3352">IFERROR(((FG113-FG115)/FG115),0)</f>
        <v>0.17634566403025417</v>
      </c>
      <c r="FH116" s="28">
        <f t="shared" si="3352"/>
        <v>0.22872279476688917</v>
      </c>
      <c r="FI116" s="28">
        <f t="shared" ref="FI116:FJ116" si="3353">IFERROR(((FI113-FI115)/FI115),0)</f>
        <v>0.76744230203260122</v>
      </c>
      <c r="FJ116" s="28">
        <f t="shared" si="3353"/>
        <v>0.23212629877077454</v>
      </c>
      <c r="FK116" s="28">
        <f t="shared" ref="FK116:FL116" si="3354">IFERROR(((FK113-FK115)/FK115),0)</f>
        <v>0.40287511080633592</v>
      </c>
      <c r="FL116" s="28">
        <f t="shared" si="3354"/>
        <v>0.31938976377952755</v>
      </c>
      <c r="FM116" s="28">
        <f t="shared" ref="FM116:FN116" si="3355">IFERROR(((FM113-FM115)/FM115),0)</f>
        <v>0.36150046836413186</v>
      </c>
      <c r="FN116" s="28">
        <f t="shared" si="3355"/>
        <v>0.13254467656682611</v>
      </c>
      <c r="FO116" s="28">
        <f t="shared" ref="FO116:FP116" si="3356">IFERROR(((FO113-FO115)/FO115),0)</f>
        <v>1.2639115712163571</v>
      </c>
      <c r="FP116" s="28">
        <f t="shared" si="3356"/>
        <v>0.35708827969212981</v>
      </c>
      <c r="FQ116" s="28">
        <f t="shared" ref="FQ116:FR116" si="3357">IFERROR(((FQ113-FQ115)/FQ115),0)</f>
        <v>0.66437150708617643</v>
      </c>
      <c r="FR116" s="28">
        <f t="shared" si="3357"/>
        <v>0.42590399494710274</v>
      </c>
      <c r="FS116" s="28">
        <f t="shared" ref="FS116:FT116" si="3358">IFERROR(((FS113-FS115)/FS115),0)</f>
        <v>0.46242667852677322</v>
      </c>
      <c r="FT116" s="28">
        <f t="shared" si="3358"/>
        <v>0.44957846291695491</v>
      </c>
      <c r="FU116" s="28">
        <f t="shared" ref="FU116:FV116" si="3359">IFERROR(((FU113-FU115)/FU115),0)</f>
        <v>0.25528454144552792</v>
      </c>
      <c r="FV116" s="28">
        <f t="shared" si="3359"/>
        <v>0.30708485568548283</v>
      </c>
      <c r="FW116" s="28">
        <f t="shared" ref="FW116:FX116" si="3360">IFERROR(((FW113-FW115)/FW115),0)</f>
        <v>5.470983925998367E-2</v>
      </c>
      <c r="FX116" s="28">
        <f t="shared" si="3360"/>
        <v>0.12837290921336367</v>
      </c>
      <c r="FY116" s="28">
        <f t="shared" ref="FY116:FZ116" si="3361">IFERROR(((FY113-FY115)/FY115),0)</f>
        <v>0.19312043539484847</v>
      </c>
      <c r="FZ116" s="28">
        <f t="shared" si="3361"/>
        <v>0.42736799159860667</v>
      </c>
      <c r="GA116" s="28">
        <f t="shared" ref="GA116:GB116" si="3362">IFERROR(((GA113-GA115)/GA115),0)</f>
        <v>0.31367000223667957</v>
      </c>
      <c r="GB116" s="28">
        <f t="shared" si="3362"/>
        <v>0.65229224292109611</v>
      </c>
      <c r="GC116" s="28">
        <f t="shared" ref="GC116:GD116" si="3363">IFERROR(((GC113-GC115)/GC115),0)</f>
        <v>0.49411785803952518</v>
      </c>
      <c r="GD116" s="28">
        <f t="shared" si="3363"/>
        <v>0.10815327283969181</v>
      </c>
      <c r="GE116" s="28">
        <f t="shared" ref="GE116:GF116" si="3364">IFERROR(((GE113-GE115)/GE115),0)</f>
        <v>0.3685152738630304</v>
      </c>
      <c r="GF116" s="28">
        <f t="shared" si="3364"/>
        <v>7.1140726877565716E-2</v>
      </c>
      <c r="GG116" s="28">
        <f t="shared" ref="GG116:GH116" si="3365">IFERROR(((GG113-GG115)/GG115),0)</f>
        <v>0.11010333152049971</v>
      </c>
      <c r="GH116" s="28">
        <f t="shared" si="3365"/>
        <v>0.20487239846056121</v>
      </c>
      <c r="GI116" s="28">
        <f t="shared" ref="GI116:GJ116" si="3366">IFERROR(((GI113-GI115)/GI115),0)</f>
        <v>0.42150579717234971</v>
      </c>
      <c r="GJ116" s="28">
        <f t="shared" si="3366"/>
        <v>-9.7953725897423058E-2</v>
      </c>
      <c r="GK116" s="28">
        <f t="shared" ref="GK116:GL116" si="3367">IFERROR(((GK113-GK115)/GK115),0)</f>
        <v>4.1594219697847816E-2</v>
      </c>
      <c r="GL116" s="28">
        <f t="shared" si="3367"/>
        <v>1.3370559515124203E-2</v>
      </c>
      <c r="GM116" s="28">
        <f t="shared" ref="GM116:GN116" si="3368">IFERROR(((GM113-GM115)/GM115),0)</f>
        <v>0.33368875918962898</v>
      </c>
      <c r="GN116" s="28">
        <f t="shared" si="3368"/>
        <v>0.24241156948978776</v>
      </c>
      <c r="GO116" s="28">
        <f t="shared" ref="GO116:GP116" si="3369">IFERROR(((GO113-GO115)/GO115),0)</f>
        <v>0.20015625672857482</v>
      </c>
      <c r="GP116" s="28">
        <f t="shared" si="3369"/>
        <v>-0.25619799468019894</v>
      </c>
      <c r="GQ116" s="28">
        <f t="shared" ref="GQ116:GR116" si="3370">IFERROR(((GQ113-GQ115)/GQ115),0)</f>
        <v>0.11766673036499142</v>
      </c>
      <c r="GR116" s="109">
        <f t="shared" si="3370"/>
        <v>-7.1546742898850393E-2</v>
      </c>
      <c r="GS116" s="159"/>
      <c r="GT116" s="11"/>
      <c r="GU116" s="11"/>
      <c r="GV116" s="11"/>
      <c r="GW116" s="58"/>
      <c r="GX116" s="58"/>
      <c r="GY116" s="58"/>
      <c r="GZ116" s="58"/>
      <c r="HA116" s="58"/>
    </row>
    <row r="117" spans="1:209" s="2" customFormat="1" ht="7.5" customHeight="1" x14ac:dyDescent="0.3">
      <c r="A117" s="8"/>
      <c r="B117" s="29"/>
      <c r="C117" s="30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  <c r="EW117" s="32"/>
      <c r="EX117" s="32"/>
      <c r="EY117" s="32"/>
      <c r="EZ117" s="32"/>
      <c r="FA117" s="32"/>
      <c r="FB117" s="32"/>
      <c r="FC117" s="32"/>
      <c r="FD117" s="32"/>
      <c r="FE117" s="32"/>
      <c r="FF117" s="32"/>
      <c r="FG117" s="32"/>
      <c r="FH117" s="32"/>
      <c r="FI117" s="32"/>
      <c r="FJ117" s="32"/>
      <c r="FK117" s="32"/>
      <c r="FL117" s="32"/>
      <c r="FM117" s="32"/>
      <c r="FN117" s="32"/>
      <c r="FO117" s="32"/>
      <c r="FP117" s="32"/>
      <c r="FQ117" s="32"/>
      <c r="FR117" s="32"/>
      <c r="FS117" s="32"/>
      <c r="FT117" s="32"/>
      <c r="FU117" s="32"/>
      <c r="FV117" s="32"/>
      <c r="FW117" s="32"/>
      <c r="FX117" s="32"/>
      <c r="FY117" s="32"/>
      <c r="FZ117" s="32"/>
      <c r="GA117" s="32"/>
      <c r="GB117" s="32"/>
      <c r="GC117" s="32"/>
      <c r="GD117" s="32"/>
      <c r="GE117" s="32"/>
      <c r="GF117" s="32"/>
      <c r="GG117" s="32"/>
      <c r="GH117" s="32"/>
      <c r="GI117" s="32"/>
      <c r="GJ117" s="32"/>
      <c r="GK117" s="32"/>
      <c r="GL117" s="32"/>
      <c r="GM117" s="32"/>
      <c r="GN117" s="32"/>
      <c r="GO117" s="32"/>
      <c r="GP117" s="32"/>
      <c r="GQ117" s="32"/>
      <c r="GR117" s="111"/>
      <c r="GS117" s="156"/>
      <c r="GT117" s="9"/>
      <c r="GU117" s="9"/>
      <c r="GV117" s="9"/>
    </row>
    <row r="118" spans="1:209" s="1" customFormat="1" ht="21" customHeight="1" x14ac:dyDescent="0.3">
      <c r="A118" s="174" t="s">
        <v>99</v>
      </c>
      <c r="B118" s="46" t="s">
        <v>101</v>
      </c>
      <c r="C118" s="47"/>
      <c r="D118" s="47">
        <f t="shared" ref="D118:AI118" si="3371">D113+D106+D99+D85+D92</f>
        <v>11616.25</v>
      </c>
      <c r="E118" s="47">
        <f t="shared" si="3371"/>
        <v>12679.5</v>
      </c>
      <c r="F118" s="47">
        <f t="shared" si="3371"/>
        <v>13368.25</v>
      </c>
      <c r="G118" s="47">
        <f t="shared" si="3371"/>
        <v>15079.099999999999</v>
      </c>
      <c r="H118" s="47">
        <f t="shared" si="3371"/>
        <v>16832.349999999999</v>
      </c>
      <c r="I118" s="47">
        <f t="shared" si="3371"/>
        <v>13659.15</v>
      </c>
      <c r="J118" s="47">
        <f t="shared" si="3371"/>
        <v>14553.7</v>
      </c>
      <c r="K118" s="47">
        <f t="shared" si="3371"/>
        <v>14662.099999999999</v>
      </c>
      <c r="L118" s="47">
        <f t="shared" si="3371"/>
        <v>14242.6</v>
      </c>
      <c r="M118" s="47">
        <f t="shared" si="3371"/>
        <v>16694.150000000001</v>
      </c>
      <c r="N118" s="47">
        <f t="shared" si="3371"/>
        <v>14034.6</v>
      </c>
      <c r="O118" s="47">
        <f t="shared" si="3371"/>
        <v>15403.150000000001</v>
      </c>
      <c r="P118" s="47">
        <f t="shared" si="3371"/>
        <v>18319</v>
      </c>
      <c r="Q118" s="47">
        <f t="shared" si="3371"/>
        <v>14844.849999999999</v>
      </c>
      <c r="R118" s="47">
        <f t="shared" si="3371"/>
        <v>17982.349999999999</v>
      </c>
      <c r="S118" s="47">
        <f t="shared" si="3371"/>
        <v>16600.099999999999</v>
      </c>
      <c r="T118" s="47">
        <f t="shared" si="3371"/>
        <v>19764.599999999999</v>
      </c>
      <c r="U118" s="47">
        <f t="shared" si="3371"/>
        <v>34130.899999999994</v>
      </c>
      <c r="V118" s="47">
        <f t="shared" si="3371"/>
        <v>31221.8</v>
      </c>
      <c r="W118" s="47">
        <f t="shared" si="3371"/>
        <v>24576.199999999997</v>
      </c>
      <c r="X118" s="47">
        <f t="shared" si="3371"/>
        <v>33098.6</v>
      </c>
      <c r="Y118" s="47">
        <f t="shared" si="3371"/>
        <v>28667.8</v>
      </c>
      <c r="Z118" s="47">
        <f t="shared" si="3371"/>
        <v>16204.099999999999</v>
      </c>
      <c r="AA118" s="47">
        <f t="shared" si="3371"/>
        <v>16435.099999999999</v>
      </c>
      <c r="AB118" s="47">
        <f t="shared" si="3371"/>
        <v>17715.949999999997</v>
      </c>
      <c r="AC118" s="47">
        <f t="shared" si="3371"/>
        <v>17137.650000000001</v>
      </c>
      <c r="AD118" s="47">
        <f t="shared" si="3371"/>
        <v>19893.449999999997</v>
      </c>
      <c r="AE118" s="47">
        <f t="shared" si="3371"/>
        <v>21156.85</v>
      </c>
      <c r="AF118" s="47">
        <f t="shared" si="3371"/>
        <v>21622.799999999999</v>
      </c>
      <c r="AG118" s="47">
        <f t="shared" si="3371"/>
        <v>21750.9</v>
      </c>
      <c r="AH118" s="47">
        <f t="shared" si="3371"/>
        <v>20341.95</v>
      </c>
      <c r="AI118" s="47">
        <f t="shared" si="3371"/>
        <v>24970</v>
      </c>
      <c r="AJ118" s="47">
        <f t="shared" ref="AJ118:BO118" si="3372">AJ113+AJ106+AJ99+AJ85+AJ92</f>
        <v>21516.3</v>
      </c>
      <c r="AK118" s="47">
        <f t="shared" si="3372"/>
        <v>21829.1</v>
      </c>
      <c r="AL118" s="47">
        <f t="shared" si="3372"/>
        <v>23408.9</v>
      </c>
      <c r="AM118" s="47">
        <f t="shared" si="3372"/>
        <v>28040.1</v>
      </c>
      <c r="AN118" s="47">
        <f t="shared" si="3372"/>
        <v>20306.349999999999</v>
      </c>
      <c r="AO118" s="47">
        <f t="shared" si="3372"/>
        <v>20138.45</v>
      </c>
      <c r="AP118" s="47">
        <f t="shared" si="3372"/>
        <v>25187.5</v>
      </c>
      <c r="AQ118" s="47">
        <f t="shared" si="3372"/>
        <v>22924.199999999997</v>
      </c>
      <c r="AR118" s="47">
        <f t="shared" si="3372"/>
        <v>12468.650000000001</v>
      </c>
      <c r="AS118" s="47">
        <f t="shared" si="3372"/>
        <v>16222.150000000001</v>
      </c>
      <c r="AT118" s="47">
        <f t="shared" si="3372"/>
        <v>16338</v>
      </c>
      <c r="AU118" s="47">
        <f t="shared" si="3372"/>
        <v>16072.15</v>
      </c>
      <c r="AV118" s="47">
        <f t="shared" si="3372"/>
        <v>13854.599999999999</v>
      </c>
      <c r="AW118" s="47">
        <f t="shared" si="3372"/>
        <v>18898.55</v>
      </c>
      <c r="AX118" s="47">
        <f t="shared" si="3372"/>
        <v>15417.8</v>
      </c>
      <c r="AY118" s="47">
        <f t="shared" si="3372"/>
        <v>16669.3</v>
      </c>
      <c r="AZ118" s="47">
        <f t="shared" si="3372"/>
        <v>14021.95</v>
      </c>
      <c r="BA118" s="47">
        <f t="shared" si="3372"/>
        <v>16867.95</v>
      </c>
      <c r="BB118" s="47">
        <f t="shared" si="3372"/>
        <v>16164</v>
      </c>
      <c r="BC118" s="47">
        <f t="shared" si="3372"/>
        <v>16702.3</v>
      </c>
      <c r="BD118" s="47">
        <f t="shared" si="3372"/>
        <v>17590.75</v>
      </c>
      <c r="BE118" s="47">
        <f t="shared" si="3372"/>
        <v>15420.1</v>
      </c>
      <c r="BF118" s="47">
        <f t="shared" si="3372"/>
        <v>18033.2</v>
      </c>
      <c r="BG118" s="47">
        <f t="shared" si="3372"/>
        <v>18363.550000000003</v>
      </c>
      <c r="BH118" s="47">
        <f t="shared" si="3372"/>
        <v>16277.8</v>
      </c>
      <c r="BI118" s="47">
        <f t="shared" si="3372"/>
        <v>9278.65</v>
      </c>
      <c r="BJ118" s="47">
        <f t="shared" si="3372"/>
        <v>13097.949999999999</v>
      </c>
      <c r="BK118" s="47">
        <f t="shared" si="3372"/>
        <v>18943.2</v>
      </c>
      <c r="BL118" s="47">
        <f t="shared" si="3372"/>
        <v>20372.45</v>
      </c>
      <c r="BM118" s="47">
        <f t="shared" si="3372"/>
        <v>19072.650000000001</v>
      </c>
      <c r="BN118" s="47">
        <f t="shared" si="3372"/>
        <v>18203.05</v>
      </c>
      <c r="BO118" s="47">
        <f t="shared" si="3372"/>
        <v>17764</v>
      </c>
      <c r="BP118" s="47">
        <f t="shared" ref="BP118:CU118" si="3373">BP113+BP106+BP99+BP85+BP92</f>
        <v>18854.599999999999</v>
      </c>
      <c r="BQ118" s="47">
        <f t="shared" si="3373"/>
        <v>21318.949999999997</v>
      </c>
      <c r="BR118" s="47">
        <f t="shared" si="3373"/>
        <v>19503.699999999997</v>
      </c>
      <c r="BS118" s="47">
        <f t="shared" si="3373"/>
        <v>25383.65</v>
      </c>
      <c r="BT118" s="47">
        <f t="shared" si="3373"/>
        <v>32335.1</v>
      </c>
      <c r="BU118" s="47">
        <f t="shared" si="3373"/>
        <v>42684.35</v>
      </c>
      <c r="BV118" s="47">
        <f t="shared" si="3373"/>
        <v>39719.25</v>
      </c>
      <c r="BW118" s="47">
        <f t="shared" si="3373"/>
        <v>38135.449999999997</v>
      </c>
      <c r="BX118" s="47">
        <f t="shared" si="3373"/>
        <v>60710.45</v>
      </c>
      <c r="BY118" s="47">
        <f t="shared" si="3373"/>
        <v>39639.15</v>
      </c>
      <c r="BZ118" s="47">
        <f t="shared" si="3373"/>
        <v>22464.799999999999</v>
      </c>
      <c r="CA118" s="47">
        <f t="shared" si="3373"/>
        <v>20995.85</v>
      </c>
      <c r="CB118" s="47">
        <f t="shared" si="3373"/>
        <v>19644.849999999999</v>
      </c>
      <c r="CC118" s="47">
        <f t="shared" si="3373"/>
        <v>21550.149999999998</v>
      </c>
      <c r="CD118" s="47">
        <f t="shared" si="3373"/>
        <v>22459.79</v>
      </c>
      <c r="CE118" s="47">
        <f t="shared" si="3373"/>
        <v>23602.5</v>
      </c>
      <c r="CF118" s="47">
        <f t="shared" si="3373"/>
        <v>25604.959999999999</v>
      </c>
      <c r="CG118" s="47">
        <f t="shared" si="3373"/>
        <v>22512.3</v>
      </c>
      <c r="CH118" s="47">
        <f t="shared" si="3373"/>
        <v>23345.1</v>
      </c>
      <c r="CI118" s="47">
        <f t="shared" si="3373"/>
        <v>26436.5</v>
      </c>
      <c r="CJ118" s="47">
        <f t="shared" si="3373"/>
        <v>27173.95</v>
      </c>
      <c r="CK118" s="47">
        <f t="shared" si="3373"/>
        <v>26828.699999999997</v>
      </c>
      <c r="CL118" s="47">
        <f t="shared" si="3373"/>
        <v>47497.489999999991</v>
      </c>
      <c r="CM118" s="47">
        <f t="shared" si="3373"/>
        <v>45070.55</v>
      </c>
      <c r="CN118" s="47">
        <f t="shared" si="3373"/>
        <v>39990.33</v>
      </c>
      <c r="CO118" s="47">
        <f t="shared" si="3373"/>
        <v>36854.92</v>
      </c>
      <c r="CP118" s="47">
        <f t="shared" si="3373"/>
        <v>38644.03</v>
      </c>
      <c r="CQ118" s="47">
        <f t="shared" si="3373"/>
        <v>44118.18</v>
      </c>
      <c r="CR118" s="47">
        <f t="shared" si="3373"/>
        <v>39610.46</v>
      </c>
      <c r="CS118" s="47">
        <f t="shared" si="3373"/>
        <v>41503.18</v>
      </c>
      <c r="CT118" s="47">
        <f t="shared" si="3373"/>
        <v>40379.74</v>
      </c>
      <c r="CU118" s="47">
        <f t="shared" si="3373"/>
        <v>43794.86</v>
      </c>
      <c r="CV118" s="47">
        <f t="shared" ref="CV118:EA118" si="3374">CV113+CV106+CV99+CV85+CV92</f>
        <v>42889.1</v>
      </c>
      <c r="CW118" s="47">
        <f t="shared" si="3374"/>
        <v>58330.609999999993</v>
      </c>
      <c r="CX118" s="47">
        <f t="shared" si="3374"/>
        <v>61225.279999999999</v>
      </c>
      <c r="CY118" s="47">
        <f t="shared" si="3374"/>
        <v>63980.899999999994</v>
      </c>
      <c r="CZ118" s="47">
        <f t="shared" si="3374"/>
        <v>52493.49</v>
      </c>
      <c r="DA118" s="47">
        <f t="shared" si="3374"/>
        <v>65031.270000000004</v>
      </c>
      <c r="DB118" s="47">
        <f t="shared" si="3374"/>
        <v>48542.380000000005</v>
      </c>
      <c r="DC118" s="47">
        <f t="shared" si="3374"/>
        <v>59671.200000000004</v>
      </c>
      <c r="DD118" s="47">
        <f t="shared" si="3374"/>
        <v>61317.460000000006</v>
      </c>
      <c r="DE118" s="47">
        <f t="shared" si="3374"/>
        <v>57961.736000000004</v>
      </c>
      <c r="DF118" s="47">
        <f t="shared" si="3374"/>
        <v>67081.03</v>
      </c>
      <c r="DG118" s="47">
        <f t="shared" si="3374"/>
        <v>63539.5</v>
      </c>
      <c r="DH118" s="47">
        <f t="shared" si="3374"/>
        <v>67248.19</v>
      </c>
      <c r="DI118" s="47">
        <f t="shared" si="3374"/>
        <v>49349.039999999994</v>
      </c>
      <c r="DJ118" s="47">
        <f t="shared" si="3374"/>
        <v>53122.33</v>
      </c>
      <c r="DK118" s="47">
        <f t="shared" si="3374"/>
        <v>56069.54</v>
      </c>
      <c r="DL118" s="47">
        <f t="shared" si="3374"/>
        <v>50652.01</v>
      </c>
      <c r="DM118" s="47">
        <f t="shared" si="3374"/>
        <v>52801.279999999999</v>
      </c>
      <c r="DN118" s="47">
        <f t="shared" si="3374"/>
        <v>50030.399999999994</v>
      </c>
      <c r="DO118" s="47">
        <f t="shared" si="3374"/>
        <v>47186.25</v>
      </c>
      <c r="DP118" s="47">
        <f t="shared" si="3374"/>
        <v>56781.009999999995</v>
      </c>
      <c r="DQ118" s="47">
        <f t="shared" si="3374"/>
        <v>52332.2</v>
      </c>
      <c r="DR118" s="47">
        <f t="shared" si="3374"/>
        <v>51606.950000000004</v>
      </c>
      <c r="DS118" s="47">
        <f t="shared" si="3374"/>
        <v>49808.65</v>
      </c>
      <c r="DT118" s="47">
        <f t="shared" si="3374"/>
        <v>56273.591666666667</v>
      </c>
      <c r="DU118" s="47">
        <f t="shared" si="3374"/>
        <v>71241.243333333332</v>
      </c>
      <c r="DV118" s="47">
        <f t="shared" si="3374"/>
        <v>71449.713333333319</v>
      </c>
      <c r="DW118" s="47">
        <f t="shared" si="3374"/>
        <v>82052.666666666672</v>
      </c>
      <c r="DX118" s="47">
        <f t="shared" si="3374"/>
        <v>89113.583333333343</v>
      </c>
      <c r="DY118" s="47">
        <f t="shared" si="3374"/>
        <v>86231.680000000008</v>
      </c>
      <c r="DZ118" s="47">
        <f t="shared" si="3374"/>
        <v>53414.491666666669</v>
      </c>
      <c r="EA118" s="47">
        <f t="shared" si="3374"/>
        <v>45339.983333333337</v>
      </c>
      <c r="EB118" s="47">
        <f t="shared" ref="EB118:FG118" si="3375">EB113+EB106+EB99+EB85+EB92</f>
        <v>44376.659999999996</v>
      </c>
      <c r="EC118" s="47">
        <f t="shared" si="3375"/>
        <v>49872.88</v>
      </c>
      <c r="ED118" s="47">
        <f t="shared" si="3375"/>
        <v>57121.850000000006</v>
      </c>
      <c r="EE118" s="47">
        <f t="shared" si="3375"/>
        <v>54496.35</v>
      </c>
      <c r="EF118" s="47">
        <f t="shared" si="3375"/>
        <v>54087.840000000004</v>
      </c>
      <c r="EG118" s="47">
        <f t="shared" si="3375"/>
        <v>58540.25</v>
      </c>
      <c r="EH118" s="47">
        <f t="shared" si="3375"/>
        <v>54941.909999999996</v>
      </c>
      <c r="EI118" s="47">
        <f t="shared" si="3375"/>
        <v>56624.229999999996</v>
      </c>
      <c r="EJ118" s="47">
        <f t="shared" si="3375"/>
        <v>59538.979999999996</v>
      </c>
      <c r="EK118" s="47">
        <f t="shared" si="3375"/>
        <v>62868.08</v>
      </c>
      <c r="EL118" s="47">
        <f t="shared" si="3375"/>
        <v>64509.880000000005</v>
      </c>
      <c r="EM118" s="47">
        <f t="shared" si="3375"/>
        <v>64280.450000000004</v>
      </c>
      <c r="EN118" s="47">
        <f t="shared" si="3375"/>
        <v>63426.49</v>
      </c>
      <c r="EO118" s="47">
        <f t="shared" si="3375"/>
        <v>74134</v>
      </c>
      <c r="EP118" s="47">
        <f t="shared" si="3375"/>
        <v>64745.45</v>
      </c>
      <c r="EQ118" s="47">
        <f t="shared" si="3375"/>
        <v>91392.43</v>
      </c>
      <c r="ER118" s="47">
        <f t="shared" si="3375"/>
        <v>62203.520000000004</v>
      </c>
      <c r="ES118" s="47">
        <f t="shared" si="3375"/>
        <v>67510.22</v>
      </c>
      <c r="ET118" s="47">
        <f t="shared" si="3375"/>
        <v>67940.009999999995</v>
      </c>
      <c r="EU118" s="47">
        <f t="shared" si="3375"/>
        <v>69099.37</v>
      </c>
      <c r="EV118" s="47">
        <f t="shared" si="3375"/>
        <v>62412.3</v>
      </c>
      <c r="EW118" s="47">
        <f t="shared" si="3375"/>
        <v>78704.2</v>
      </c>
      <c r="EX118" s="47">
        <f t="shared" si="3375"/>
        <v>77703.600000000006</v>
      </c>
      <c r="EY118" s="47">
        <f t="shared" si="3375"/>
        <v>72734.909999999989</v>
      </c>
      <c r="EZ118" s="47">
        <f t="shared" si="3375"/>
        <v>71581.570000000007</v>
      </c>
      <c r="FA118" s="47">
        <f t="shared" si="3375"/>
        <v>76171.94</v>
      </c>
      <c r="FB118" s="47">
        <f t="shared" si="3375"/>
        <v>70129.25</v>
      </c>
      <c r="FC118" s="47">
        <f t="shared" si="3375"/>
        <v>72476.090000000011</v>
      </c>
      <c r="FD118" s="47">
        <f t="shared" si="3375"/>
        <v>66798.260000000009</v>
      </c>
      <c r="FE118" s="47">
        <f t="shared" si="3375"/>
        <v>68643.3</v>
      </c>
      <c r="FF118" s="47">
        <f t="shared" si="3375"/>
        <v>74721.600000000006</v>
      </c>
      <c r="FG118" s="47">
        <f t="shared" si="3375"/>
        <v>83566.47</v>
      </c>
      <c r="FH118" s="47">
        <f t="shared" ref="FH118:GN118" si="3376">FH113+FH106+FH99+FH85+FH92</f>
        <v>75921.989999999991</v>
      </c>
      <c r="FI118" s="47">
        <f t="shared" si="3376"/>
        <v>68989.710000000006</v>
      </c>
      <c r="FJ118" s="47">
        <f t="shared" si="3376"/>
        <v>63657.18</v>
      </c>
      <c r="FK118" s="47">
        <f t="shared" si="3376"/>
        <v>69952.37000000001</v>
      </c>
      <c r="FL118" s="47">
        <f t="shared" si="3376"/>
        <v>65530.8</v>
      </c>
      <c r="FM118" s="47">
        <f t="shared" si="3376"/>
        <v>67428.200000000012</v>
      </c>
      <c r="FN118" s="47">
        <f t="shared" si="3376"/>
        <v>67938.19</v>
      </c>
      <c r="FO118" s="47">
        <f t="shared" si="3376"/>
        <v>64543.540000000008</v>
      </c>
      <c r="FP118" s="47">
        <f t="shared" si="3376"/>
        <v>59347.260000000009</v>
      </c>
      <c r="FQ118" s="47">
        <f t="shared" si="3376"/>
        <v>64941.3</v>
      </c>
      <c r="FR118" s="47">
        <f t="shared" si="3376"/>
        <v>63700.42</v>
      </c>
      <c r="FS118" s="47">
        <f t="shared" si="3376"/>
        <v>66944.134999999995</v>
      </c>
      <c r="FT118" s="47">
        <f t="shared" si="3376"/>
        <v>64247.839999999997</v>
      </c>
      <c r="FU118" s="47">
        <f t="shared" si="3376"/>
        <v>75987.45</v>
      </c>
      <c r="FV118" s="47">
        <f t="shared" si="3376"/>
        <v>91904.33</v>
      </c>
      <c r="FW118" s="47">
        <f t="shared" si="3376"/>
        <v>90779.57</v>
      </c>
      <c r="FX118" s="47">
        <f t="shared" si="3376"/>
        <v>105482.95</v>
      </c>
      <c r="FY118" s="47">
        <f t="shared" si="3376"/>
        <v>106417.70999999999</v>
      </c>
      <c r="FZ118" s="47">
        <f t="shared" si="3376"/>
        <v>78036.17</v>
      </c>
      <c r="GA118" s="47">
        <f t="shared" si="3376"/>
        <v>51978.051999999996</v>
      </c>
      <c r="GB118" s="47">
        <f t="shared" si="3376"/>
        <v>63060.04</v>
      </c>
      <c r="GC118" s="47">
        <f t="shared" si="3376"/>
        <v>62237.41</v>
      </c>
      <c r="GD118" s="47">
        <f t="shared" si="3376"/>
        <v>67772.900000000009</v>
      </c>
      <c r="GE118" s="47">
        <f t="shared" si="3376"/>
        <v>58049.430000000008</v>
      </c>
      <c r="GF118" s="47">
        <f t="shared" si="3376"/>
        <v>63996.13</v>
      </c>
      <c r="GG118" s="47">
        <f t="shared" si="3376"/>
        <v>66587.37</v>
      </c>
      <c r="GH118" s="47">
        <f t="shared" si="3376"/>
        <v>66069.7</v>
      </c>
      <c r="GI118" s="47">
        <f t="shared" si="3376"/>
        <v>66069.38</v>
      </c>
      <c r="GJ118" s="47">
        <f t="shared" si="3376"/>
        <v>63037.000000000007</v>
      </c>
      <c r="GK118" s="47">
        <f t="shared" si="3376"/>
        <v>79011.73000000001</v>
      </c>
      <c r="GL118" s="47">
        <f t="shared" si="3376"/>
        <v>64365.950000000004</v>
      </c>
      <c r="GM118" s="47">
        <f t="shared" ref="GM118" si="3377">GM113+GM106+GM99+GM85+GM92</f>
        <v>95534.150000000009</v>
      </c>
      <c r="GN118" s="47">
        <f t="shared" si="3376"/>
        <v>76618.26999999999</v>
      </c>
      <c r="GO118" s="47">
        <f>GO113+GO106+GO99+GO85+GO92</f>
        <v>69772.22</v>
      </c>
      <c r="GP118" s="47">
        <f>GP113+GP106+GP99+GP85+GP92</f>
        <v>79271.649999999994</v>
      </c>
      <c r="GQ118" s="47">
        <f>GQ113+GQ106+GQ99+GQ85+GQ92</f>
        <v>87957.95</v>
      </c>
      <c r="GR118" s="114">
        <f>GR113+GR106+GR99+GR85+GR92</f>
        <v>75261.076000000001</v>
      </c>
      <c r="GS118" s="154">
        <f>EQ118</f>
        <v>91392.43</v>
      </c>
      <c r="GT118" s="53" t="s">
        <v>99</v>
      </c>
      <c r="GU118" s="53"/>
      <c r="GV118" s="53"/>
      <c r="GW118" s="56">
        <f>AVERAGE(ES118:GR118)</f>
        <v>72088.357942307703</v>
      </c>
      <c r="GX118" s="56">
        <f>AVERAGE(FS118:GR118)</f>
        <v>74478.86780769231</v>
      </c>
      <c r="GY118" s="56">
        <f>AVERAGE(GF118:GR118)</f>
        <v>73350.198153846155</v>
      </c>
      <c r="GZ118" s="56">
        <f>AVERAGE(GN118:GR118)</f>
        <v>77776.233199999988</v>
      </c>
      <c r="HA118" s="56">
        <f>MAX(D118:GR118)</f>
        <v>106417.70999999999</v>
      </c>
    </row>
    <row r="119" spans="1:209" s="1" customFormat="1" ht="15" customHeight="1" x14ac:dyDescent="0.3">
      <c r="A119" s="174"/>
      <c r="B119" s="35" t="s">
        <v>365</v>
      </c>
      <c r="C119" s="36"/>
      <c r="D119" s="43"/>
      <c r="E119" s="43">
        <f>SUM(E118-D118)</f>
        <v>1063.25</v>
      </c>
      <c r="F119" s="43">
        <f t="shared" ref="F119" si="3378">SUM(F118-E118)</f>
        <v>688.75</v>
      </c>
      <c r="G119" s="43">
        <f t="shared" ref="G119" si="3379">SUM(G118-F118)</f>
        <v>1710.8499999999985</v>
      </c>
      <c r="H119" s="43">
        <f t="shared" ref="H119" si="3380">SUM(H118-G118)</f>
        <v>1753.25</v>
      </c>
      <c r="I119" s="43">
        <f t="shared" ref="I119" si="3381">SUM(I118-H118)</f>
        <v>-3173.1999999999989</v>
      </c>
      <c r="J119" s="43">
        <f t="shared" ref="J119" si="3382">SUM(J118-I118)</f>
        <v>894.55000000000109</v>
      </c>
      <c r="K119" s="43">
        <f t="shared" ref="K119" si="3383">SUM(K118-J118)</f>
        <v>108.39999999999782</v>
      </c>
      <c r="L119" s="43">
        <f t="shared" ref="L119" si="3384">SUM(L118-K118)</f>
        <v>-419.49999999999818</v>
      </c>
      <c r="M119" s="43">
        <f t="shared" ref="M119" si="3385">SUM(M118-L118)</f>
        <v>2451.5500000000011</v>
      </c>
      <c r="N119" s="43">
        <f t="shared" ref="N119" si="3386">SUM(N118-M118)</f>
        <v>-2659.5500000000011</v>
      </c>
      <c r="O119" s="43">
        <f t="shared" ref="O119" si="3387">SUM(O118-N118)</f>
        <v>1368.5500000000011</v>
      </c>
      <c r="P119" s="43">
        <f t="shared" ref="P119" si="3388">SUM(P118-O118)</f>
        <v>2915.8499999999985</v>
      </c>
      <c r="Q119" s="43">
        <f t="shared" ref="Q119" si="3389">SUM(Q118-P118)</f>
        <v>-3474.1500000000015</v>
      </c>
      <c r="R119" s="43">
        <f t="shared" ref="R119" si="3390">SUM(R118-Q118)</f>
        <v>3137.5</v>
      </c>
      <c r="S119" s="43">
        <f t="shared" ref="S119" si="3391">SUM(S118-R118)</f>
        <v>-1382.25</v>
      </c>
      <c r="T119" s="43">
        <f t="shared" ref="T119" si="3392">SUM(T118-S118)</f>
        <v>3164.5</v>
      </c>
      <c r="U119" s="43">
        <f t="shared" ref="U119" si="3393">SUM(U118-T118)</f>
        <v>14366.299999999996</v>
      </c>
      <c r="V119" s="43">
        <f t="shared" ref="V119" si="3394">SUM(V118-U118)</f>
        <v>-2909.0999999999949</v>
      </c>
      <c r="W119" s="43">
        <f t="shared" ref="W119" si="3395">SUM(W118-V118)</f>
        <v>-6645.6000000000022</v>
      </c>
      <c r="X119" s="43">
        <f t="shared" ref="X119" si="3396">SUM(X118-W118)</f>
        <v>8522.4000000000015</v>
      </c>
      <c r="Y119" s="43">
        <f t="shared" ref="Y119" si="3397">SUM(Y118-X118)</f>
        <v>-4430.7999999999993</v>
      </c>
      <c r="Z119" s="43">
        <f t="shared" ref="Z119" si="3398">SUM(Z118-Y118)</f>
        <v>-12463.7</v>
      </c>
      <c r="AA119" s="43">
        <f t="shared" ref="AA119" si="3399">SUM(AA118-Z118)</f>
        <v>231</v>
      </c>
      <c r="AB119" s="43">
        <f t="shared" ref="AB119" si="3400">SUM(AB118-AA118)</f>
        <v>1280.8499999999985</v>
      </c>
      <c r="AC119" s="43">
        <f t="shared" ref="AC119" si="3401">SUM(AC118-AB118)</f>
        <v>-578.29999999999563</v>
      </c>
      <c r="AD119" s="43">
        <f t="shared" ref="AD119" si="3402">SUM(AD118-AC118)</f>
        <v>2755.7999999999956</v>
      </c>
      <c r="AE119" s="43">
        <f t="shared" ref="AE119" si="3403">SUM(AE118-AD118)</f>
        <v>1263.4000000000015</v>
      </c>
      <c r="AF119" s="43">
        <f t="shared" ref="AF119" si="3404">SUM(AF118-AE118)</f>
        <v>465.95000000000073</v>
      </c>
      <c r="AG119" s="43">
        <f t="shared" ref="AG119" si="3405">SUM(AG118-AF118)</f>
        <v>128.10000000000218</v>
      </c>
      <c r="AH119" s="43">
        <f t="shared" ref="AH119" si="3406">SUM(AH118-AG118)</f>
        <v>-1408.9500000000007</v>
      </c>
      <c r="AI119" s="43">
        <f t="shared" ref="AI119" si="3407">SUM(AI118-AH118)</f>
        <v>4628.0499999999993</v>
      </c>
      <c r="AJ119" s="43">
        <f t="shared" ref="AJ119" si="3408">SUM(AJ118-AI118)</f>
        <v>-3453.7000000000007</v>
      </c>
      <c r="AK119" s="43">
        <f t="shared" ref="AK119" si="3409">SUM(AK118-AJ118)</f>
        <v>312.79999999999927</v>
      </c>
      <c r="AL119" s="43">
        <f t="shared" ref="AL119" si="3410">SUM(AL118-AK118)</f>
        <v>1579.8000000000029</v>
      </c>
      <c r="AM119" s="43">
        <f t="shared" ref="AM119" si="3411">SUM(AM118-AL118)</f>
        <v>4631.1999999999971</v>
      </c>
      <c r="AN119" s="43">
        <f t="shared" ref="AN119" si="3412">SUM(AN118-AM118)</f>
        <v>-7733.75</v>
      </c>
      <c r="AO119" s="43">
        <f t="shared" ref="AO119" si="3413">SUM(AO118-AN118)</f>
        <v>-167.89999999999782</v>
      </c>
      <c r="AP119" s="43">
        <f t="shared" ref="AP119" si="3414">SUM(AP118-AO118)</f>
        <v>5049.0499999999993</v>
      </c>
      <c r="AQ119" s="43">
        <f t="shared" ref="AQ119" si="3415">SUM(AQ118-AP118)</f>
        <v>-2263.3000000000029</v>
      </c>
      <c r="AR119" s="43">
        <f t="shared" ref="AR119" si="3416">SUM(AR118-AQ118)</f>
        <v>-10455.549999999996</v>
      </c>
      <c r="AS119" s="43">
        <f t="shared" ref="AS119" si="3417">SUM(AS118-AR118)</f>
        <v>3753.5</v>
      </c>
      <c r="AT119" s="43">
        <f t="shared" ref="AT119" si="3418">SUM(AT118-AS118)</f>
        <v>115.84999999999854</v>
      </c>
      <c r="AU119" s="43">
        <f t="shared" ref="AU119" si="3419">SUM(AU118-AT118)</f>
        <v>-265.85000000000036</v>
      </c>
      <c r="AV119" s="43">
        <f t="shared" ref="AV119" si="3420">SUM(AV118-AU118)</f>
        <v>-2217.5500000000011</v>
      </c>
      <c r="AW119" s="43">
        <f t="shared" ref="AW119" si="3421">SUM(AW118-AV118)</f>
        <v>5043.9500000000007</v>
      </c>
      <c r="AX119" s="43">
        <f t="shared" ref="AX119" si="3422">SUM(AX118-AW118)</f>
        <v>-3480.75</v>
      </c>
      <c r="AY119" s="43">
        <f t="shared" ref="AY119" si="3423">SUM(AY118-AX118)</f>
        <v>1251.5</v>
      </c>
      <c r="AZ119" s="43">
        <f t="shared" ref="AZ119" si="3424">SUM(AZ118-AY118)</f>
        <v>-2647.3499999999985</v>
      </c>
      <c r="BA119" s="43">
        <f t="shared" ref="BA119" si="3425">SUM(BA118-AZ118)</f>
        <v>2846</v>
      </c>
      <c r="BB119" s="43">
        <f>SUM(BB118-BA118)</f>
        <v>-703.95000000000073</v>
      </c>
      <c r="BC119" s="43">
        <f t="shared" ref="BC119" si="3426">SUM(BC118-BB118)</f>
        <v>538.29999999999927</v>
      </c>
      <c r="BD119" s="43">
        <f t="shared" ref="BD119" si="3427">SUM(BD118-BC118)</f>
        <v>888.45000000000073</v>
      </c>
      <c r="BE119" s="43">
        <f t="shared" ref="BE119" si="3428">SUM(BE118-BD118)</f>
        <v>-2170.6499999999996</v>
      </c>
      <c r="BF119" s="43">
        <f t="shared" ref="BF119" si="3429">SUM(BF118-BE118)</f>
        <v>2613.1000000000004</v>
      </c>
      <c r="BG119" s="43">
        <f t="shared" ref="BG119" si="3430">SUM(BG118-BF118)</f>
        <v>330.35000000000218</v>
      </c>
      <c r="BH119" s="43">
        <f t="shared" ref="BH119" si="3431">SUM(BH118-BG118)</f>
        <v>-2085.7500000000036</v>
      </c>
      <c r="BI119" s="43">
        <f t="shared" ref="BI119" si="3432">SUM(BI118-BH118)</f>
        <v>-6999.15</v>
      </c>
      <c r="BJ119" s="43">
        <f t="shared" ref="BJ119" si="3433">SUM(BJ118-BI118)</f>
        <v>3819.2999999999993</v>
      </c>
      <c r="BK119" s="43">
        <f t="shared" ref="BK119" si="3434">SUM(BK118-BJ118)</f>
        <v>5845.2500000000018</v>
      </c>
      <c r="BL119" s="43">
        <f t="shared" ref="BL119" si="3435">SUM(BL118-BK118)</f>
        <v>1429.25</v>
      </c>
      <c r="BM119" s="43">
        <f t="shared" ref="BM119" si="3436">SUM(BM118-BL118)</f>
        <v>-1299.7999999999993</v>
      </c>
      <c r="BN119" s="43">
        <f t="shared" ref="BN119" si="3437">SUM(BN118-BM118)</f>
        <v>-869.60000000000218</v>
      </c>
      <c r="BO119" s="43">
        <f t="shared" ref="BO119" si="3438">SUM(BO118-BN118)</f>
        <v>-439.04999999999927</v>
      </c>
      <c r="BP119" s="43">
        <f t="shared" ref="BP119" si="3439">SUM(BP118-BO118)</f>
        <v>1090.5999999999985</v>
      </c>
      <c r="BQ119" s="43">
        <f t="shared" ref="BQ119" si="3440">SUM(BQ118-BP118)</f>
        <v>2464.3499999999985</v>
      </c>
      <c r="BR119" s="43">
        <f t="shared" ref="BR119" si="3441">SUM(BR118-BQ118)</f>
        <v>-1815.25</v>
      </c>
      <c r="BS119" s="43">
        <f t="shared" ref="BS119" si="3442">SUM(BS118-BR118)</f>
        <v>5879.9500000000044</v>
      </c>
      <c r="BT119" s="43">
        <f t="shared" ref="BT119" si="3443">SUM(BT118-BS118)</f>
        <v>6951.4499999999971</v>
      </c>
      <c r="BU119" s="43">
        <f t="shared" ref="BU119" si="3444">SUM(BU118-BT118)</f>
        <v>10349.25</v>
      </c>
      <c r="BV119" s="43">
        <f t="shared" ref="BV119" si="3445">SUM(BV118-BU118)</f>
        <v>-2965.0999999999985</v>
      </c>
      <c r="BW119" s="43">
        <f t="shared" ref="BW119" si="3446">SUM(BW118-BV118)</f>
        <v>-1583.8000000000029</v>
      </c>
      <c r="BX119" s="43">
        <f t="shared" ref="BX119" si="3447">SUM(BX118-BW118)</f>
        <v>22575</v>
      </c>
      <c r="BY119" s="43">
        <f t="shared" ref="BY119" si="3448">SUM(BY118-BX118)</f>
        <v>-21071.299999999996</v>
      </c>
      <c r="BZ119" s="43">
        <f t="shared" ref="BZ119" si="3449">SUM(BZ118-BY118)</f>
        <v>-17174.350000000002</v>
      </c>
      <c r="CA119" s="43">
        <f t="shared" ref="CA119:CO119" si="3450">SUM(CA118-BZ118)</f>
        <v>-1468.9500000000007</v>
      </c>
      <c r="CB119" s="43">
        <f t="shared" si="3450"/>
        <v>-1351</v>
      </c>
      <c r="CC119" s="43">
        <f t="shared" si="3450"/>
        <v>1905.2999999999993</v>
      </c>
      <c r="CD119" s="43">
        <f t="shared" si="3450"/>
        <v>909.64000000000306</v>
      </c>
      <c r="CE119" s="43">
        <f t="shared" si="3450"/>
        <v>1142.7099999999991</v>
      </c>
      <c r="CF119" s="43">
        <f t="shared" si="3450"/>
        <v>2002.4599999999991</v>
      </c>
      <c r="CG119" s="43">
        <f t="shared" si="3450"/>
        <v>-3092.66</v>
      </c>
      <c r="CH119" s="43">
        <f t="shared" si="3450"/>
        <v>832.79999999999927</v>
      </c>
      <c r="CI119" s="43">
        <f t="shared" si="3450"/>
        <v>3091.4000000000015</v>
      </c>
      <c r="CJ119" s="43">
        <f t="shared" si="3450"/>
        <v>737.45000000000073</v>
      </c>
      <c r="CK119" s="43">
        <f t="shared" si="3450"/>
        <v>-345.25000000000364</v>
      </c>
      <c r="CL119" s="43">
        <f t="shared" si="3450"/>
        <v>20668.789999999994</v>
      </c>
      <c r="CM119" s="43">
        <f t="shared" si="3450"/>
        <v>-2426.9399999999878</v>
      </c>
      <c r="CN119" s="43">
        <f t="shared" si="3450"/>
        <v>-5080.2200000000012</v>
      </c>
      <c r="CO119" s="43">
        <f t="shared" si="3450"/>
        <v>-3135.4100000000035</v>
      </c>
      <c r="CP119" s="43">
        <f t="shared" ref="CP119:DH119" si="3451">SUM(CP118-CO118)</f>
        <v>1789.1100000000006</v>
      </c>
      <c r="CQ119" s="43">
        <f t="shared" si="3451"/>
        <v>5474.1500000000015</v>
      </c>
      <c r="CR119" s="43">
        <f t="shared" si="3451"/>
        <v>-4507.7200000000012</v>
      </c>
      <c r="CS119" s="43">
        <f t="shared" si="3451"/>
        <v>1892.7200000000012</v>
      </c>
      <c r="CT119" s="43">
        <f t="shared" si="3451"/>
        <v>-1123.4400000000023</v>
      </c>
      <c r="CU119" s="43">
        <f t="shared" si="3451"/>
        <v>3415.1200000000026</v>
      </c>
      <c r="CV119" s="43">
        <f t="shared" si="3451"/>
        <v>-905.76000000000204</v>
      </c>
      <c r="CW119" s="43">
        <f t="shared" si="3451"/>
        <v>15441.509999999995</v>
      </c>
      <c r="CX119" s="43">
        <f t="shared" si="3451"/>
        <v>2894.6700000000055</v>
      </c>
      <c r="CY119" s="43">
        <f t="shared" si="3451"/>
        <v>2755.6199999999953</v>
      </c>
      <c r="CZ119" s="43">
        <f t="shared" si="3451"/>
        <v>-11487.409999999996</v>
      </c>
      <c r="DA119" s="43">
        <f t="shared" si="3451"/>
        <v>12537.780000000006</v>
      </c>
      <c r="DB119" s="43">
        <f t="shared" si="3451"/>
        <v>-16488.89</v>
      </c>
      <c r="DC119" s="43">
        <f t="shared" si="3451"/>
        <v>11128.82</v>
      </c>
      <c r="DD119" s="43">
        <f t="shared" si="3451"/>
        <v>1646.260000000002</v>
      </c>
      <c r="DE119" s="43">
        <f t="shared" si="3451"/>
        <v>-3355.724000000002</v>
      </c>
      <c r="DF119" s="43">
        <f t="shared" si="3451"/>
        <v>9119.2939999999944</v>
      </c>
      <c r="DG119" s="43">
        <f t="shared" si="3451"/>
        <v>-3541.5299999999988</v>
      </c>
      <c r="DH119" s="43">
        <f t="shared" si="3451"/>
        <v>3708.6900000000023</v>
      </c>
      <c r="DI119" s="28">
        <f t="shared" ref="DI119" si="3452">SUM(DI118-DH118)/DH118</f>
        <v>-0.26616552802387705</v>
      </c>
      <c r="DJ119" s="28">
        <f t="shared" ref="DJ119" si="3453">SUM(DJ118-DI118)/DI118</f>
        <v>7.6461264494709691E-2</v>
      </c>
      <c r="DK119" s="28">
        <f t="shared" ref="DK119" si="3454">SUM(DK118-DJ118)/DJ118</f>
        <v>5.5479682461217324E-2</v>
      </c>
      <c r="DL119" s="28">
        <f t="shared" ref="DL119" si="3455">SUM(DL118-DK118)/DK118</f>
        <v>-9.6621623790742683E-2</v>
      </c>
      <c r="DM119" s="28">
        <f t="shared" ref="DM119" si="3456">SUM(DM118-DL118)/DL118</f>
        <v>4.243207722655027E-2</v>
      </c>
      <c r="DN119" s="28">
        <f t="shared" ref="DN119" si="3457">SUM(DN118-DM118)/DM118</f>
        <v>-5.2477515696589261E-2</v>
      </c>
      <c r="DO119" s="28">
        <f t="shared" ref="DO119" si="3458">SUM(DO118-DN118)/DN118</f>
        <v>-5.6848436150820192E-2</v>
      </c>
      <c r="DP119" s="28">
        <f t="shared" ref="DP119" si="3459">SUM(DP118-DO118)/DO118</f>
        <v>0.20333804869003141</v>
      </c>
      <c r="DQ119" s="28">
        <f t="shared" ref="DQ119" si="3460">SUM(DQ118-DP118)/DP118</f>
        <v>-7.8350314656255637E-2</v>
      </c>
      <c r="DR119" s="28">
        <f t="shared" ref="DR119" si="3461">SUM(DR118-DQ118)/DQ118</f>
        <v>-1.3858580376899743E-2</v>
      </c>
      <c r="DS119" s="28">
        <f t="shared" ref="DS119" si="3462">SUM(DS118-DR118)/DR118</f>
        <v>-3.4846081777745105E-2</v>
      </c>
      <c r="DT119" s="28">
        <f t="shared" ref="DT119" si="3463">SUM(DT118-DS118)/DS118</f>
        <v>0.12979556094507008</v>
      </c>
      <c r="DU119" s="28">
        <f t="shared" ref="DU119" si="3464">SUM(DU118-DT118)/DT118</f>
        <v>0.26598003118988167</v>
      </c>
      <c r="DV119" s="28">
        <f t="shared" ref="DV119" si="3465">SUM(DV118-DU118)/DU118</f>
        <v>2.9262543752158914E-3</v>
      </c>
      <c r="DW119" s="28">
        <f t="shared" ref="DW119" si="3466">SUM(DW118-DV118)/DV118</f>
        <v>0.14839742300808889</v>
      </c>
      <c r="DX119" s="28">
        <f t="shared" ref="DX119" si="3467">SUM(DX118-DW118)/DW118</f>
        <v>8.6053469722698478E-2</v>
      </c>
      <c r="DY119" s="28">
        <f t="shared" ref="DY119" si="3468">SUM(DY118-DX118)/DX118</f>
        <v>-3.2339663893364574E-2</v>
      </c>
      <c r="DZ119" s="28">
        <f t="shared" ref="DZ119" si="3469">SUM(DZ118-DY118)/DY118</f>
        <v>-0.38056997536558879</v>
      </c>
      <c r="EA119" s="28">
        <f t="shared" ref="EA119" si="3470">SUM(EA118-DZ118)/DZ118</f>
        <v>-0.15116699759537786</v>
      </c>
      <c r="EB119" s="28">
        <f t="shared" ref="EB119" si="3471">SUM(EB118-EA118)/EA118</f>
        <v>-2.1246662713815308E-2</v>
      </c>
      <c r="EC119" s="28">
        <f t="shared" ref="EC119" si="3472">SUM(EC118-EB118)/EB118</f>
        <v>0.12385384569275834</v>
      </c>
      <c r="ED119" s="28">
        <f t="shared" ref="ED119" si="3473">SUM(ED118-EC118)/EC118</f>
        <v>0.14534893513268152</v>
      </c>
      <c r="EE119" s="28">
        <f t="shared" ref="EE119" si="3474">SUM(EE118-ED118)/ED118</f>
        <v>-4.5963147201990254E-2</v>
      </c>
      <c r="EF119" s="28">
        <f t="shared" ref="EF119" si="3475">SUM(EF118-EE118)/EE118</f>
        <v>-7.4960983625507903E-3</v>
      </c>
      <c r="EG119" s="28">
        <f t="shared" ref="EG119" si="3476">SUM(EG118-EF118)/EF118</f>
        <v>8.231813287422822E-2</v>
      </c>
      <c r="EH119" s="28">
        <f t="shared" ref="EH119" si="3477">SUM(EH118-EG118)/EG118</f>
        <v>-6.1467793526676154E-2</v>
      </c>
      <c r="EI119" s="28">
        <f t="shared" ref="EI119" si="3478">SUM(EI118-EH118)/EH118</f>
        <v>3.061997662622213E-2</v>
      </c>
      <c r="EJ119" s="28">
        <f t="shared" ref="EJ119" si="3479">SUM(EJ118-EI118)/EI118</f>
        <v>5.1475313659894363E-2</v>
      </c>
      <c r="EK119" s="28">
        <f t="shared" ref="EK119" si="3480">SUM(EK118-EJ118)/EJ118</f>
        <v>5.5914629373899349E-2</v>
      </c>
      <c r="EL119" s="28">
        <f t="shared" ref="EL119" si="3481">SUM(EL118-EK118)/EK118</f>
        <v>2.6115001444294194E-2</v>
      </c>
      <c r="EM119" s="28">
        <f t="shared" ref="EM119" si="3482">SUM(EM118-EL118)/EL118</f>
        <v>-3.5565094835085767E-3</v>
      </c>
      <c r="EN119" s="28">
        <f t="shared" ref="EN119" si="3483">SUM(EN118-EM118)/EM118</f>
        <v>-1.3284910108750115E-2</v>
      </c>
      <c r="EO119" s="28">
        <f t="shared" ref="EO119" si="3484">SUM(EO118-EN118)/EN118</f>
        <v>0.1688176343984982</v>
      </c>
      <c r="EP119" s="28">
        <f t="shared" ref="EP119" si="3485">SUM(EP118-EO118)/EO118</f>
        <v>-0.12664297083659323</v>
      </c>
      <c r="EQ119" s="28">
        <f t="shared" ref="EQ119" si="3486">SUM(EQ118-EP118)/EP118</f>
        <v>0.41156529146063542</v>
      </c>
      <c r="ER119" s="28">
        <f t="shared" ref="ER119" si="3487">SUM(ER118-EQ118)/EQ118</f>
        <v>-0.31937995302236727</v>
      </c>
      <c r="ES119" s="28">
        <f t="shared" ref="ES119" si="3488">SUM(ES118-ER118)/ER118</f>
        <v>8.5311892317347898E-2</v>
      </c>
      <c r="ET119" s="28">
        <f t="shared" ref="ET119" si="3489">SUM(ET118-ES118)/ES118</f>
        <v>6.3662953549846763E-3</v>
      </c>
      <c r="EU119" s="28">
        <f t="shared" ref="EU119" si="3490">SUM(EU118-ET118)/ET118</f>
        <v>1.7064466137111264E-2</v>
      </c>
      <c r="EV119" s="28">
        <f t="shared" ref="EV119" si="3491">SUM(EV118-EU118)/EU118</f>
        <v>-9.6774688394409281E-2</v>
      </c>
      <c r="EW119" s="28">
        <f t="shared" ref="EW119" si="3492">SUM(EW118-EV118)/EV118</f>
        <v>0.26103668667874752</v>
      </c>
      <c r="EX119" s="28">
        <f t="shared" ref="EX119" si="3493">SUM(EX118-EW118)/EW118</f>
        <v>-1.2713425712985981E-2</v>
      </c>
      <c r="EY119" s="28">
        <f t="shared" ref="EY119" si="3494">SUM(EY118-EX118)/EX118</f>
        <v>-6.3944141584173914E-2</v>
      </c>
      <c r="EZ119" s="28">
        <f t="shared" ref="EZ119" si="3495">SUM(EZ118-EY118)/EY118</f>
        <v>-1.5856759842006844E-2</v>
      </c>
      <c r="FA119" s="28">
        <f t="shared" ref="FA119" si="3496">SUM(FA118-EZ118)/EZ118</f>
        <v>6.4127819493201885E-2</v>
      </c>
      <c r="FB119" s="28">
        <f t="shared" ref="FB119" si="3497">SUM(FB118-FA118)/FA118</f>
        <v>-7.9329606151556625E-2</v>
      </c>
      <c r="FC119" s="28">
        <f t="shared" ref="FC119" si="3498">SUM(FC118-FB118)/FB118</f>
        <v>3.3464495912903833E-2</v>
      </c>
      <c r="FD119" s="28">
        <f t="shared" ref="FD119" si="3499">SUM(FD118-FC118)/FC118</f>
        <v>-7.834073278511576E-2</v>
      </c>
      <c r="FE119" s="28">
        <f t="shared" ref="FE119" si="3500">SUM(FE118-FD118)/FD118</f>
        <v>2.7621078752650043E-2</v>
      </c>
      <c r="FF119" s="28">
        <f t="shared" ref="FF119" si="3501">SUM(FF118-FE118)/FE118</f>
        <v>8.8549064511758646E-2</v>
      </c>
      <c r="FG119" s="28">
        <f t="shared" ref="FG119" si="3502">SUM(FG118-FF118)/FF118</f>
        <v>0.11837099312648544</v>
      </c>
      <c r="FH119" s="28">
        <f t="shared" ref="FH119" si="3503">SUM(FH118-FG118)/FG118</f>
        <v>-9.1477837941461568E-2</v>
      </c>
      <c r="FI119" s="28">
        <f t="shared" ref="FI119" si="3504">SUM(FI118-FH118)/FH118</f>
        <v>-9.1307933314181897E-2</v>
      </c>
      <c r="FJ119" s="28">
        <f t="shared" ref="FJ119" si="3505">SUM(FJ118-FI118)/FI118</f>
        <v>-7.7294570451158673E-2</v>
      </c>
      <c r="FK119" s="28">
        <f t="shared" ref="FK119" si="3506">SUM(FK118-FJ118)/FJ118</f>
        <v>9.8892065278418081E-2</v>
      </c>
      <c r="FL119" s="28">
        <f t="shared" ref="FL119" si="3507">SUM(FL118-FK118)/FK118</f>
        <v>-6.3208294443776625E-2</v>
      </c>
      <c r="FM119" s="28">
        <f t="shared" ref="FM119:GK119" si="3508">SUM(FM118-FL118)/FL118</f>
        <v>2.8954323768365542E-2</v>
      </c>
      <c r="FN119" s="28">
        <f t="shared" si="3508"/>
        <v>7.5634526800358098E-3</v>
      </c>
      <c r="FO119" s="28">
        <f t="shared" si="3508"/>
        <v>-4.9966741828123384E-2</v>
      </c>
      <c r="FP119" s="28">
        <f t="shared" si="3508"/>
        <v>-8.0508134508891174E-2</v>
      </c>
      <c r="FQ119" s="28">
        <f t="shared" si="3508"/>
        <v>9.4259448540673876E-2</v>
      </c>
      <c r="FR119" s="28">
        <f t="shared" si="3508"/>
        <v>-1.9107717276987134E-2</v>
      </c>
      <c r="FS119" s="28">
        <f t="shared" si="3508"/>
        <v>5.0921406797631734E-2</v>
      </c>
      <c r="FT119" s="28">
        <f t="shared" si="3508"/>
        <v>-4.0276791984839279E-2</v>
      </c>
      <c r="FU119" s="28">
        <f t="shared" si="3508"/>
        <v>0.18272380830234916</v>
      </c>
      <c r="FV119" s="28">
        <f t="shared" si="3508"/>
        <v>0.20946722123192718</v>
      </c>
      <c r="FW119" s="28">
        <f t="shared" si="3508"/>
        <v>-1.223837875756229E-2</v>
      </c>
      <c r="FX119" s="28">
        <f t="shared" si="3508"/>
        <v>0.16196794058398811</v>
      </c>
      <c r="FY119" s="28">
        <f t="shared" si="3508"/>
        <v>8.8617165143750221E-3</v>
      </c>
      <c r="FZ119" s="28">
        <f t="shared" si="3508"/>
        <v>-0.26669940557826322</v>
      </c>
      <c r="GA119" s="28">
        <f t="shared" si="3508"/>
        <v>-0.33392358953546802</v>
      </c>
      <c r="GB119" s="28">
        <f t="shared" si="3508"/>
        <v>0.21320514281681827</v>
      </c>
      <c r="GC119" s="28">
        <f t="shared" si="3508"/>
        <v>-1.3045186777553541E-2</v>
      </c>
      <c r="GD119" s="28">
        <f t="shared" si="3508"/>
        <v>8.8941522470167136E-2</v>
      </c>
      <c r="GE119" s="28">
        <f t="shared" si="3508"/>
        <v>-0.14347135802068378</v>
      </c>
      <c r="GF119" s="28">
        <f t="shared" si="3508"/>
        <v>0.10244200502916202</v>
      </c>
      <c r="GG119" s="28">
        <f t="shared" si="3508"/>
        <v>4.0490573414361117E-2</v>
      </c>
      <c r="GH119" s="28">
        <f t="shared" si="3508"/>
        <v>-7.774297137730448E-3</v>
      </c>
      <c r="GI119" s="28">
        <f t="shared" si="3508"/>
        <v>-4.8433699561589203E-6</v>
      </c>
      <c r="GJ119" s="28">
        <f t="shared" si="3508"/>
        <v>-4.5896904133200543E-2</v>
      </c>
      <c r="GK119" s="28">
        <f t="shared" si="3508"/>
        <v>0.25341830988149822</v>
      </c>
      <c r="GL119" s="28">
        <f t="shared" ref="GL119" si="3509">(GL118-GK118)/GK118</f>
        <v>-0.18536209750121918</v>
      </c>
      <c r="GM119" s="28">
        <f t="shared" ref="GM119" si="3510">(GM118-GL118)/GL118</f>
        <v>0.48423428847084526</v>
      </c>
      <c r="GN119" s="28">
        <f t="shared" ref="GN119" si="3511">(GN118-GM118)/GM118</f>
        <v>-0.19800123830064975</v>
      </c>
      <c r="GO119" s="28">
        <f t="shared" ref="GO119:GR119" si="3512">(GO118-GN118)/GN118</f>
        <v>-8.9352709216744111E-2</v>
      </c>
      <c r="GP119" s="28">
        <f t="shared" si="3512"/>
        <v>0.13614917226368881</v>
      </c>
      <c r="GQ119" s="28">
        <f t="shared" si="3512"/>
        <v>0.10957637440371183</v>
      </c>
      <c r="GR119" s="165">
        <f t="shared" si="3512"/>
        <v>-0.14435163620798344</v>
      </c>
      <c r="GS119" s="161"/>
      <c r="GW119" s="60"/>
      <c r="GX119" s="60"/>
      <c r="GY119" s="60"/>
      <c r="GZ119" s="60"/>
      <c r="HA119" s="60"/>
    </row>
    <row r="120" spans="1:209" s="1" customFormat="1" ht="15" customHeight="1" x14ac:dyDescent="0.3">
      <c r="A120" s="174"/>
      <c r="B120" s="22" t="s">
        <v>91</v>
      </c>
      <c r="C120" s="23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25">
        <f t="shared" ref="BD120" si="3513">D118</f>
        <v>11616.25</v>
      </c>
      <c r="BE120" s="25">
        <f t="shared" ref="BE120" si="3514">E118</f>
        <v>12679.5</v>
      </c>
      <c r="BF120" s="25">
        <f t="shared" ref="BF120" si="3515">F118</f>
        <v>13368.25</v>
      </c>
      <c r="BG120" s="25">
        <f t="shared" ref="BG120" si="3516">G118</f>
        <v>15079.099999999999</v>
      </c>
      <c r="BH120" s="25">
        <f t="shared" ref="BH120" si="3517">H118</f>
        <v>16832.349999999999</v>
      </c>
      <c r="BI120" s="25">
        <f t="shared" ref="BI120" si="3518">I118</f>
        <v>13659.15</v>
      </c>
      <c r="BJ120" s="25">
        <f t="shared" ref="BJ120" si="3519">J118</f>
        <v>14553.7</v>
      </c>
      <c r="BK120" s="25">
        <f t="shared" ref="BK120" si="3520">K118</f>
        <v>14662.099999999999</v>
      </c>
      <c r="BL120" s="25">
        <f t="shared" ref="BL120" si="3521">L118</f>
        <v>14242.6</v>
      </c>
      <c r="BM120" s="25">
        <f t="shared" ref="BM120" si="3522">M118</f>
        <v>16694.150000000001</v>
      </c>
      <c r="BN120" s="25">
        <f t="shared" ref="BN120" si="3523">N118</f>
        <v>14034.6</v>
      </c>
      <c r="BO120" s="25">
        <f t="shared" ref="BO120" si="3524">O118</f>
        <v>15403.150000000001</v>
      </c>
      <c r="BP120" s="25">
        <f t="shared" ref="BP120" si="3525">P118</f>
        <v>18319</v>
      </c>
      <c r="BQ120" s="25">
        <f t="shared" ref="BQ120" si="3526">Q118</f>
        <v>14844.849999999999</v>
      </c>
      <c r="BR120" s="25">
        <f t="shared" ref="BR120" si="3527">R118</f>
        <v>17982.349999999999</v>
      </c>
      <c r="BS120" s="25">
        <f t="shared" ref="BS120" si="3528">S118</f>
        <v>16600.099999999999</v>
      </c>
      <c r="BT120" s="25">
        <f t="shared" ref="BT120" si="3529">T118</f>
        <v>19764.599999999999</v>
      </c>
      <c r="BU120" s="25">
        <f t="shared" ref="BU120" si="3530">U118</f>
        <v>34130.899999999994</v>
      </c>
      <c r="BV120" s="25">
        <f t="shared" ref="BV120" si="3531">V118</f>
        <v>31221.8</v>
      </c>
      <c r="BW120" s="25">
        <f t="shared" ref="BW120" si="3532">W118</f>
        <v>24576.199999999997</v>
      </c>
      <c r="BX120" s="25">
        <f t="shared" ref="BX120" si="3533">X118</f>
        <v>33098.6</v>
      </c>
      <c r="BY120" s="25">
        <f t="shared" ref="BY120" si="3534">Y118</f>
        <v>28667.8</v>
      </c>
      <c r="BZ120" s="25">
        <f t="shared" ref="BZ120" si="3535">Z118</f>
        <v>16204.099999999999</v>
      </c>
      <c r="CA120" s="25">
        <f t="shared" ref="CA120" si="3536">AA118</f>
        <v>16435.099999999999</v>
      </c>
      <c r="CB120" s="25">
        <f t="shared" ref="CB120" si="3537">AB118</f>
        <v>17715.949999999997</v>
      </c>
      <c r="CC120" s="25">
        <f t="shared" ref="CC120" si="3538">AC118</f>
        <v>17137.650000000001</v>
      </c>
      <c r="CD120" s="25">
        <f t="shared" ref="CD120" si="3539">AD118</f>
        <v>19893.449999999997</v>
      </c>
      <c r="CE120" s="25">
        <f t="shared" ref="CE120" si="3540">AE118</f>
        <v>21156.85</v>
      </c>
      <c r="CF120" s="25">
        <f t="shared" ref="CF120" si="3541">AF118</f>
        <v>21622.799999999999</v>
      </c>
      <c r="CG120" s="25">
        <f t="shared" ref="CG120" si="3542">AG118</f>
        <v>21750.9</v>
      </c>
      <c r="CH120" s="25">
        <f t="shared" ref="CH120" si="3543">AH118</f>
        <v>20341.95</v>
      </c>
      <c r="CI120" s="25">
        <f t="shared" ref="CI120" si="3544">AI118</f>
        <v>24970</v>
      </c>
      <c r="CJ120" s="25">
        <f t="shared" ref="CJ120" si="3545">AJ118</f>
        <v>21516.3</v>
      </c>
      <c r="CK120" s="25">
        <f t="shared" ref="CK120" si="3546">AK118</f>
        <v>21829.1</v>
      </c>
      <c r="CL120" s="25">
        <f t="shared" ref="CL120" si="3547">AL118</f>
        <v>23408.9</v>
      </c>
      <c r="CM120" s="25">
        <f t="shared" ref="CM120" si="3548">AM118</f>
        <v>28040.1</v>
      </c>
      <c r="CN120" s="25">
        <f t="shared" ref="CN120" si="3549">AN118</f>
        <v>20306.349999999999</v>
      </c>
      <c r="CO120" s="25">
        <f t="shared" ref="CO120" si="3550">AO118</f>
        <v>20138.45</v>
      </c>
      <c r="CP120" s="25">
        <f t="shared" ref="CP120" si="3551">AP118</f>
        <v>25187.5</v>
      </c>
      <c r="CQ120" s="25">
        <f t="shared" ref="CQ120" si="3552">AQ118</f>
        <v>22924.199999999997</v>
      </c>
      <c r="CR120" s="25">
        <f t="shared" ref="CR120" si="3553">AR118</f>
        <v>12468.650000000001</v>
      </c>
      <c r="CS120" s="25">
        <f t="shared" ref="CS120" si="3554">AS118</f>
        <v>16222.150000000001</v>
      </c>
      <c r="CT120" s="25">
        <f t="shared" ref="CT120" si="3555">AT118</f>
        <v>16338</v>
      </c>
      <c r="CU120" s="25">
        <f t="shared" ref="CU120" si="3556">AU118</f>
        <v>16072.15</v>
      </c>
      <c r="CV120" s="25">
        <f t="shared" ref="CV120" si="3557">AV118</f>
        <v>13854.599999999999</v>
      </c>
      <c r="CW120" s="25">
        <f t="shared" ref="CW120" si="3558">AW118</f>
        <v>18898.55</v>
      </c>
      <c r="CX120" s="25">
        <f t="shared" ref="CX120" si="3559">AX118</f>
        <v>15417.8</v>
      </c>
      <c r="CY120" s="25">
        <f t="shared" ref="CY120" si="3560">AY118</f>
        <v>16669.3</v>
      </c>
      <c r="CZ120" s="25">
        <f t="shared" ref="CZ120" si="3561">AZ118</f>
        <v>14021.95</v>
      </c>
      <c r="DA120" s="25">
        <f t="shared" ref="DA120" si="3562">BA118</f>
        <v>16867.95</v>
      </c>
      <c r="DB120" s="25">
        <f t="shared" ref="DB120" si="3563">BB118</f>
        <v>16164</v>
      </c>
      <c r="DC120" s="25">
        <f t="shared" ref="DC120" si="3564">BC118</f>
        <v>16702.3</v>
      </c>
      <c r="DD120" s="25">
        <f t="shared" ref="DD120" si="3565">BD118</f>
        <v>17590.75</v>
      </c>
      <c r="DE120" s="25">
        <f t="shared" ref="DE120" si="3566">BE118</f>
        <v>15420.1</v>
      </c>
      <c r="DF120" s="25">
        <f t="shared" ref="DF120" si="3567">BF118</f>
        <v>18033.2</v>
      </c>
      <c r="DG120" s="25">
        <f t="shared" ref="DG120" si="3568">BG118</f>
        <v>18363.550000000003</v>
      </c>
      <c r="DH120" s="25">
        <f t="shared" ref="DH120" si="3569">BH118</f>
        <v>16277.8</v>
      </c>
      <c r="DI120" s="25">
        <f t="shared" ref="DI120" si="3570">BI118</f>
        <v>9278.65</v>
      </c>
      <c r="DJ120" s="25">
        <f t="shared" ref="DJ120" si="3571">BJ118</f>
        <v>13097.949999999999</v>
      </c>
      <c r="DK120" s="25">
        <f t="shared" ref="DK120" si="3572">BK118</f>
        <v>18943.2</v>
      </c>
      <c r="DL120" s="25">
        <f t="shared" ref="DL120" si="3573">BL118</f>
        <v>20372.45</v>
      </c>
      <c r="DM120" s="25">
        <f t="shared" ref="DM120" si="3574">BM118</f>
        <v>19072.650000000001</v>
      </c>
      <c r="DN120" s="25">
        <f t="shared" ref="DN120" si="3575">BN118</f>
        <v>18203.05</v>
      </c>
      <c r="DO120" s="25">
        <f t="shared" ref="DO120" si="3576">BO118</f>
        <v>17764</v>
      </c>
      <c r="DP120" s="25">
        <f t="shared" ref="DP120" si="3577">BP118</f>
        <v>18854.599999999999</v>
      </c>
      <c r="DQ120" s="25">
        <f t="shared" ref="DQ120" si="3578">BQ118</f>
        <v>21318.949999999997</v>
      </c>
      <c r="DR120" s="25">
        <f t="shared" ref="DR120" si="3579">BR118</f>
        <v>19503.699999999997</v>
      </c>
      <c r="DS120" s="25">
        <f t="shared" ref="DS120" si="3580">BS118</f>
        <v>25383.65</v>
      </c>
      <c r="DT120" s="25">
        <f t="shared" ref="DT120" si="3581">BT118</f>
        <v>32335.1</v>
      </c>
      <c r="DU120" s="25">
        <f t="shared" ref="DU120" si="3582">BU118</f>
        <v>42684.35</v>
      </c>
      <c r="DV120" s="25">
        <f t="shared" ref="DV120" si="3583">BV118</f>
        <v>39719.25</v>
      </c>
      <c r="DW120" s="25">
        <f t="shared" ref="DW120:GL120" si="3584">BW118</f>
        <v>38135.449999999997</v>
      </c>
      <c r="DX120" s="25">
        <f t="shared" si="3584"/>
        <v>60710.45</v>
      </c>
      <c r="DY120" s="25">
        <f t="shared" si="3584"/>
        <v>39639.15</v>
      </c>
      <c r="DZ120" s="25">
        <f t="shared" si="3584"/>
        <v>22464.799999999999</v>
      </c>
      <c r="EA120" s="25">
        <f t="shared" si="3584"/>
        <v>20995.85</v>
      </c>
      <c r="EB120" s="25">
        <f t="shared" si="3584"/>
        <v>19644.849999999999</v>
      </c>
      <c r="EC120" s="25">
        <f t="shared" si="3584"/>
        <v>21550.149999999998</v>
      </c>
      <c r="ED120" s="25">
        <f t="shared" si="3584"/>
        <v>22459.79</v>
      </c>
      <c r="EE120" s="25">
        <f t="shared" si="3584"/>
        <v>23602.5</v>
      </c>
      <c r="EF120" s="25">
        <f t="shared" si="3584"/>
        <v>25604.959999999999</v>
      </c>
      <c r="EG120" s="25">
        <f t="shared" si="3584"/>
        <v>22512.3</v>
      </c>
      <c r="EH120" s="25">
        <f t="shared" si="3584"/>
        <v>23345.1</v>
      </c>
      <c r="EI120" s="25">
        <f t="shared" si="3584"/>
        <v>26436.5</v>
      </c>
      <c r="EJ120" s="25">
        <f t="shared" si="3584"/>
        <v>27173.95</v>
      </c>
      <c r="EK120" s="25">
        <f t="shared" si="3584"/>
        <v>26828.699999999997</v>
      </c>
      <c r="EL120" s="25">
        <f t="shared" si="3584"/>
        <v>47497.489999999991</v>
      </c>
      <c r="EM120" s="25">
        <f t="shared" si="3584"/>
        <v>45070.55</v>
      </c>
      <c r="EN120" s="25">
        <f t="shared" si="3584"/>
        <v>39990.33</v>
      </c>
      <c r="EO120" s="25">
        <f t="shared" si="3584"/>
        <v>36854.92</v>
      </c>
      <c r="EP120" s="25">
        <f t="shared" si="3584"/>
        <v>38644.03</v>
      </c>
      <c r="EQ120" s="25">
        <f t="shared" si="3584"/>
        <v>44118.18</v>
      </c>
      <c r="ER120" s="25">
        <f t="shared" si="3584"/>
        <v>39610.46</v>
      </c>
      <c r="ES120" s="25">
        <f t="shared" si="3584"/>
        <v>41503.18</v>
      </c>
      <c r="ET120" s="25">
        <f t="shared" si="3584"/>
        <v>40379.74</v>
      </c>
      <c r="EU120" s="25">
        <f t="shared" si="3584"/>
        <v>43794.86</v>
      </c>
      <c r="EV120" s="25">
        <f t="shared" si="3584"/>
        <v>42889.1</v>
      </c>
      <c r="EW120" s="25">
        <f t="shared" si="3584"/>
        <v>58330.609999999993</v>
      </c>
      <c r="EX120" s="25">
        <f t="shared" si="3584"/>
        <v>61225.279999999999</v>
      </c>
      <c r="EY120" s="25">
        <f t="shared" si="3584"/>
        <v>63980.899999999994</v>
      </c>
      <c r="EZ120" s="25">
        <f t="shared" si="3584"/>
        <v>52493.49</v>
      </c>
      <c r="FA120" s="25">
        <f t="shared" si="3584"/>
        <v>65031.270000000004</v>
      </c>
      <c r="FB120" s="25">
        <f t="shared" si="3584"/>
        <v>48542.380000000005</v>
      </c>
      <c r="FC120" s="25">
        <f t="shared" si="3584"/>
        <v>59671.200000000004</v>
      </c>
      <c r="FD120" s="25">
        <f t="shared" si="3584"/>
        <v>61317.460000000006</v>
      </c>
      <c r="FE120" s="25">
        <f t="shared" si="3584"/>
        <v>57961.736000000004</v>
      </c>
      <c r="FF120" s="25">
        <f t="shared" si="3584"/>
        <v>67081.03</v>
      </c>
      <c r="FG120" s="25">
        <f t="shared" si="3584"/>
        <v>63539.5</v>
      </c>
      <c r="FH120" s="25">
        <f t="shared" si="3584"/>
        <v>67248.19</v>
      </c>
      <c r="FI120" s="25">
        <f t="shared" si="3584"/>
        <v>49349.039999999994</v>
      </c>
      <c r="FJ120" s="25">
        <f t="shared" si="3584"/>
        <v>53122.33</v>
      </c>
      <c r="FK120" s="25">
        <f t="shared" si="3584"/>
        <v>56069.54</v>
      </c>
      <c r="FL120" s="25">
        <f t="shared" si="3584"/>
        <v>50652.01</v>
      </c>
      <c r="FM120" s="25">
        <f t="shared" si="3584"/>
        <v>52801.279999999999</v>
      </c>
      <c r="FN120" s="25">
        <f t="shared" si="3584"/>
        <v>50030.399999999994</v>
      </c>
      <c r="FO120" s="25">
        <f t="shared" si="3584"/>
        <v>47186.25</v>
      </c>
      <c r="FP120" s="25">
        <f t="shared" si="3584"/>
        <v>56781.009999999995</v>
      </c>
      <c r="FQ120" s="25">
        <f t="shared" si="3584"/>
        <v>52332.2</v>
      </c>
      <c r="FR120" s="25">
        <f t="shared" si="3584"/>
        <v>51606.950000000004</v>
      </c>
      <c r="FS120" s="25">
        <f t="shared" si="3584"/>
        <v>49808.65</v>
      </c>
      <c r="FT120" s="25">
        <f t="shared" si="3584"/>
        <v>56273.591666666667</v>
      </c>
      <c r="FU120" s="25">
        <f t="shared" si="3584"/>
        <v>71241.243333333332</v>
      </c>
      <c r="FV120" s="25">
        <f t="shared" si="3584"/>
        <v>71449.713333333319</v>
      </c>
      <c r="FW120" s="25">
        <f t="shared" si="3584"/>
        <v>82052.666666666672</v>
      </c>
      <c r="FX120" s="25">
        <f t="shared" si="3584"/>
        <v>89113.583333333343</v>
      </c>
      <c r="FY120" s="25">
        <f t="shared" si="3584"/>
        <v>86231.680000000008</v>
      </c>
      <c r="FZ120" s="25">
        <f t="shared" si="3584"/>
        <v>53414.491666666669</v>
      </c>
      <c r="GA120" s="25">
        <f t="shared" si="3584"/>
        <v>45339.983333333337</v>
      </c>
      <c r="GB120" s="25">
        <f t="shared" si="3584"/>
        <v>44376.659999999996</v>
      </c>
      <c r="GC120" s="25">
        <f t="shared" si="3584"/>
        <v>49872.88</v>
      </c>
      <c r="GD120" s="25">
        <f t="shared" si="3584"/>
        <v>57121.850000000006</v>
      </c>
      <c r="GE120" s="25">
        <f t="shared" si="3584"/>
        <v>54496.35</v>
      </c>
      <c r="GF120" s="25">
        <f t="shared" si="3584"/>
        <v>54087.840000000004</v>
      </c>
      <c r="GG120" s="25">
        <f t="shared" si="3584"/>
        <v>58540.25</v>
      </c>
      <c r="GH120" s="25">
        <f t="shared" si="3584"/>
        <v>54941.909999999996</v>
      </c>
      <c r="GI120" s="25">
        <f t="shared" si="3584"/>
        <v>56624.229999999996</v>
      </c>
      <c r="GJ120" s="25">
        <f t="shared" si="3584"/>
        <v>59538.979999999996</v>
      </c>
      <c r="GK120" s="25">
        <f t="shared" si="3584"/>
        <v>62868.08</v>
      </c>
      <c r="GL120" s="25">
        <f t="shared" si="3584"/>
        <v>64509.880000000005</v>
      </c>
      <c r="GM120" s="25">
        <f t="shared" ref="GM120:GR120" si="3585">EL118</f>
        <v>64509.880000000005</v>
      </c>
      <c r="GN120" s="25">
        <f t="shared" si="3585"/>
        <v>64280.450000000004</v>
      </c>
      <c r="GO120" s="25">
        <f t="shared" si="3585"/>
        <v>63426.49</v>
      </c>
      <c r="GP120" s="25">
        <f t="shared" si="3585"/>
        <v>74134</v>
      </c>
      <c r="GQ120" s="25">
        <f t="shared" si="3585"/>
        <v>64745.45</v>
      </c>
      <c r="GR120" s="110">
        <f t="shared" si="3585"/>
        <v>91392.43</v>
      </c>
      <c r="GS120" s="159"/>
      <c r="GW120" s="60"/>
      <c r="GX120" s="60"/>
      <c r="GY120" s="60"/>
      <c r="GZ120" s="60"/>
      <c r="HA120" s="60"/>
    </row>
    <row r="121" spans="1:209" s="1" customFormat="1" ht="15" customHeight="1" x14ac:dyDescent="0.3">
      <c r="A121" s="174"/>
      <c r="B121" s="26" t="s">
        <v>366</v>
      </c>
      <c r="C121" s="27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28">
        <f t="shared" ref="BD121:BX121" si="3586">(BD118-BD120)/BD120</f>
        <v>0.51432260841493593</v>
      </c>
      <c r="BE121" s="28">
        <f t="shared" si="3586"/>
        <v>0.21614416972278089</v>
      </c>
      <c r="BF121" s="28">
        <f t="shared" si="3586"/>
        <v>0.34895741776223521</v>
      </c>
      <c r="BG121" s="28">
        <f t="shared" si="3586"/>
        <v>0.21781472369040625</v>
      </c>
      <c r="BH121" s="28">
        <f t="shared" si="3586"/>
        <v>-3.2945488894895798E-2</v>
      </c>
      <c r="BI121" s="28">
        <f t="shared" si="3586"/>
        <v>-0.32070077567052124</v>
      </c>
      <c r="BJ121" s="28">
        <f t="shared" si="3586"/>
        <v>-0.10002611019878119</v>
      </c>
      <c r="BK121" s="28">
        <f t="shared" si="3586"/>
        <v>0.29198409504777639</v>
      </c>
      <c r="BL121" s="28">
        <f t="shared" si="3586"/>
        <v>0.43038841222810442</v>
      </c>
      <c r="BM121" s="28">
        <f t="shared" si="3586"/>
        <v>0.14247505862832188</v>
      </c>
      <c r="BN121" s="28">
        <f t="shared" si="3586"/>
        <v>0.29701238368033278</v>
      </c>
      <c r="BO121" s="28">
        <f t="shared" si="3586"/>
        <v>0.15327059724796541</v>
      </c>
      <c r="BP121" s="28">
        <f t="shared" si="3586"/>
        <v>2.923740378841632E-2</v>
      </c>
      <c r="BQ121" s="28">
        <f t="shared" si="3586"/>
        <v>0.43611757612909524</v>
      </c>
      <c r="BR121" s="28">
        <f t="shared" si="3586"/>
        <v>8.4602401799542259E-2</v>
      </c>
      <c r="BS121" s="28">
        <f t="shared" si="3586"/>
        <v>0.52912633056427394</v>
      </c>
      <c r="BT121" s="28">
        <f t="shared" si="3586"/>
        <v>0.63601084767716021</v>
      </c>
      <c r="BU121" s="28">
        <f t="shared" si="3586"/>
        <v>0.25060722102259259</v>
      </c>
      <c r="BV121" s="28">
        <f t="shared" si="3586"/>
        <v>0.2721640007943168</v>
      </c>
      <c r="BW121" s="28">
        <f t="shared" si="3586"/>
        <v>0.55172280499019388</v>
      </c>
      <c r="BX121" s="28">
        <f t="shared" si="3586"/>
        <v>0.83423014870719603</v>
      </c>
      <c r="BY121" s="28">
        <f t="shared" ref="BY121:CN121" si="3587">(BY118-BY120)/BY120</f>
        <v>0.38270638137562013</v>
      </c>
      <c r="BZ121" s="28">
        <f t="shared" si="3587"/>
        <v>0.38636517918304636</v>
      </c>
      <c r="CA121" s="28">
        <f t="shared" si="3587"/>
        <v>0.27750059324251147</v>
      </c>
      <c r="CB121" s="28">
        <f t="shared" si="3587"/>
        <v>0.10887928674443097</v>
      </c>
      <c r="CC121" s="28">
        <f t="shared" si="3587"/>
        <v>0.25747404107330912</v>
      </c>
      <c r="CD121" s="28">
        <f t="shared" si="3587"/>
        <v>0.12900427024975578</v>
      </c>
      <c r="CE121" s="28">
        <f t="shared" si="3587"/>
        <v>0.11559613080397137</v>
      </c>
      <c r="CF121" s="28">
        <f t="shared" si="3587"/>
        <v>0.18416486301496568</v>
      </c>
      <c r="CG121" s="28">
        <f t="shared" si="3587"/>
        <v>3.5005448050425395E-2</v>
      </c>
      <c r="CH121" s="28">
        <f t="shared" si="3587"/>
        <v>0.14763333898667522</v>
      </c>
      <c r="CI121" s="28">
        <f t="shared" si="3587"/>
        <v>5.8730476571886264E-2</v>
      </c>
      <c r="CJ121" s="28">
        <f t="shared" si="3587"/>
        <v>0.26294716098957543</v>
      </c>
      <c r="CK121" s="28">
        <f t="shared" si="3587"/>
        <v>0.22903372104209513</v>
      </c>
      <c r="CL121" s="28">
        <f t="shared" si="3587"/>
        <v>1.0290355377655502</v>
      </c>
      <c r="CM121" s="28">
        <f t="shared" si="3587"/>
        <v>0.60736053009796698</v>
      </c>
      <c r="CN121" s="28">
        <f t="shared" si="3587"/>
        <v>0.96935096656957087</v>
      </c>
      <c r="CO121" s="28">
        <f t="shared" ref="CO121:CZ121" si="3588">(CO118-CO120)/CO120</f>
        <v>0.83007728996024999</v>
      </c>
      <c r="CP121" s="28">
        <f t="shared" si="3588"/>
        <v>0.53425429280397019</v>
      </c>
      <c r="CQ121" s="28">
        <f t="shared" si="3588"/>
        <v>0.92452430182950796</v>
      </c>
      <c r="CR121" s="28">
        <f t="shared" si="3588"/>
        <v>2.1768042249962902</v>
      </c>
      <c r="CS121" s="28">
        <f t="shared" si="3588"/>
        <v>1.5584265957348438</v>
      </c>
      <c r="CT121" s="28">
        <f t="shared" si="3588"/>
        <v>1.4715228302117762</v>
      </c>
      <c r="CU121" s="28">
        <f t="shared" si="3588"/>
        <v>1.7248911937730795</v>
      </c>
      <c r="CV121" s="28">
        <f t="shared" si="3588"/>
        <v>2.0956577598775858</v>
      </c>
      <c r="CW121" s="28">
        <f t="shared" si="3588"/>
        <v>2.0865124573049254</v>
      </c>
      <c r="CX121" s="28">
        <f t="shared" si="3588"/>
        <v>2.9710775856477576</v>
      </c>
      <c r="CY121" s="28">
        <f t="shared" si="3588"/>
        <v>2.8382475568860115</v>
      </c>
      <c r="CZ121" s="28">
        <f t="shared" si="3588"/>
        <v>2.743665467356537</v>
      </c>
      <c r="DA121" s="28">
        <f t="shared" ref="DA121:DB121" si="3589">(DA118-DA120)/DA120</f>
        <v>2.8553155540536936</v>
      </c>
      <c r="DB121" s="28">
        <f t="shared" si="3589"/>
        <v>2.0031168027715913</v>
      </c>
      <c r="DC121" s="28">
        <f t="shared" ref="DC121:DD121" si="3590">(DC118-DC120)/DC120</f>
        <v>2.5726337091298808</v>
      </c>
      <c r="DD121" s="28">
        <f t="shared" si="3590"/>
        <v>2.4857786052328641</v>
      </c>
      <c r="DE121" s="28">
        <f t="shared" ref="DE121:DF121" si="3591">(DE118-DE120)/DE120</f>
        <v>2.7588430684625913</v>
      </c>
      <c r="DF121" s="28">
        <f t="shared" si="3591"/>
        <v>2.7198628085974756</v>
      </c>
      <c r="DG121" s="28">
        <f t="shared" ref="DG121:DH121" si="3592">(DG118-DG120)/DG120</f>
        <v>2.4600880548695643</v>
      </c>
      <c r="DH121" s="28">
        <f t="shared" si="3592"/>
        <v>3.1312824828908083</v>
      </c>
      <c r="DI121" s="28">
        <f t="shared" ref="DI121:DJ121" si="3593">(DI118-DI120)/DI120</f>
        <v>4.3185581954271361</v>
      </c>
      <c r="DJ121" s="28">
        <f t="shared" si="3593"/>
        <v>3.0557743769063106</v>
      </c>
      <c r="DK121" s="28">
        <f t="shared" ref="DK121:DL121" si="3594">(DK118-DK120)/DK120</f>
        <v>1.9598768951391525</v>
      </c>
      <c r="DL121" s="28">
        <f t="shared" si="3594"/>
        <v>1.4862993896168601</v>
      </c>
      <c r="DM121" s="28">
        <f t="shared" ref="DM121:DN121" si="3595">(DM118-DM120)/DM120</f>
        <v>1.7684291380589481</v>
      </c>
      <c r="DN121" s="28">
        <f t="shared" si="3595"/>
        <v>1.7484624829355517</v>
      </c>
      <c r="DO121" s="28">
        <f t="shared" ref="DO121:DP121" si="3596">(DO118-DO120)/DO120</f>
        <v>1.6562851835172259</v>
      </c>
      <c r="DP121" s="28">
        <f t="shared" si="3596"/>
        <v>2.0115202656115749</v>
      </c>
      <c r="DQ121" s="28">
        <f t="shared" ref="DQ121:DR121" si="3597">(DQ118-DQ120)/DQ120</f>
        <v>1.4547268979006942</v>
      </c>
      <c r="DR121" s="28">
        <f t="shared" si="3597"/>
        <v>1.6460081933171662</v>
      </c>
      <c r="DS121" s="28">
        <f t="shared" ref="DS121:DT121" si="3598">(DS118-DS120)/DS120</f>
        <v>0.96223356373098423</v>
      </c>
      <c r="DT121" s="28">
        <f t="shared" si="3598"/>
        <v>0.74032527088726086</v>
      </c>
      <c r="DU121" s="28">
        <f t="shared" ref="DU121:DV121" si="3599">(DU118-DU120)/DU120</f>
        <v>0.66902490803616155</v>
      </c>
      <c r="DV121" s="28">
        <f t="shared" si="3599"/>
        <v>0.79886864261871304</v>
      </c>
      <c r="DW121" s="28">
        <f t="shared" ref="DW121:DX121" si="3600">(DW118-DW120)/DW120</f>
        <v>1.1516113397551799</v>
      </c>
      <c r="DX121" s="28">
        <f t="shared" si="3600"/>
        <v>0.46784587057637272</v>
      </c>
      <c r="DY121" s="28">
        <f t="shared" ref="DY121:DZ121" si="3601">(DY118-DY120)/DY120</f>
        <v>1.1754169804347472</v>
      </c>
      <c r="DZ121" s="28">
        <f t="shared" si="3601"/>
        <v>1.3776971825552273</v>
      </c>
      <c r="EA121" s="28">
        <f t="shared" ref="EA121:EB121" si="3602">(EA118-EA120)/EA120</f>
        <v>1.1594735785087691</v>
      </c>
      <c r="EB121" s="28">
        <f t="shared" si="3602"/>
        <v>1.258946237818054</v>
      </c>
      <c r="EC121" s="28">
        <f t="shared" ref="EC121:ED121" si="3603">(EC118-EC120)/EC120</f>
        <v>1.3142706663294688</v>
      </c>
      <c r="ED121" s="28">
        <f t="shared" si="3603"/>
        <v>1.5432940379228837</v>
      </c>
      <c r="EE121" s="28">
        <f t="shared" ref="EE121:EF121" si="3604">(EE118-EE120)/EE120</f>
        <v>1.3089227836034318</v>
      </c>
      <c r="EF121" s="28">
        <f t="shared" si="3604"/>
        <v>1.1123969730864647</v>
      </c>
      <c r="EG121" s="28">
        <f t="shared" ref="EG121:EH121" si="3605">(EG118-EG120)/EG120</f>
        <v>1.6003673547349671</v>
      </c>
      <c r="EH121" s="28">
        <f t="shared" si="3605"/>
        <v>1.3534664661963325</v>
      </c>
      <c r="EI121" s="28">
        <f t="shared" ref="EI121:EJ121" si="3606">(EI118-EI120)/EI120</f>
        <v>1.1418958636733303</v>
      </c>
      <c r="EJ121" s="28">
        <f t="shared" si="3606"/>
        <v>1.1910314841971812</v>
      </c>
      <c r="EK121" s="28">
        <f t="shared" ref="EK121:EL121" si="3607">(EK118-EK120)/EK120</f>
        <v>1.3433144356603193</v>
      </c>
      <c r="EL121" s="28">
        <f t="shared" si="3607"/>
        <v>0.35817450564229852</v>
      </c>
      <c r="EM121" s="28">
        <f t="shared" ref="EM121:EN121" si="3608">(EM118-EM120)/EM120</f>
        <v>0.42621845085094368</v>
      </c>
      <c r="EN121" s="28">
        <f t="shared" si="3608"/>
        <v>0.58604567654230399</v>
      </c>
      <c r="EO121" s="28">
        <f t="shared" ref="EO121:EP121" si="3609">(EO118-EO120)/EO120</f>
        <v>1.0115089111575877</v>
      </c>
      <c r="EP121" s="28">
        <f t="shared" si="3609"/>
        <v>0.67543214307617505</v>
      </c>
      <c r="EQ121" s="28">
        <f t="shared" ref="EQ121:ER121" si="3610">(EQ118-EQ120)/EQ120</f>
        <v>1.0715367225030588</v>
      </c>
      <c r="ER121" s="28">
        <f t="shared" si="3610"/>
        <v>0.57038115689643609</v>
      </c>
      <c r="ES121" s="28">
        <f t="shared" ref="ES121:ET121" si="3611">(ES118-ES120)/ES120</f>
        <v>0.62662764636348345</v>
      </c>
      <c r="ET121" s="28">
        <f t="shared" si="3611"/>
        <v>0.68252717823344078</v>
      </c>
      <c r="EU121" s="28">
        <f t="shared" ref="EU121:EV121" si="3612">(EU118-EU120)/EU120</f>
        <v>0.57779634413718861</v>
      </c>
      <c r="EV121" s="28">
        <f t="shared" si="3612"/>
        <v>0.45520190444658443</v>
      </c>
      <c r="EW121" s="28">
        <f t="shared" ref="EW121:EX121" si="3613">(EW118-EW120)/EW120</f>
        <v>0.34927784914301441</v>
      </c>
      <c r="EX121" s="28">
        <f t="shared" si="3613"/>
        <v>0.26914241960183777</v>
      </c>
      <c r="EY121" s="28">
        <f t="shared" ref="EY121:EZ121" si="3614">(EY118-EY120)/EY120</f>
        <v>0.13682223913699237</v>
      </c>
      <c r="EZ121" s="28">
        <f t="shared" si="3614"/>
        <v>0.36362756600866147</v>
      </c>
      <c r="FA121" s="28">
        <f t="shared" ref="FA121:FB121" si="3615">(FA118-FA120)/FA120</f>
        <v>0.17131250858240962</v>
      </c>
      <c r="FB121" s="28">
        <f t="shared" si="3615"/>
        <v>0.44470151648930262</v>
      </c>
      <c r="FC121" s="28">
        <f t="shared" ref="FC121:FD121" si="3616">(FC118-FC120)/FC120</f>
        <v>0.21459079086728616</v>
      </c>
      <c r="FD121" s="28">
        <f t="shared" si="3616"/>
        <v>8.9384002533699256E-2</v>
      </c>
      <c r="FE121" s="28">
        <f t="shared" ref="FE121:FF121" si="3617">(FE118-FE120)/FE120</f>
        <v>0.18428647478743559</v>
      </c>
      <c r="FF121" s="28">
        <f t="shared" si="3617"/>
        <v>0.11390060647548207</v>
      </c>
      <c r="FG121" s="28">
        <f t="shared" ref="FG121:FH121" si="3618">(FG118-FG120)/FG120</f>
        <v>0.3151892917004383</v>
      </c>
      <c r="FH121" s="28">
        <f t="shared" si="3618"/>
        <v>0.12898191014509072</v>
      </c>
      <c r="FI121" s="28">
        <f t="shared" ref="FI121:FJ121" si="3619">(FI118-FI120)/FI120</f>
        <v>0.3979949761940661</v>
      </c>
      <c r="FJ121" s="28">
        <f t="shared" si="3619"/>
        <v>0.19831302580289678</v>
      </c>
      <c r="FK121" s="28">
        <f t="shared" ref="FK121:FL121" si="3620">(FK118-FK120)/FK120</f>
        <v>0.247600212165108</v>
      </c>
      <c r="FL121" s="28">
        <f t="shared" si="3620"/>
        <v>0.29374530250625791</v>
      </c>
      <c r="FM121" s="28">
        <f t="shared" ref="FM121:FN121" si="3621">(FM118-FM120)/FM120</f>
        <v>0.2770182844052268</v>
      </c>
      <c r="FN121" s="28">
        <f t="shared" si="3621"/>
        <v>0.35793817359045721</v>
      </c>
      <c r="FO121" s="28">
        <f t="shared" ref="FO121:FP121" si="3622">(FO118-FO120)/FO120</f>
        <v>0.36784635354578948</v>
      </c>
      <c r="FP121" s="28">
        <f t="shared" si="3622"/>
        <v>4.5195568025296042E-2</v>
      </c>
      <c r="FQ121" s="28">
        <f t="shared" ref="FQ121:FR121" si="3623">(FQ118-FQ120)/FQ120</f>
        <v>0.24094343444380337</v>
      </c>
      <c r="FR121" s="28">
        <f t="shared" si="3623"/>
        <v>0.23433801067491863</v>
      </c>
      <c r="FS121" s="28">
        <f t="shared" ref="FS121:FT121" si="3624">(FS118-FS120)/FS120</f>
        <v>0.34402628860649692</v>
      </c>
      <c r="FT121" s="28">
        <f t="shared" si="3624"/>
        <v>0.14170498269540574</v>
      </c>
      <c r="FU121" s="28">
        <f t="shared" ref="FU121:FV121" si="3625">(FU118-FU120)/FU120</f>
        <v>6.6621614735995843E-2</v>
      </c>
      <c r="FV121" s="28">
        <f t="shared" si="3625"/>
        <v>0.28627989830050199</v>
      </c>
      <c r="FW121" s="28">
        <f t="shared" ref="FW121:FX121" si="3626">(FW118-FW120)/FW120</f>
        <v>0.10635733959489435</v>
      </c>
      <c r="FX121" s="28">
        <f t="shared" si="3626"/>
        <v>0.18369103849674978</v>
      </c>
      <c r="FY121" s="28">
        <f t="shared" ref="FY121:FZ121" si="3627">(FY118-FY120)/FY120</f>
        <v>0.23409064974728525</v>
      </c>
      <c r="FZ121" s="28">
        <f t="shared" si="3627"/>
        <v>0.46095502484578538</v>
      </c>
      <c r="GA121" s="28">
        <f t="shared" ref="GA121:GB121" si="3628">(GA118-GA120)/GA120</f>
        <v>0.14640650875110581</v>
      </c>
      <c r="GB121" s="28">
        <f t="shared" si="3628"/>
        <v>0.42101816585565488</v>
      </c>
      <c r="GC121" s="28">
        <f t="shared" ref="GC121:GD121" si="3629">(GC118-GC120)/GC120</f>
        <v>0.24792091413208955</v>
      </c>
      <c r="GD121" s="28">
        <f t="shared" si="3629"/>
        <v>0.1864619230644666</v>
      </c>
      <c r="GE121" s="28">
        <f t="shared" ref="GE121:GF121" si="3630">(GE118-GE120)/GE120</f>
        <v>6.5198494945074473E-2</v>
      </c>
      <c r="GF121" s="28">
        <f t="shared" si="3630"/>
        <v>0.18318886463205025</v>
      </c>
      <c r="GG121" s="28">
        <f t="shared" ref="GG121:GH121" si="3631">(GG118-GG120)/GG120</f>
        <v>0.13746302757504444</v>
      </c>
      <c r="GH121" s="28">
        <f t="shared" si="3631"/>
        <v>0.20253737083403184</v>
      </c>
      <c r="GI121" s="28">
        <f t="shared" ref="GI121:GJ121" si="3632">(GI118-GI120)/GI120</f>
        <v>0.16680403424470425</v>
      </c>
      <c r="GJ121" s="28">
        <f t="shared" si="3632"/>
        <v>5.87517622908557E-2</v>
      </c>
      <c r="GK121" s="28">
        <f t="shared" ref="GK121:GL121" si="3633">(GK118-GK120)/GK120</f>
        <v>0.25678611467059292</v>
      </c>
      <c r="GL121" s="28">
        <f t="shared" si="3633"/>
        <v>-2.231131107359063E-3</v>
      </c>
      <c r="GM121" s="28">
        <f t="shared" ref="GM121:GN121" si="3634">(GM118-GM120)/GM120</f>
        <v>0.48092276717922899</v>
      </c>
      <c r="GN121" s="28">
        <f t="shared" si="3634"/>
        <v>0.19193736198175315</v>
      </c>
      <c r="GO121" s="28">
        <f t="shared" ref="GO121:GP121" si="3635">(GO118-GO120)/GO120</f>
        <v>0.10004857591835846</v>
      </c>
      <c r="GP121" s="28">
        <f t="shared" si="3635"/>
        <v>6.9302209512504306E-2</v>
      </c>
      <c r="GQ121" s="28">
        <f t="shared" ref="GQ121:GR121" si="3636">(GQ118-GQ120)/GQ120</f>
        <v>0.35851940174946656</v>
      </c>
      <c r="GR121" s="109">
        <f t="shared" si="3636"/>
        <v>-0.17650645682580049</v>
      </c>
      <c r="GS121" s="159"/>
      <c r="GW121" s="60"/>
      <c r="GX121" s="60"/>
      <c r="GY121" s="60"/>
      <c r="GZ121" s="60"/>
      <c r="HA121" s="60"/>
    </row>
    <row r="122" spans="1:209" s="2" customFormat="1" ht="7.5" customHeight="1" x14ac:dyDescent="0.3">
      <c r="A122" s="8"/>
      <c r="B122" s="29"/>
      <c r="C122" s="30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  <c r="EW122" s="32"/>
      <c r="EX122" s="32"/>
      <c r="EY122" s="32"/>
      <c r="EZ122" s="32"/>
      <c r="FA122" s="32"/>
      <c r="FB122" s="32"/>
      <c r="FC122" s="32"/>
      <c r="FD122" s="32"/>
      <c r="FE122" s="32"/>
      <c r="FF122" s="32"/>
      <c r="FG122" s="32"/>
      <c r="FH122" s="32"/>
      <c r="FI122" s="32"/>
      <c r="FJ122" s="32"/>
      <c r="FK122" s="32"/>
      <c r="FL122" s="32"/>
      <c r="FM122" s="32"/>
      <c r="FN122" s="32"/>
      <c r="FO122" s="32"/>
      <c r="FP122" s="32"/>
      <c r="FQ122" s="32"/>
      <c r="FR122" s="32"/>
      <c r="FS122" s="32"/>
      <c r="FT122" s="32"/>
      <c r="FU122" s="32"/>
      <c r="FV122" s="32"/>
      <c r="FW122" s="32"/>
      <c r="FX122" s="32"/>
      <c r="FY122" s="32"/>
      <c r="FZ122" s="32"/>
      <c r="GA122" s="32"/>
      <c r="GB122" s="32"/>
      <c r="GC122" s="32"/>
      <c r="GD122" s="32"/>
      <c r="GE122" s="32"/>
      <c r="GF122" s="32"/>
      <c r="GG122" s="32"/>
      <c r="GH122" s="32"/>
      <c r="GI122" s="32"/>
      <c r="GJ122" s="32"/>
      <c r="GK122" s="32"/>
      <c r="GL122" s="32"/>
      <c r="GM122" s="32"/>
      <c r="GN122" s="32"/>
      <c r="GO122" s="32"/>
      <c r="GP122" s="32"/>
      <c r="GQ122" s="32"/>
      <c r="GR122" s="111"/>
      <c r="GS122" s="156"/>
      <c r="GT122" s="9"/>
      <c r="GU122" s="9"/>
      <c r="GV122" s="9"/>
    </row>
    <row r="123" spans="1:209" s="2" customFormat="1" ht="15" customHeight="1" x14ac:dyDescent="0.3">
      <c r="A123" s="172" t="s">
        <v>95</v>
      </c>
      <c r="B123" s="38"/>
      <c r="C123" s="17" t="s">
        <v>23</v>
      </c>
      <c r="D123" s="17">
        <f t="shared" ref="D123:AI123" si="3637">D75+D97+D104+D111+D82</f>
        <v>50599.729999999996</v>
      </c>
      <c r="E123" s="17">
        <f t="shared" si="3637"/>
        <v>50660.15</v>
      </c>
      <c r="F123" s="17">
        <f t="shared" si="3637"/>
        <v>48421.9</v>
      </c>
      <c r="G123" s="17">
        <f t="shared" si="3637"/>
        <v>54932.32</v>
      </c>
      <c r="H123" s="17">
        <f t="shared" si="3637"/>
        <v>52139.02</v>
      </c>
      <c r="I123" s="17">
        <f t="shared" si="3637"/>
        <v>40317.939999999995</v>
      </c>
      <c r="J123" s="17">
        <f t="shared" si="3637"/>
        <v>49882.12</v>
      </c>
      <c r="K123" s="17">
        <f t="shared" si="3637"/>
        <v>46383.5</v>
      </c>
      <c r="L123" s="17">
        <f t="shared" si="3637"/>
        <v>41729.68</v>
      </c>
      <c r="M123" s="17">
        <f t="shared" si="3637"/>
        <v>45767.210000000006</v>
      </c>
      <c r="N123" s="17">
        <f t="shared" si="3637"/>
        <v>35920.79</v>
      </c>
      <c r="O123" s="17">
        <f t="shared" si="3637"/>
        <v>42070.59</v>
      </c>
      <c r="P123" s="17">
        <f t="shared" si="3637"/>
        <v>48203.17</v>
      </c>
      <c r="Q123" s="17">
        <f t="shared" si="3637"/>
        <v>40383.82</v>
      </c>
      <c r="R123" s="17">
        <f t="shared" si="3637"/>
        <v>47854.25</v>
      </c>
      <c r="S123" s="17">
        <f t="shared" si="3637"/>
        <v>43558.46</v>
      </c>
      <c r="T123" s="17">
        <f t="shared" si="3637"/>
        <v>46101.290000000008</v>
      </c>
      <c r="U123" s="17">
        <f t="shared" si="3637"/>
        <v>62010.46</v>
      </c>
      <c r="V123" s="17">
        <f t="shared" si="3637"/>
        <v>59680.979999999996</v>
      </c>
      <c r="W123" s="17">
        <f t="shared" si="3637"/>
        <v>54087.689999999995</v>
      </c>
      <c r="X123" s="17">
        <f t="shared" si="3637"/>
        <v>68301.099999999991</v>
      </c>
      <c r="Y123" s="17">
        <f t="shared" si="3637"/>
        <v>68545.17</v>
      </c>
      <c r="Z123" s="17">
        <f t="shared" si="3637"/>
        <v>42307.05</v>
      </c>
      <c r="AA123" s="17">
        <f t="shared" si="3637"/>
        <v>41123.660000000003</v>
      </c>
      <c r="AB123" s="17">
        <f t="shared" si="3637"/>
        <v>44012.800000000003</v>
      </c>
      <c r="AC123" s="17">
        <f t="shared" si="3637"/>
        <v>43504.3</v>
      </c>
      <c r="AD123" s="17">
        <f t="shared" si="3637"/>
        <v>49619.85</v>
      </c>
      <c r="AE123" s="17">
        <f t="shared" si="3637"/>
        <v>50171.820000000007</v>
      </c>
      <c r="AF123" s="17">
        <f t="shared" si="3637"/>
        <v>58453</v>
      </c>
      <c r="AG123" s="17">
        <f t="shared" si="3637"/>
        <v>51229.240000000005</v>
      </c>
      <c r="AH123" s="17">
        <f t="shared" si="3637"/>
        <v>51464.6</v>
      </c>
      <c r="AI123" s="17">
        <f t="shared" si="3637"/>
        <v>53114.61</v>
      </c>
      <c r="AJ123" s="17">
        <f t="shared" ref="AJ123:BO123" si="3638">AJ75+AJ97+AJ104+AJ111+AJ82</f>
        <v>54216.87</v>
      </c>
      <c r="AK123" s="17">
        <f t="shared" si="3638"/>
        <v>53666.64</v>
      </c>
      <c r="AL123" s="17">
        <f t="shared" si="3638"/>
        <v>64843.819999999992</v>
      </c>
      <c r="AM123" s="17">
        <f t="shared" si="3638"/>
        <v>89043.790000000008</v>
      </c>
      <c r="AN123" s="17">
        <f t="shared" si="3638"/>
        <v>66192.009999999995</v>
      </c>
      <c r="AO123" s="17">
        <f t="shared" si="3638"/>
        <v>60814.55</v>
      </c>
      <c r="AP123" s="17">
        <f t="shared" si="3638"/>
        <v>73166.2</v>
      </c>
      <c r="AQ123" s="17">
        <f t="shared" si="3638"/>
        <v>69711.760000000009</v>
      </c>
      <c r="AR123" s="17">
        <f t="shared" si="3638"/>
        <v>55460.12</v>
      </c>
      <c r="AS123" s="17">
        <f t="shared" si="3638"/>
        <v>61415.259999999995</v>
      </c>
      <c r="AT123" s="17">
        <f t="shared" si="3638"/>
        <v>68738.84</v>
      </c>
      <c r="AU123" s="17">
        <f t="shared" si="3638"/>
        <v>75280.760000000009</v>
      </c>
      <c r="AV123" s="17">
        <f t="shared" si="3638"/>
        <v>64577.829999999994</v>
      </c>
      <c r="AW123" s="17">
        <f t="shared" si="3638"/>
        <v>69888.27</v>
      </c>
      <c r="AX123" s="17">
        <f t="shared" si="3638"/>
        <v>69247.77</v>
      </c>
      <c r="AY123" s="17">
        <f t="shared" si="3638"/>
        <v>68396.039999999994</v>
      </c>
      <c r="AZ123" s="17">
        <f t="shared" si="3638"/>
        <v>65127.1</v>
      </c>
      <c r="BA123" s="17">
        <f t="shared" si="3638"/>
        <v>67643.12</v>
      </c>
      <c r="BB123" s="17">
        <f t="shared" si="3638"/>
        <v>68292.42</v>
      </c>
      <c r="BC123" s="17">
        <f t="shared" si="3638"/>
        <v>65467.78</v>
      </c>
      <c r="BD123" s="17">
        <f t="shared" si="3638"/>
        <v>69564.600000000006</v>
      </c>
      <c r="BE123" s="17">
        <f t="shared" si="3638"/>
        <v>67339.240000000005</v>
      </c>
      <c r="BF123" s="17">
        <f t="shared" si="3638"/>
        <v>67512.63</v>
      </c>
      <c r="BG123" s="17">
        <f t="shared" si="3638"/>
        <v>73080.260000000009</v>
      </c>
      <c r="BH123" s="17">
        <f t="shared" si="3638"/>
        <v>73832.210000000006</v>
      </c>
      <c r="BI123" s="17">
        <f t="shared" si="3638"/>
        <v>70161.83</v>
      </c>
      <c r="BJ123" s="17">
        <f t="shared" si="3638"/>
        <v>64931.700000000004</v>
      </c>
      <c r="BK123" s="17">
        <f t="shared" si="3638"/>
        <v>60198.1</v>
      </c>
      <c r="BL123" s="17">
        <f t="shared" si="3638"/>
        <v>69804.3</v>
      </c>
      <c r="BM123" s="17">
        <f t="shared" si="3638"/>
        <v>68174.009999999995</v>
      </c>
      <c r="BN123" s="17">
        <f t="shared" si="3638"/>
        <v>63973.45</v>
      </c>
      <c r="BO123" s="17">
        <f t="shared" si="3638"/>
        <v>65683.89</v>
      </c>
      <c r="BP123" s="17">
        <f t="shared" ref="BP123:CU123" si="3639">BP75+BP97+BP104+BP111+BP82</f>
        <v>70375.600000000006</v>
      </c>
      <c r="BQ123" s="17">
        <f t="shared" si="3639"/>
        <v>71202.45</v>
      </c>
      <c r="BR123" s="17">
        <f t="shared" si="3639"/>
        <v>69993.299999999988</v>
      </c>
      <c r="BS123" s="17">
        <f t="shared" si="3639"/>
        <v>72947.989999999991</v>
      </c>
      <c r="BT123" s="17">
        <f t="shared" si="3639"/>
        <v>84093.82</v>
      </c>
      <c r="BU123" s="17">
        <f t="shared" si="3639"/>
        <v>90848.44</v>
      </c>
      <c r="BV123" s="17">
        <f t="shared" si="3639"/>
        <v>92993.69</v>
      </c>
      <c r="BW123" s="17">
        <f t="shared" si="3639"/>
        <v>93443.25</v>
      </c>
      <c r="BX123" s="17">
        <f t="shared" si="3639"/>
        <v>136056.89000000001</v>
      </c>
      <c r="BY123" s="17">
        <f t="shared" si="3639"/>
        <v>110403.09999999999</v>
      </c>
      <c r="BZ123" s="17">
        <f t="shared" si="3639"/>
        <v>68581.990000000005</v>
      </c>
      <c r="CA123" s="17">
        <f t="shared" si="3639"/>
        <v>65609.990000000005</v>
      </c>
      <c r="CB123" s="17">
        <f t="shared" si="3639"/>
        <v>66462.98</v>
      </c>
      <c r="CC123" s="17">
        <f t="shared" si="3639"/>
        <v>68592.790000000008</v>
      </c>
      <c r="CD123" s="17">
        <f t="shared" si="3639"/>
        <v>74163.280000000013</v>
      </c>
      <c r="CE123" s="17">
        <f t="shared" si="3639"/>
        <v>76647.810000000012</v>
      </c>
      <c r="CF123" s="17">
        <f t="shared" si="3639"/>
        <v>80838.8</v>
      </c>
      <c r="CG123" s="17">
        <f t="shared" si="3639"/>
        <v>71987.06</v>
      </c>
      <c r="CH123" s="17">
        <f t="shared" si="3639"/>
        <v>74921.740000000005</v>
      </c>
      <c r="CI123" s="17">
        <f t="shared" si="3639"/>
        <v>82116.840000000011</v>
      </c>
      <c r="CJ123" s="17">
        <f t="shared" si="3639"/>
        <v>76501.52</v>
      </c>
      <c r="CK123" s="17">
        <f t="shared" si="3639"/>
        <v>81108.479999999996</v>
      </c>
      <c r="CL123" s="17">
        <f t="shared" si="3639"/>
        <v>103773.37</v>
      </c>
      <c r="CM123" s="17">
        <f t="shared" si="3639"/>
        <v>88631.450000000012</v>
      </c>
      <c r="CN123" s="17">
        <f t="shared" si="3639"/>
        <v>85022.92</v>
      </c>
      <c r="CO123" s="17">
        <f t="shared" si="3639"/>
        <v>79809.609999999986</v>
      </c>
      <c r="CP123" s="17">
        <f t="shared" si="3639"/>
        <v>82388.600000000006</v>
      </c>
      <c r="CQ123" s="17">
        <f t="shared" si="3639"/>
        <v>94938.49</v>
      </c>
      <c r="CR123" s="17">
        <f t="shared" si="3639"/>
        <v>88732.559999999983</v>
      </c>
      <c r="CS123" s="17">
        <f t="shared" si="3639"/>
        <v>82957.77</v>
      </c>
      <c r="CT123" s="17">
        <f t="shared" si="3639"/>
        <v>88979.8</v>
      </c>
      <c r="CU123" s="17">
        <f t="shared" si="3639"/>
        <v>93355.37</v>
      </c>
      <c r="CV123" s="17">
        <f t="shared" ref="CV123:EA123" si="3640">CV75+CV97+CV104+CV111+CV82</f>
        <v>83987.67</v>
      </c>
      <c r="CW123" s="17">
        <f t="shared" si="3640"/>
        <v>101677.91999999998</v>
      </c>
      <c r="CX123" s="17">
        <f t="shared" si="3640"/>
        <v>102748.51999999999</v>
      </c>
      <c r="CY123" s="17">
        <f t="shared" si="3640"/>
        <v>104375.42</v>
      </c>
      <c r="CZ123" s="17">
        <f t="shared" si="3640"/>
        <v>90680.47</v>
      </c>
      <c r="DA123" s="17">
        <f t="shared" si="3640"/>
        <v>106665.7</v>
      </c>
      <c r="DB123" s="17">
        <f t="shared" si="3640"/>
        <v>89342.49</v>
      </c>
      <c r="DC123" s="17">
        <f t="shared" si="3640"/>
        <v>95108.92</v>
      </c>
      <c r="DD123" s="17">
        <f t="shared" si="3640"/>
        <v>110152.15999999999</v>
      </c>
      <c r="DE123" s="17">
        <f t="shared" si="3640"/>
        <v>95734.069999999992</v>
      </c>
      <c r="DF123" s="17">
        <f t="shared" si="3640"/>
        <v>105551.73999999999</v>
      </c>
      <c r="DG123" s="17">
        <f t="shared" si="3640"/>
        <v>104069.55</v>
      </c>
      <c r="DH123" s="17">
        <f t="shared" si="3640"/>
        <v>105195.01999999997</v>
      </c>
      <c r="DI123" s="17">
        <f t="shared" si="3640"/>
        <v>87764.030000000013</v>
      </c>
      <c r="DJ123" s="17">
        <f t="shared" si="3640"/>
        <v>81556.299999999988</v>
      </c>
      <c r="DK123" s="17">
        <f t="shared" si="3640"/>
        <v>92406.85</v>
      </c>
      <c r="DL123" s="17">
        <f t="shared" si="3640"/>
        <v>93723.31</v>
      </c>
      <c r="DM123" s="17">
        <f t="shared" si="3640"/>
        <v>91725.07</v>
      </c>
      <c r="DN123" s="17">
        <f t="shared" si="3640"/>
        <v>89845.849999999991</v>
      </c>
      <c r="DO123" s="17">
        <f t="shared" si="3640"/>
        <v>87537.14</v>
      </c>
      <c r="DP123" s="17">
        <f t="shared" si="3640"/>
        <v>96451.599999999991</v>
      </c>
      <c r="DQ123" s="17">
        <f t="shared" si="3640"/>
        <v>92757.55</v>
      </c>
      <c r="DR123" s="17">
        <f t="shared" si="3640"/>
        <v>88873.099999999991</v>
      </c>
      <c r="DS123" s="17">
        <f t="shared" si="3640"/>
        <v>85654.62000000001</v>
      </c>
      <c r="DT123" s="17">
        <f t="shared" si="3640"/>
        <v>99930.190000000017</v>
      </c>
      <c r="DU123" s="17">
        <f t="shared" si="3640"/>
        <v>128268.87000000002</v>
      </c>
      <c r="DV123" s="17">
        <f t="shared" si="3640"/>
        <v>116914.25</v>
      </c>
      <c r="DW123" s="17">
        <f t="shared" si="3640"/>
        <v>135391.29999999996</v>
      </c>
      <c r="DX123" s="17">
        <f t="shared" si="3640"/>
        <v>151450.69</v>
      </c>
      <c r="DY123" s="17">
        <f t="shared" si="3640"/>
        <v>153723.68</v>
      </c>
      <c r="DZ123" s="17">
        <f t="shared" si="3640"/>
        <v>126015.25</v>
      </c>
      <c r="EA123" s="17">
        <f t="shared" si="3640"/>
        <v>89069.52</v>
      </c>
      <c r="EB123" s="17">
        <f t="shared" ref="EB123:FL123" si="3641">EB75+EB97+EB104+EB111+EB82</f>
        <v>92355.01999999999</v>
      </c>
      <c r="EC123" s="17">
        <f t="shared" si="3641"/>
        <v>93831.569999999992</v>
      </c>
      <c r="ED123" s="17">
        <f t="shared" si="3641"/>
        <v>117439.26</v>
      </c>
      <c r="EE123" s="17">
        <f t="shared" si="3641"/>
        <v>106289.09000000001</v>
      </c>
      <c r="EF123" s="17">
        <f t="shared" si="3641"/>
        <v>110397.35</v>
      </c>
      <c r="EG123" s="17">
        <f t="shared" si="3641"/>
        <v>117948.50000000001</v>
      </c>
      <c r="EH123" s="17">
        <f t="shared" si="3641"/>
        <v>117129.75</v>
      </c>
      <c r="EI123" s="17">
        <f t="shared" si="3641"/>
        <v>107727.47</v>
      </c>
      <c r="EJ123" s="17">
        <f t="shared" si="3641"/>
        <v>117204.3</v>
      </c>
      <c r="EK123" s="17">
        <f t="shared" si="3641"/>
        <v>126629.66</v>
      </c>
      <c r="EL123" s="17">
        <f t="shared" si="3641"/>
        <v>129650.95000000001</v>
      </c>
      <c r="EM123" s="17">
        <f t="shared" si="3641"/>
        <v>126377.64999999998</v>
      </c>
      <c r="EN123" s="17">
        <f t="shared" si="3641"/>
        <v>126523.95999999998</v>
      </c>
      <c r="EO123" s="17">
        <f t="shared" si="3641"/>
        <v>151072.13999999998</v>
      </c>
      <c r="EP123" s="17">
        <f t="shared" si="3641"/>
        <v>129227.20999999999</v>
      </c>
      <c r="EQ123" s="17">
        <f t="shared" si="3641"/>
        <v>149811.41000000003</v>
      </c>
      <c r="ER123" s="17">
        <f t="shared" si="3641"/>
        <v>124061.2</v>
      </c>
      <c r="ES123" s="17">
        <f t="shared" si="3641"/>
        <v>124586.13000000002</v>
      </c>
      <c r="ET123" s="17">
        <f t="shared" si="3641"/>
        <v>122472.9</v>
      </c>
      <c r="EU123" s="17">
        <f t="shared" si="3641"/>
        <v>137925.99000000002</v>
      </c>
      <c r="EV123" s="17">
        <f t="shared" si="3641"/>
        <v>117794.01000000001</v>
      </c>
      <c r="EW123" s="17">
        <f t="shared" si="3641"/>
        <v>136106.09</v>
      </c>
      <c r="EX123" s="17">
        <f t="shared" si="3641"/>
        <v>130686.37</v>
      </c>
      <c r="EY123" s="17">
        <f t="shared" si="3641"/>
        <v>133964.19999999998</v>
      </c>
      <c r="EZ123" s="17">
        <f t="shared" si="3641"/>
        <v>131490.76</v>
      </c>
      <c r="FA123" s="17">
        <f t="shared" si="3641"/>
        <v>129308.04000000001</v>
      </c>
      <c r="FB123" s="17">
        <f t="shared" si="3641"/>
        <v>130663.14000000001</v>
      </c>
      <c r="FC123" s="17">
        <f t="shared" si="3641"/>
        <v>137913.57</v>
      </c>
      <c r="FD123" s="17">
        <f t="shared" si="3641"/>
        <v>131605.02000000002</v>
      </c>
      <c r="FE123" s="17">
        <f t="shared" si="3641"/>
        <v>130113.15000000002</v>
      </c>
      <c r="FF123" s="17">
        <f t="shared" si="3641"/>
        <v>137314.15000000002</v>
      </c>
      <c r="FG123" s="17">
        <f t="shared" si="3641"/>
        <v>150390.27999999997</v>
      </c>
      <c r="FH123" s="17">
        <f t="shared" si="3641"/>
        <v>146996.47</v>
      </c>
      <c r="FI123" s="17">
        <f t="shared" si="3641"/>
        <v>124308.99800000001</v>
      </c>
      <c r="FJ123" s="17">
        <f t="shared" si="3641"/>
        <v>132690.79199999999</v>
      </c>
      <c r="FK123" s="17">
        <f t="shared" si="3641"/>
        <v>134644.29799999998</v>
      </c>
      <c r="FL123" s="17">
        <f t="shared" si="3641"/>
        <v>123509.64400000001</v>
      </c>
      <c r="FM123" s="17">
        <f t="shared" ref="FM123:GN123" si="3642">FM75+FM97+FM104+FM111+FM83</f>
        <v>121062.716</v>
      </c>
      <c r="FN123" s="17">
        <f t="shared" si="3642"/>
        <v>125829.70000000001</v>
      </c>
      <c r="FO123" s="17">
        <f t="shared" si="3642"/>
        <v>90826.86</v>
      </c>
      <c r="FP123" s="17">
        <f t="shared" si="3642"/>
        <v>93673.569999999992</v>
      </c>
      <c r="FQ123" s="17">
        <f t="shared" si="3642"/>
        <v>90877.289999999979</v>
      </c>
      <c r="FR123" s="17">
        <f t="shared" si="3642"/>
        <v>84746.04</v>
      </c>
      <c r="FS123" s="17">
        <f t="shared" si="3642"/>
        <v>84868.47</v>
      </c>
      <c r="FT123" s="17">
        <f t="shared" si="3642"/>
        <v>86235.26</v>
      </c>
      <c r="FU123" s="17">
        <f t="shared" si="3642"/>
        <v>86205.340000000011</v>
      </c>
      <c r="FV123" s="17">
        <f t="shared" si="3642"/>
        <v>88160.849999999991</v>
      </c>
      <c r="FW123" s="17">
        <f t="shared" si="3642"/>
        <v>95022.78</v>
      </c>
      <c r="FX123" s="17">
        <f t="shared" si="3642"/>
        <v>109927.59999999999</v>
      </c>
      <c r="FY123" s="17">
        <f t="shared" si="3642"/>
        <v>102818.73000000001</v>
      </c>
      <c r="FZ123" s="17">
        <f t="shared" si="3642"/>
        <v>132868.10000000003</v>
      </c>
      <c r="GA123" s="17">
        <f t="shared" si="3642"/>
        <v>62252.990000000005</v>
      </c>
      <c r="GB123" s="17">
        <f t="shared" si="3642"/>
        <v>71971.26999999999</v>
      </c>
      <c r="GC123" s="17">
        <f t="shared" si="3642"/>
        <v>65730.590000000011</v>
      </c>
      <c r="GD123" s="17">
        <f t="shared" si="3642"/>
        <v>76443.820000000007</v>
      </c>
      <c r="GE123" s="17">
        <f t="shared" si="3642"/>
        <v>74647.53</v>
      </c>
      <c r="GF123" s="17">
        <f t="shared" si="3642"/>
        <v>80879.520000000004</v>
      </c>
      <c r="GG123" s="17">
        <f t="shared" si="3642"/>
        <v>85147.54</v>
      </c>
      <c r="GH123" s="17">
        <f t="shared" si="3642"/>
        <v>81338.61</v>
      </c>
      <c r="GI123" s="17">
        <f t="shared" si="3642"/>
        <v>79720.17</v>
      </c>
      <c r="GJ123" s="17">
        <f t="shared" si="3642"/>
        <v>88098.37999999999</v>
      </c>
      <c r="GK123" s="17">
        <f t="shared" si="3642"/>
        <v>90703.56</v>
      </c>
      <c r="GL123" s="17">
        <f t="shared" si="3642"/>
        <v>86482.23</v>
      </c>
      <c r="GM123" s="17">
        <f t="shared" ref="GM123" si="3643">GM75+GM97+GM104+GM111+GM83</f>
        <v>118263.5</v>
      </c>
      <c r="GN123" s="17">
        <f t="shared" si="3642"/>
        <v>106612.81000000001</v>
      </c>
      <c r="GO123" s="17">
        <f t="shared" ref="GO123:GP123" si="3644">GO75+GO97+GO104+GO111+GO83</f>
        <v>92677.82</v>
      </c>
      <c r="GP123" s="17">
        <f t="shared" si="3644"/>
        <v>98672.46</v>
      </c>
      <c r="GQ123" s="17">
        <f t="shared" ref="GQ123:GR123" si="3645">GQ75+GQ97+GQ104+GQ111+GQ83</f>
        <v>106744.65999999999</v>
      </c>
      <c r="GR123" s="107">
        <f t="shared" si="3645"/>
        <v>98587.43</v>
      </c>
      <c r="GS123" s="153">
        <f>EQ123</f>
        <v>149811.41000000003</v>
      </c>
      <c r="GT123" s="84" t="s">
        <v>23</v>
      </c>
      <c r="GU123" s="84"/>
      <c r="GV123" s="84"/>
      <c r="GW123" s="58"/>
      <c r="GX123" s="58"/>
      <c r="GY123" s="58"/>
      <c r="GZ123" s="58"/>
      <c r="HA123" s="58"/>
    </row>
    <row r="124" spans="1:209" s="2" customFormat="1" ht="15" customHeight="1" x14ac:dyDescent="0.3">
      <c r="A124" s="172"/>
      <c r="B124" s="26"/>
      <c r="C124" s="17" t="s">
        <v>24</v>
      </c>
      <c r="D124" s="17">
        <f t="shared" ref="D124:AI124" si="3646">D76+D84+D98+D105+D112+D83</f>
        <v>68080.3</v>
      </c>
      <c r="E124" s="17">
        <f t="shared" si="3646"/>
        <v>64272.34</v>
      </c>
      <c r="F124" s="17">
        <f t="shared" si="3646"/>
        <v>64999.55</v>
      </c>
      <c r="G124" s="17">
        <f t="shared" si="3646"/>
        <v>70663.009999999995</v>
      </c>
      <c r="H124" s="17">
        <f t="shared" si="3646"/>
        <v>65142.680000000008</v>
      </c>
      <c r="I124" s="17">
        <f t="shared" si="3646"/>
        <v>52075.92</v>
      </c>
      <c r="J124" s="17">
        <f t="shared" si="3646"/>
        <v>53582.9</v>
      </c>
      <c r="K124" s="17">
        <f t="shared" si="3646"/>
        <v>48599.02</v>
      </c>
      <c r="L124" s="17">
        <f t="shared" si="3646"/>
        <v>50656.05</v>
      </c>
      <c r="M124" s="17">
        <f t="shared" si="3646"/>
        <v>51924.12</v>
      </c>
      <c r="N124" s="17">
        <f t="shared" si="3646"/>
        <v>48389.549999999996</v>
      </c>
      <c r="O124" s="17">
        <f t="shared" si="3646"/>
        <v>50537.259999999995</v>
      </c>
      <c r="P124" s="17">
        <f t="shared" si="3646"/>
        <v>57369.630000000005</v>
      </c>
      <c r="Q124" s="17">
        <f t="shared" si="3646"/>
        <v>47604.15</v>
      </c>
      <c r="R124" s="17">
        <f t="shared" si="3646"/>
        <v>53567.93</v>
      </c>
      <c r="S124" s="17">
        <f t="shared" si="3646"/>
        <v>52289.75</v>
      </c>
      <c r="T124" s="17">
        <f t="shared" si="3646"/>
        <v>46271.65</v>
      </c>
      <c r="U124" s="17">
        <f t="shared" si="3646"/>
        <v>51877.200000000004</v>
      </c>
      <c r="V124" s="17">
        <f t="shared" si="3646"/>
        <v>51506.3</v>
      </c>
      <c r="W124" s="17">
        <f t="shared" si="3646"/>
        <v>54313.05</v>
      </c>
      <c r="X124" s="17">
        <f t="shared" si="3646"/>
        <v>51279.11</v>
      </c>
      <c r="Y124" s="17">
        <f t="shared" si="3646"/>
        <v>60315.299999999996</v>
      </c>
      <c r="Z124" s="17">
        <f t="shared" si="3646"/>
        <v>51702.15</v>
      </c>
      <c r="AA124" s="17">
        <f t="shared" si="3646"/>
        <v>42509.100000000006</v>
      </c>
      <c r="AB124" s="17">
        <f t="shared" si="3646"/>
        <v>45796.05</v>
      </c>
      <c r="AC124" s="17">
        <f t="shared" si="3646"/>
        <v>49183.7</v>
      </c>
      <c r="AD124" s="17">
        <f t="shared" si="3646"/>
        <v>51711</v>
      </c>
      <c r="AE124" s="17">
        <f t="shared" si="3646"/>
        <v>50751.839999999997</v>
      </c>
      <c r="AF124" s="17">
        <f t="shared" si="3646"/>
        <v>60773.56</v>
      </c>
      <c r="AG124" s="17">
        <f t="shared" si="3646"/>
        <v>52395.33</v>
      </c>
      <c r="AH124" s="17">
        <f t="shared" si="3646"/>
        <v>56706</v>
      </c>
      <c r="AI124" s="17">
        <f t="shared" si="3646"/>
        <v>49859.9</v>
      </c>
      <c r="AJ124" s="17">
        <f t="shared" ref="AJ124:BO124" si="3647">AJ76+AJ84+AJ98+AJ105+AJ112+AJ83</f>
        <v>60199.500000000007</v>
      </c>
      <c r="AK124" s="17">
        <f t="shared" si="3647"/>
        <v>54561.599999999999</v>
      </c>
      <c r="AL124" s="17">
        <f t="shared" si="3647"/>
        <v>70246.600000000006</v>
      </c>
      <c r="AM124" s="17">
        <f t="shared" si="3647"/>
        <v>92130.6</v>
      </c>
      <c r="AN124" s="17">
        <f t="shared" si="3647"/>
        <v>79709.7</v>
      </c>
      <c r="AO124" s="17">
        <f t="shared" si="3647"/>
        <v>65847.239999999991</v>
      </c>
      <c r="AP124" s="17">
        <f t="shared" si="3647"/>
        <v>79569.490000000005</v>
      </c>
      <c r="AQ124" s="17">
        <f t="shared" si="3647"/>
        <v>75300.350000000006</v>
      </c>
      <c r="AR124" s="17">
        <f t="shared" si="3647"/>
        <v>64947.3</v>
      </c>
      <c r="AS124" s="17">
        <f t="shared" si="3647"/>
        <v>73508.179999999993</v>
      </c>
      <c r="AT124" s="17">
        <f t="shared" si="3647"/>
        <v>81804.25</v>
      </c>
      <c r="AU124" s="17">
        <f t="shared" si="3647"/>
        <v>94489.25</v>
      </c>
      <c r="AV124" s="17">
        <f t="shared" si="3647"/>
        <v>75162.25</v>
      </c>
      <c r="AW124" s="17">
        <f t="shared" si="3647"/>
        <v>84770.66</v>
      </c>
      <c r="AX124" s="17">
        <f t="shared" si="3647"/>
        <v>78117.55</v>
      </c>
      <c r="AY124" s="17">
        <f t="shared" si="3647"/>
        <v>85632.39</v>
      </c>
      <c r="AZ124" s="17">
        <f t="shared" si="3647"/>
        <v>82046.52</v>
      </c>
      <c r="BA124" s="17">
        <f t="shared" si="3647"/>
        <v>86332.15</v>
      </c>
      <c r="BB124" s="17">
        <f t="shared" si="3647"/>
        <v>92695.2</v>
      </c>
      <c r="BC124" s="17">
        <f t="shared" si="3647"/>
        <v>89070.25</v>
      </c>
      <c r="BD124" s="17">
        <f t="shared" si="3647"/>
        <v>98436.22</v>
      </c>
      <c r="BE124" s="17">
        <f t="shared" si="3647"/>
        <v>88901.47</v>
      </c>
      <c r="BF124" s="17">
        <f t="shared" si="3647"/>
        <v>83718.149999999994</v>
      </c>
      <c r="BG124" s="17">
        <f t="shared" si="3647"/>
        <v>90903.69</v>
      </c>
      <c r="BH124" s="17">
        <f t="shared" si="3647"/>
        <v>99357.209999999992</v>
      </c>
      <c r="BI124" s="17">
        <f t="shared" si="3647"/>
        <v>90876.55</v>
      </c>
      <c r="BJ124" s="17">
        <f t="shared" si="3647"/>
        <v>88445.15</v>
      </c>
      <c r="BK124" s="17">
        <f t="shared" si="3647"/>
        <v>76691.17</v>
      </c>
      <c r="BL124" s="17">
        <f t="shared" si="3647"/>
        <v>84247.054999999993</v>
      </c>
      <c r="BM124" s="17">
        <f t="shared" si="3647"/>
        <v>84858.560000000012</v>
      </c>
      <c r="BN124" s="17">
        <f t="shared" si="3647"/>
        <v>77904.47</v>
      </c>
      <c r="BO124" s="17">
        <f t="shared" si="3647"/>
        <v>83518.049999999988</v>
      </c>
      <c r="BP124" s="17">
        <f t="shared" ref="BP124:CU124" si="3648">BP76+BP84+BP98+BP105+BP112+BP83</f>
        <v>91778.6</v>
      </c>
      <c r="BQ124" s="17">
        <f t="shared" si="3648"/>
        <v>78056.5</v>
      </c>
      <c r="BR124" s="17">
        <f t="shared" si="3648"/>
        <v>88765.5</v>
      </c>
      <c r="BS124" s="17">
        <f t="shared" si="3648"/>
        <v>87428.78</v>
      </c>
      <c r="BT124" s="17">
        <f t="shared" si="3648"/>
        <v>82394.600000000006</v>
      </c>
      <c r="BU124" s="17">
        <f t="shared" si="3648"/>
        <v>82411.299999999988</v>
      </c>
      <c r="BV124" s="17">
        <f t="shared" si="3648"/>
        <v>94618.72</v>
      </c>
      <c r="BW124" s="17">
        <f t="shared" si="3648"/>
        <v>101700.48999999999</v>
      </c>
      <c r="BX124" s="17">
        <f t="shared" si="3648"/>
        <v>107004.47</v>
      </c>
      <c r="BY124" s="17">
        <f t="shared" si="3648"/>
        <v>100698.10999999999</v>
      </c>
      <c r="BZ124" s="17">
        <f t="shared" si="3648"/>
        <v>90349.66</v>
      </c>
      <c r="CA124" s="17">
        <f t="shared" si="3648"/>
        <v>78574.649999999994</v>
      </c>
      <c r="CB124" s="17">
        <f t="shared" si="3648"/>
        <v>80145.049999999988</v>
      </c>
      <c r="CC124" s="17">
        <f t="shared" si="3648"/>
        <v>85208.200000000012</v>
      </c>
      <c r="CD124" s="17">
        <f t="shared" si="3648"/>
        <v>85061.200000000012</v>
      </c>
      <c r="CE124" s="17">
        <f t="shared" si="3648"/>
        <v>88960.6</v>
      </c>
      <c r="CF124" s="17">
        <f t="shared" si="3648"/>
        <v>105714.75</v>
      </c>
      <c r="CG124" s="17">
        <f t="shared" si="3648"/>
        <v>88408.25</v>
      </c>
      <c r="CH124" s="17">
        <f t="shared" si="3648"/>
        <v>91116.950000000012</v>
      </c>
      <c r="CI124" s="17">
        <f t="shared" si="3648"/>
        <v>106456.93</v>
      </c>
      <c r="CJ124" s="17">
        <f t="shared" si="3648"/>
        <v>88141.35</v>
      </c>
      <c r="CK124" s="17">
        <f t="shared" si="3648"/>
        <v>95767.799999999988</v>
      </c>
      <c r="CL124" s="17">
        <f t="shared" si="3648"/>
        <v>115560.39</v>
      </c>
      <c r="CM124" s="17">
        <f t="shared" si="3648"/>
        <v>108215.25</v>
      </c>
      <c r="CN124" s="17">
        <f t="shared" si="3648"/>
        <v>105238.25</v>
      </c>
      <c r="CO124" s="17">
        <f t="shared" si="3648"/>
        <v>97496.219999999987</v>
      </c>
      <c r="CP124" s="17">
        <f t="shared" si="3648"/>
        <v>98348.96</v>
      </c>
      <c r="CQ124" s="17">
        <f t="shared" si="3648"/>
        <v>108637.35</v>
      </c>
      <c r="CR124" s="17">
        <f t="shared" si="3648"/>
        <v>104341.49</v>
      </c>
      <c r="CS124" s="17">
        <f t="shared" si="3648"/>
        <v>93461.2</v>
      </c>
      <c r="CT124" s="17">
        <f t="shared" si="3648"/>
        <v>114903.93</v>
      </c>
      <c r="CU124" s="17">
        <f t="shared" si="3648"/>
        <v>116348.1</v>
      </c>
      <c r="CV124" s="17">
        <f t="shared" ref="CV124:EA124" si="3649">CV76+CV84+CV98+CV105+CV112+CV83</f>
        <v>101749.45000000001</v>
      </c>
      <c r="CW124" s="17">
        <f t="shared" si="3649"/>
        <v>120833.48000000003</v>
      </c>
      <c r="CX124" s="17">
        <f t="shared" si="3649"/>
        <v>113168.70000000001</v>
      </c>
      <c r="CY124" s="17">
        <f t="shared" si="3649"/>
        <v>116523.81</v>
      </c>
      <c r="CZ124" s="17">
        <f t="shared" si="3649"/>
        <v>108127.30000000002</v>
      </c>
      <c r="DA124" s="17">
        <f t="shared" si="3649"/>
        <v>113742.91</v>
      </c>
      <c r="DB124" s="17">
        <f t="shared" si="3649"/>
        <v>119292.65000000001</v>
      </c>
      <c r="DC124" s="17">
        <f t="shared" si="3649"/>
        <v>118317.3</v>
      </c>
      <c r="DD124" s="17">
        <f t="shared" si="3649"/>
        <v>125223.20000000001</v>
      </c>
      <c r="DE124" s="17">
        <f t="shared" si="3649"/>
        <v>127067.44999999998</v>
      </c>
      <c r="DF124" s="17">
        <f t="shared" si="3649"/>
        <v>126995.522</v>
      </c>
      <c r="DG124" s="17">
        <f t="shared" si="3649"/>
        <v>135128.07999999999</v>
      </c>
      <c r="DH124" s="17">
        <f t="shared" si="3649"/>
        <v>135966.93</v>
      </c>
      <c r="DI124" s="17">
        <f t="shared" si="3649"/>
        <v>108234.2</v>
      </c>
      <c r="DJ124" s="17">
        <f t="shared" si="3649"/>
        <v>93482.569999999992</v>
      </c>
      <c r="DK124" s="17">
        <f t="shared" si="3649"/>
        <v>108166.77500000001</v>
      </c>
      <c r="DL124" s="17">
        <f t="shared" si="3649"/>
        <v>111908.8</v>
      </c>
      <c r="DM124" s="17">
        <f t="shared" si="3649"/>
        <v>106053.43999999999</v>
      </c>
      <c r="DN124" s="17">
        <f t="shared" si="3649"/>
        <v>100154.42000000001</v>
      </c>
      <c r="DO124" s="17">
        <f t="shared" si="3649"/>
        <v>103267.91000000002</v>
      </c>
      <c r="DP124" s="17">
        <f t="shared" si="3649"/>
        <v>107554.65000000001</v>
      </c>
      <c r="DQ124" s="17">
        <f t="shared" si="3649"/>
        <v>114050.71999999999</v>
      </c>
      <c r="DR124" s="17">
        <f t="shared" si="3649"/>
        <v>99173.39</v>
      </c>
      <c r="DS124" s="17">
        <f t="shared" si="3649"/>
        <v>96832.590000000011</v>
      </c>
      <c r="DT124" s="17">
        <f t="shared" si="3649"/>
        <v>97061.45166666666</v>
      </c>
      <c r="DU124" s="17">
        <f t="shared" si="3649"/>
        <v>125470.60333333333</v>
      </c>
      <c r="DV124" s="17">
        <f t="shared" si="3649"/>
        <v>115340.71333333333</v>
      </c>
      <c r="DW124" s="17">
        <f t="shared" si="3649"/>
        <v>136453.34666666665</v>
      </c>
      <c r="DX124" s="17">
        <f t="shared" si="3649"/>
        <v>147171.68333333332</v>
      </c>
      <c r="DY124" s="17">
        <f t="shared" si="3649"/>
        <v>131175.75</v>
      </c>
      <c r="DZ124" s="17">
        <f t="shared" si="3649"/>
        <v>141648.19166666665</v>
      </c>
      <c r="EA124" s="17">
        <f t="shared" si="3649"/>
        <v>108022.92333333334</v>
      </c>
      <c r="EB124" s="17">
        <f t="shared" ref="EB124:FL124" si="3650">EB76+EB84+EB98+EB105+EB112+EB83</f>
        <v>114002.38</v>
      </c>
      <c r="EC124" s="17">
        <f t="shared" si="3650"/>
        <v>110670.48</v>
      </c>
      <c r="ED124" s="17">
        <f t="shared" si="3650"/>
        <v>128534.00000000001</v>
      </c>
      <c r="EE124" s="17">
        <f t="shared" si="3650"/>
        <v>125642.87000000001</v>
      </c>
      <c r="EF124" s="17">
        <f t="shared" si="3650"/>
        <v>137258.65999999997</v>
      </c>
      <c r="EG124" s="17">
        <f t="shared" si="3650"/>
        <v>147217.05000000002</v>
      </c>
      <c r="EH124" s="17">
        <f t="shared" si="3650"/>
        <v>138890.59999999998</v>
      </c>
      <c r="EI124" s="17">
        <f t="shared" si="3650"/>
        <v>120837.6</v>
      </c>
      <c r="EJ124" s="17">
        <f t="shared" si="3650"/>
        <v>134306.62000000002</v>
      </c>
      <c r="EK124" s="17">
        <f t="shared" si="3650"/>
        <v>138385.92000000001</v>
      </c>
      <c r="EL124" s="17">
        <f t="shared" si="3650"/>
        <v>162421.68000000002</v>
      </c>
      <c r="EM124" s="17">
        <f t="shared" si="3650"/>
        <v>140486.34999999998</v>
      </c>
      <c r="EN124" s="17">
        <f t="shared" si="3650"/>
        <v>144847.29999999999</v>
      </c>
      <c r="EO124" s="17">
        <f t="shared" si="3650"/>
        <v>169638.19999999998</v>
      </c>
      <c r="EP124" s="17">
        <f t="shared" si="3650"/>
        <v>148914.98999999996</v>
      </c>
      <c r="EQ124" s="17">
        <f t="shared" si="3650"/>
        <v>146010.90000000002</v>
      </c>
      <c r="ER124" s="17">
        <f t="shared" si="3650"/>
        <v>135264.54999999999</v>
      </c>
      <c r="ES124" s="17">
        <f t="shared" si="3650"/>
        <v>128761.26000000001</v>
      </c>
      <c r="ET124" s="17">
        <f t="shared" si="3650"/>
        <v>135665.41</v>
      </c>
      <c r="EU124" s="17">
        <f t="shared" si="3650"/>
        <v>167845.49000000002</v>
      </c>
      <c r="EV124" s="17">
        <f t="shared" si="3650"/>
        <v>135381.69</v>
      </c>
      <c r="EW124" s="17">
        <f t="shared" si="3650"/>
        <v>170591.51999999996</v>
      </c>
      <c r="EX124" s="17">
        <f t="shared" si="3650"/>
        <v>137289.96</v>
      </c>
      <c r="EY124" s="17">
        <f t="shared" si="3650"/>
        <v>150466.51</v>
      </c>
      <c r="EZ124" s="17">
        <f t="shared" si="3650"/>
        <v>152630.64000000001</v>
      </c>
      <c r="FA124" s="17">
        <f t="shared" si="3650"/>
        <v>138734.56</v>
      </c>
      <c r="FB124" s="17">
        <f t="shared" si="3650"/>
        <v>146796.39000000001</v>
      </c>
      <c r="FC124" s="17">
        <f t="shared" si="3650"/>
        <v>156068.97999999998</v>
      </c>
      <c r="FD124" s="17">
        <f t="shared" si="3650"/>
        <v>163392.10000000003</v>
      </c>
      <c r="FE124" s="17">
        <f t="shared" si="3650"/>
        <v>156615.30000000002</v>
      </c>
      <c r="FF124" s="17">
        <f t="shared" si="3650"/>
        <v>157593.76</v>
      </c>
      <c r="FG124" s="17">
        <f t="shared" si="3650"/>
        <v>165318.77000000002</v>
      </c>
      <c r="FH124" s="17">
        <f t="shared" si="3650"/>
        <v>171718.99</v>
      </c>
      <c r="FI124" s="17">
        <f t="shared" si="3650"/>
        <v>144211.84800000003</v>
      </c>
      <c r="FJ124" s="17">
        <f t="shared" si="3650"/>
        <v>148480.19000000003</v>
      </c>
      <c r="FK124" s="17">
        <f t="shared" si="3650"/>
        <v>143240.15</v>
      </c>
      <c r="FL124" s="17">
        <f t="shared" si="3650"/>
        <v>138558.85399999999</v>
      </c>
      <c r="FM124" s="17">
        <f t="shared" ref="FM124:GL124" si="3651">FM76+FM84+FM98+FM105+FM112+FM82</f>
        <v>151615.182</v>
      </c>
      <c r="FN124" s="17">
        <f t="shared" si="3651"/>
        <v>154027.35</v>
      </c>
      <c r="FO124" s="17">
        <f t="shared" si="3651"/>
        <v>141889.69999999998</v>
      </c>
      <c r="FP124" s="17">
        <f t="shared" si="3651"/>
        <v>159146.28</v>
      </c>
      <c r="FQ124" s="17">
        <f t="shared" si="3651"/>
        <v>153440.95000000001</v>
      </c>
      <c r="FR124" s="17">
        <f t="shared" si="3651"/>
        <v>145626.45000000001</v>
      </c>
      <c r="FS124" s="17">
        <f t="shared" si="3651"/>
        <v>152940.77499999999</v>
      </c>
      <c r="FT124" s="17">
        <f t="shared" si="3651"/>
        <v>151860.60999999999</v>
      </c>
      <c r="FU124" s="17">
        <f t="shared" si="3651"/>
        <v>157610.85000000003</v>
      </c>
      <c r="FV124" s="17">
        <f t="shared" si="3651"/>
        <v>163674.87000000002</v>
      </c>
      <c r="FW124" s="17">
        <f t="shared" si="3651"/>
        <v>183238.33999999997</v>
      </c>
      <c r="FX124" s="17">
        <f t="shared" si="3651"/>
        <v>197586.9</v>
      </c>
      <c r="FY124" s="17">
        <f t="shared" si="3651"/>
        <v>163817.81</v>
      </c>
      <c r="FZ124" s="17">
        <f t="shared" si="3651"/>
        <v>240508.82</v>
      </c>
      <c r="GA124" s="17">
        <f t="shared" si="3651"/>
        <v>114223.97199999999</v>
      </c>
      <c r="GB124" s="17">
        <f t="shared" si="3651"/>
        <v>134173.47</v>
      </c>
      <c r="GC124" s="17">
        <f t="shared" si="3651"/>
        <v>124457.62000000001</v>
      </c>
      <c r="GD124" s="17">
        <f t="shared" si="3651"/>
        <v>150320.50000000003</v>
      </c>
      <c r="GE124" s="17">
        <f t="shared" si="3651"/>
        <v>130196.06</v>
      </c>
      <c r="GF124" s="17">
        <f t="shared" si="3651"/>
        <v>151044.19999999998</v>
      </c>
      <c r="GG124" s="17">
        <f t="shared" si="3651"/>
        <v>156658.29999999999</v>
      </c>
      <c r="GH124" s="17">
        <f t="shared" si="3651"/>
        <v>144035.23000000001</v>
      </c>
      <c r="GI124" s="17">
        <f t="shared" si="3651"/>
        <v>150430.83000000002</v>
      </c>
      <c r="GJ124" s="17">
        <f t="shared" si="3651"/>
        <v>180355.99000000002</v>
      </c>
      <c r="GK124" s="17">
        <f t="shared" si="3651"/>
        <v>165189.19000000003</v>
      </c>
      <c r="GL124" s="17">
        <f t="shared" si="3651"/>
        <v>158636.38999999998</v>
      </c>
      <c r="GM124" s="17">
        <f t="shared" ref="GM124:GR124" si="3652">GM76+GM84+GM98+GM105+GM112+GM81</f>
        <v>193057.3</v>
      </c>
      <c r="GN124" s="17">
        <f t="shared" si="3652"/>
        <v>181871.62000000002</v>
      </c>
      <c r="GO124" s="17">
        <f t="shared" si="3652"/>
        <v>157674.58000000002</v>
      </c>
      <c r="GP124" s="17">
        <f t="shared" si="3652"/>
        <v>158170.29</v>
      </c>
      <c r="GQ124" s="17">
        <f t="shared" si="3652"/>
        <v>174596.52</v>
      </c>
      <c r="GR124" s="107">
        <f t="shared" si="3652"/>
        <v>166065.046</v>
      </c>
      <c r="GS124" s="153">
        <f>EQ124</f>
        <v>146010.90000000002</v>
      </c>
      <c r="GT124" s="5" t="s">
        <v>24</v>
      </c>
      <c r="GU124" s="5"/>
      <c r="GV124" s="5"/>
      <c r="GW124" s="58"/>
      <c r="GX124" s="58"/>
      <c r="GY124" s="58"/>
      <c r="GZ124" s="58"/>
      <c r="HA124" s="58"/>
    </row>
    <row r="125" spans="1:209" s="1" customFormat="1" ht="21.75" customHeight="1" x14ac:dyDescent="0.3">
      <c r="A125" s="172"/>
      <c r="B125" s="50" t="s">
        <v>116</v>
      </c>
      <c r="C125" s="51"/>
      <c r="D125" s="51">
        <f t="shared" ref="D125:AI125" si="3653">D118+D77</f>
        <v>118680.03</v>
      </c>
      <c r="E125" s="51">
        <f t="shared" si="3653"/>
        <v>114932.48999999999</v>
      </c>
      <c r="F125" s="51">
        <f t="shared" si="3653"/>
        <v>113421.45000000001</v>
      </c>
      <c r="G125" s="51">
        <f t="shared" si="3653"/>
        <v>125595.32999999999</v>
      </c>
      <c r="H125" s="51">
        <f t="shared" si="3653"/>
        <v>117281.69999999998</v>
      </c>
      <c r="I125" s="51">
        <f t="shared" si="3653"/>
        <v>92393.86</v>
      </c>
      <c r="J125" s="51">
        <f t="shared" si="3653"/>
        <v>103465.01999999999</v>
      </c>
      <c r="K125" s="51">
        <f t="shared" si="3653"/>
        <v>94982.51999999999</v>
      </c>
      <c r="L125" s="51">
        <f t="shared" si="3653"/>
        <v>92385.73000000001</v>
      </c>
      <c r="M125" s="51">
        <f t="shared" si="3653"/>
        <v>97691.329999999987</v>
      </c>
      <c r="N125" s="51">
        <f t="shared" si="3653"/>
        <v>84310.34</v>
      </c>
      <c r="O125" s="51">
        <f t="shared" si="3653"/>
        <v>92607.85</v>
      </c>
      <c r="P125" s="51">
        <f t="shared" si="3653"/>
        <v>105572.79999999999</v>
      </c>
      <c r="Q125" s="51">
        <f t="shared" si="3653"/>
        <v>87987.97</v>
      </c>
      <c r="R125" s="51">
        <f t="shared" si="3653"/>
        <v>101422.18</v>
      </c>
      <c r="S125" s="51">
        <f t="shared" si="3653"/>
        <v>95848.210000000021</v>
      </c>
      <c r="T125" s="51">
        <f t="shared" si="3653"/>
        <v>92372.94</v>
      </c>
      <c r="U125" s="51">
        <f t="shared" si="3653"/>
        <v>113887.66</v>
      </c>
      <c r="V125" s="51">
        <f t="shared" si="3653"/>
        <v>111187.28</v>
      </c>
      <c r="W125" s="51">
        <f t="shared" si="3653"/>
        <v>108400.74</v>
      </c>
      <c r="X125" s="51">
        <f t="shared" si="3653"/>
        <v>119580.20999999999</v>
      </c>
      <c r="Y125" s="51">
        <f t="shared" si="3653"/>
        <v>128860.47000000002</v>
      </c>
      <c r="Z125" s="51">
        <f t="shared" si="3653"/>
        <v>94009.200000000012</v>
      </c>
      <c r="AA125" s="51">
        <f t="shared" si="3653"/>
        <v>83632.760000000009</v>
      </c>
      <c r="AB125" s="51">
        <f t="shared" si="3653"/>
        <v>89808.849999999991</v>
      </c>
      <c r="AC125" s="51">
        <f t="shared" si="3653"/>
        <v>92688</v>
      </c>
      <c r="AD125" s="51">
        <f t="shared" si="3653"/>
        <v>101330.84999999999</v>
      </c>
      <c r="AE125" s="51">
        <f t="shared" si="3653"/>
        <v>100923.66</v>
      </c>
      <c r="AF125" s="51">
        <f t="shared" si="3653"/>
        <v>119226.56000000001</v>
      </c>
      <c r="AG125" s="51">
        <f t="shared" si="3653"/>
        <v>103624.57</v>
      </c>
      <c r="AH125" s="51">
        <f t="shared" si="3653"/>
        <v>108170.59999999999</v>
      </c>
      <c r="AI125" s="51">
        <f t="shared" si="3653"/>
        <v>102974.51000000001</v>
      </c>
      <c r="AJ125" s="51">
        <f t="shared" ref="AJ125:BO125" si="3654">AJ118+AJ77</f>
        <v>114416.37000000001</v>
      </c>
      <c r="AK125" s="51">
        <f t="shared" si="3654"/>
        <v>108228.24000000002</v>
      </c>
      <c r="AL125" s="51">
        <f t="shared" si="3654"/>
        <v>135090.42000000001</v>
      </c>
      <c r="AM125" s="51">
        <f t="shared" si="3654"/>
        <v>181174.38999999998</v>
      </c>
      <c r="AN125" s="51">
        <f t="shared" si="3654"/>
        <v>145901.71</v>
      </c>
      <c r="AO125" s="51">
        <f t="shared" si="3654"/>
        <v>126661.79</v>
      </c>
      <c r="AP125" s="51">
        <f t="shared" si="3654"/>
        <v>152735.69</v>
      </c>
      <c r="AQ125" s="51">
        <f t="shared" si="3654"/>
        <v>145012.10999999999</v>
      </c>
      <c r="AR125" s="51">
        <f t="shared" si="3654"/>
        <v>120407.41999999998</v>
      </c>
      <c r="AS125" s="51">
        <f t="shared" si="3654"/>
        <v>134923.44</v>
      </c>
      <c r="AT125" s="51">
        <f t="shared" si="3654"/>
        <v>150543.09</v>
      </c>
      <c r="AU125" s="51">
        <f t="shared" si="3654"/>
        <v>169770.01</v>
      </c>
      <c r="AV125" s="51">
        <f t="shared" si="3654"/>
        <v>139740.07999999999</v>
      </c>
      <c r="AW125" s="51">
        <f t="shared" si="3654"/>
        <v>154658.93</v>
      </c>
      <c r="AX125" s="51">
        <f t="shared" si="3654"/>
        <v>147365.32</v>
      </c>
      <c r="AY125" s="51">
        <f t="shared" si="3654"/>
        <v>154028.43</v>
      </c>
      <c r="AZ125" s="51">
        <f t="shared" si="3654"/>
        <v>147173.62000000002</v>
      </c>
      <c r="BA125" s="51">
        <f t="shared" si="3654"/>
        <v>153975.27000000002</v>
      </c>
      <c r="BB125" s="51">
        <f t="shared" si="3654"/>
        <v>160987.62</v>
      </c>
      <c r="BC125" s="51">
        <f t="shared" si="3654"/>
        <v>154538.02999999997</v>
      </c>
      <c r="BD125" s="51">
        <f t="shared" si="3654"/>
        <v>168000.82</v>
      </c>
      <c r="BE125" s="51">
        <f t="shared" si="3654"/>
        <v>156240.71000000002</v>
      </c>
      <c r="BF125" s="51">
        <f t="shared" si="3654"/>
        <v>151230.78000000003</v>
      </c>
      <c r="BG125" s="51">
        <f t="shared" si="3654"/>
        <v>163983.95000000001</v>
      </c>
      <c r="BH125" s="51">
        <f t="shared" si="3654"/>
        <v>173189.41999999998</v>
      </c>
      <c r="BI125" s="51">
        <f t="shared" si="3654"/>
        <v>161038.38</v>
      </c>
      <c r="BJ125" s="51">
        <f t="shared" si="3654"/>
        <v>153376.85</v>
      </c>
      <c r="BK125" s="51">
        <f t="shared" si="3654"/>
        <v>136889.26999999999</v>
      </c>
      <c r="BL125" s="51">
        <f t="shared" si="3654"/>
        <v>154051.35499999998</v>
      </c>
      <c r="BM125" s="51">
        <f t="shared" si="3654"/>
        <v>153032.56999999998</v>
      </c>
      <c r="BN125" s="51">
        <f t="shared" si="3654"/>
        <v>141877.91999999998</v>
      </c>
      <c r="BO125" s="51">
        <f t="shared" si="3654"/>
        <v>149201.94</v>
      </c>
      <c r="BP125" s="51">
        <f t="shared" ref="BP125:CU125" si="3655">BP118+BP77</f>
        <v>162154.19999999998</v>
      </c>
      <c r="BQ125" s="51">
        <f t="shared" si="3655"/>
        <v>149258.95000000001</v>
      </c>
      <c r="BR125" s="51">
        <f t="shared" si="3655"/>
        <v>158758.79999999999</v>
      </c>
      <c r="BS125" s="51">
        <f t="shared" si="3655"/>
        <v>160376.76999999999</v>
      </c>
      <c r="BT125" s="51">
        <f t="shared" si="3655"/>
        <v>166488.42000000001</v>
      </c>
      <c r="BU125" s="51">
        <f t="shared" si="3655"/>
        <v>173259.74</v>
      </c>
      <c r="BV125" s="51">
        <f t="shared" si="3655"/>
        <v>187612.41</v>
      </c>
      <c r="BW125" s="51">
        <f t="shared" si="3655"/>
        <v>195143.74</v>
      </c>
      <c r="BX125" s="51">
        <f t="shared" si="3655"/>
        <v>243061.36</v>
      </c>
      <c r="BY125" s="51">
        <f t="shared" si="3655"/>
        <v>211101.21</v>
      </c>
      <c r="BZ125" s="51">
        <f t="shared" si="3655"/>
        <v>158931.64999999997</v>
      </c>
      <c r="CA125" s="51">
        <f t="shared" si="3655"/>
        <v>144184.64000000001</v>
      </c>
      <c r="CB125" s="51">
        <f t="shared" si="3655"/>
        <v>146608.03</v>
      </c>
      <c r="CC125" s="51">
        <f t="shared" si="3655"/>
        <v>153800.99</v>
      </c>
      <c r="CD125" s="51">
        <f t="shared" si="3655"/>
        <v>159224.48000000001</v>
      </c>
      <c r="CE125" s="51">
        <f t="shared" si="3655"/>
        <v>165608.41</v>
      </c>
      <c r="CF125" s="51">
        <f t="shared" si="3655"/>
        <v>186553.55000000002</v>
      </c>
      <c r="CG125" s="51">
        <f t="shared" si="3655"/>
        <v>160395.31</v>
      </c>
      <c r="CH125" s="51">
        <f t="shared" si="3655"/>
        <v>166038.69</v>
      </c>
      <c r="CI125" s="51">
        <f t="shared" si="3655"/>
        <v>188573.77</v>
      </c>
      <c r="CJ125" s="51">
        <f t="shared" si="3655"/>
        <v>164642.87</v>
      </c>
      <c r="CK125" s="51">
        <f t="shared" si="3655"/>
        <v>176876.28000000003</v>
      </c>
      <c r="CL125" s="51">
        <f t="shared" si="3655"/>
        <v>233751.35</v>
      </c>
      <c r="CM125" s="51">
        <f t="shared" si="3655"/>
        <v>213685.8</v>
      </c>
      <c r="CN125" s="51">
        <f t="shared" si="3655"/>
        <v>203180.3</v>
      </c>
      <c r="CO125" s="51">
        <f t="shared" si="3655"/>
        <v>189207.5</v>
      </c>
      <c r="CP125" s="51">
        <f t="shared" si="3655"/>
        <v>190746.49</v>
      </c>
      <c r="CQ125" s="51">
        <f t="shared" si="3655"/>
        <v>214988.72000000003</v>
      </c>
      <c r="CR125" s="51">
        <f t="shared" si="3655"/>
        <v>206627.00999999998</v>
      </c>
      <c r="CS125" s="51">
        <f t="shared" si="3655"/>
        <v>189364.14999999997</v>
      </c>
      <c r="CT125" s="51">
        <f t="shared" si="3655"/>
        <v>219197.46999999997</v>
      </c>
      <c r="CU125" s="51">
        <f t="shared" si="3655"/>
        <v>224729.97999999998</v>
      </c>
      <c r="CV125" s="51">
        <f t="shared" ref="CV125:EA125" si="3656">CV118+CV77</f>
        <v>198147.67</v>
      </c>
      <c r="CW125" s="51">
        <f t="shared" si="3656"/>
        <v>234847.78</v>
      </c>
      <c r="CX125" s="51">
        <f t="shared" si="3656"/>
        <v>231099.85</v>
      </c>
      <c r="CY125" s="51">
        <f t="shared" si="3656"/>
        <v>236783.93000000002</v>
      </c>
      <c r="CZ125" s="51">
        <f t="shared" si="3656"/>
        <v>209660.83</v>
      </c>
      <c r="DA125" s="51">
        <f t="shared" si="3656"/>
        <v>235531.63</v>
      </c>
      <c r="DB125" s="51">
        <f t="shared" si="3656"/>
        <v>223806.8</v>
      </c>
      <c r="DC125" s="51">
        <f t="shared" si="3656"/>
        <v>231291.37</v>
      </c>
      <c r="DD125" s="51">
        <f t="shared" si="3656"/>
        <v>254782.47000000003</v>
      </c>
      <c r="DE125" s="51">
        <f t="shared" si="3656"/>
        <v>239612.65599999999</v>
      </c>
      <c r="DF125" s="51">
        <f t="shared" si="3656"/>
        <v>251958.69200000001</v>
      </c>
      <c r="DG125" s="51">
        <f t="shared" si="3656"/>
        <v>256347.13</v>
      </c>
      <c r="DH125" s="51">
        <f t="shared" si="3656"/>
        <v>261307.84</v>
      </c>
      <c r="DI125" s="51">
        <f t="shared" si="3656"/>
        <v>206444.57</v>
      </c>
      <c r="DJ125" s="51">
        <f t="shared" si="3656"/>
        <v>188670.14999999997</v>
      </c>
      <c r="DK125" s="51">
        <f t="shared" si="3656"/>
        <v>215476.065</v>
      </c>
      <c r="DL125" s="51">
        <f t="shared" si="3656"/>
        <v>216553.07</v>
      </c>
      <c r="DM125" s="51">
        <f t="shared" si="3656"/>
        <v>208856.39</v>
      </c>
      <c r="DN125" s="51">
        <f t="shared" si="3656"/>
        <v>200372.02</v>
      </c>
      <c r="DO125" s="51">
        <f t="shared" si="3656"/>
        <v>200286.5</v>
      </c>
      <c r="DP125" s="51">
        <f t="shared" si="3656"/>
        <v>219124.16000000003</v>
      </c>
      <c r="DQ125" s="51">
        <f t="shared" si="3656"/>
        <v>218598.87</v>
      </c>
      <c r="DR125" s="51">
        <f t="shared" si="3656"/>
        <v>201043.89</v>
      </c>
      <c r="DS125" s="51">
        <f t="shared" si="3656"/>
        <v>194581.11</v>
      </c>
      <c r="DT125" s="51">
        <f t="shared" si="3656"/>
        <v>208468.64166666666</v>
      </c>
      <c r="DU125" s="51">
        <f t="shared" si="3656"/>
        <v>267780.43333333335</v>
      </c>
      <c r="DV125" s="51">
        <f t="shared" si="3656"/>
        <v>248674.84333333332</v>
      </c>
      <c r="DW125" s="51">
        <f t="shared" si="3656"/>
        <v>291913.94666666666</v>
      </c>
      <c r="DX125" s="51">
        <f t="shared" si="3656"/>
        <v>320255.27333333332</v>
      </c>
      <c r="DY125" s="51">
        <f t="shared" si="3656"/>
        <v>305742.73000000004</v>
      </c>
      <c r="DZ125" s="51">
        <f t="shared" si="3656"/>
        <v>279733.29166666663</v>
      </c>
      <c r="EA125" s="51">
        <f t="shared" si="3656"/>
        <v>206449.74333333335</v>
      </c>
      <c r="EB125" s="51">
        <f t="shared" ref="EB125:FG125" si="3657">EB118+EB77</f>
        <v>215968.1</v>
      </c>
      <c r="EC125" s="51">
        <f t="shared" si="3657"/>
        <v>216367.90000000002</v>
      </c>
      <c r="ED125" s="51">
        <f t="shared" si="3657"/>
        <v>257969.31000000003</v>
      </c>
      <c r="EE125" s="51">
        <f t="shared" si="3657"/>
        <v>242880.31000000003</v>
      </c>
      <c r="EF125" s="51">
        <f t="shared" si="3657"/>
        <v>260965.41</v>
      </c>
      <c r="EG125" s="51">
        <f t="shared" si="3657"/>
        <v>278877.40000000002</v>
      </c>
      <c r="EH125" s="51">
        <f t="shared" si="3657"/>
        <v>268802.2</v>
      </c>
      <c r="EI125" s="51">
        <f t="shared" si="3657"/>
        <v>240135.76999999996</v>
      </c>
      <c r="EJ125" s="51">
        <f t="shared" si="3657"/>
        <v>263077.92</v>
      </c>
      <c r="EK125" s="51">
        <f t="shared" si="3657"/>
        <v>277344</v>
      </c>
      <c r="EL125" s="51">
        <f t="shared" si="3657"/>
        <v>308622.63</v>
      </c>
      <c r="EM125" s="51">
        <f t="shared" si="3657"/>
        <v>284456.14999999997</v>
      </c>
      <c r="EN125" s="51">
        <f t="shared" si="3657"/>
        <v>289607</v>
      </c>
      <c r="EO125" s="51">
        <f t="shared" si="3657"/>
        <v>339639.84</v>
      </c>
      <c r="EP125" s="51">
        <f t="shared" si="3657"/>
        <v>295566.56</v>
      </c>
      <c r="EQ125" s="51">
        <f t="shared" si="3657"/>
        <v>322821.52999999997</v>
      </c>
      <c r="ER125" s="51">
        <f t="shared" si="3657"/>
        <v>276214.02999999997</v>
      </c>
      <c r="ES125" s="51">
        <f t="shared" si="3657"/>
        <v>271421.84999999998</v>
      </c>
      <c r="ET125" s="51">
        <f t="shared" si="3657"/>
        <v>281470.40999999997</v>
      </c>
      <c r="EU125" s="51">
        <f t="shared" si="3657"/>
        <v>325371.26</v>
      </c>
      <c r="EV125" s="51">
        <f t="shared" si="3657"/>
        <v>270232.86</v>
      </c>
      <c r="EW125" s="51">
        <f t="shared" si="3657"/>
        <v>328313.63999999996</v>
      </c>
      <c r="EX125" s="51">
        <f t="shared" si="3657"/>
        <v>292888.06999999995</v>
      </c>
      <c r="EY125" s="51">
        <f t="shared" si="3657"/>
        <v>307143.65999999997</v>
      </c>
      <c r="EZ125" s="51">
        <f t="shared" si="3657"/>
        <v>308480.05000000005</v>
      </c>
      <c r="FA125" s="51">
        <f t="shared" si="3657"/>
        <v>294414.76</v>
      </c>
      <c r="FB125" s="51">
        <f t="shared" si="3657"/>
        <v>320258.84999999998</v>
      </c>
      <c r="FC125" s="51">
        <f t="shared" si="3657"/>
        <v>315672.71000000002</v>
      </c>
      <c r="FD125" s="51">
        <f t="shared" si="3657"/>
        <v>316313.08000000007</v>
      </c>
      <c r="FE125" s="51">
        <f t="shared" si="3657"/>
        <v>309424.35000000003</v>
      </c>
      <c r="FF125" s="51">
        <f t="shared" si="3657"/>
        <v>318992.51</v>
      </c>
      <c r="FG125" s="51">
        <f t="shared" si="3657"/>
        <v>336443.14999999997</v>
      </c>
      <c r="FH125" s="51">
        <f t="shared" ref="FH125:GN125" si="3658">FH118+FH77</f>
        <v>338419.66000000003</v>
      </c>
      <c r="FI125" s="51">
        <f t="shared" si="3658"/>
        <v>287287.40599999996</v>
      </c>
      <c r="FJ125" s="51">
        <f t="shared" si="3658"/>
        <v>294062.16200000007</v>
      </c>
      <c r="FK125" s="51">
        <f t="shared" si="3658"/>
        <v>293347.11800000002</v>
      </c>
      <c r="FL125" s="51">
        <f t="shared" si="3658"/>
        <v>278657.49800000002</v>
      </c>
      <c r="FM125" s="51">
        <f t="shared" si="3658"/>
        <v>286433.49800000002</v>
      </c>
      <c r="FN125" s="51">
        <f t="shared" si="3658"/>
        <v>295556.93999999994</v>
      </c>
      <c r="FO125" s="51">
        <f t="shared" si="3658"/>
        <v>274339.25</v>
      </c>
      <c r="FP125" s="51">
        <f t="shared" si="3658"/>
        <v>298423.5</v>
      </c>
      <c r="FQ125" s="51">
        <f t="shared" si="3658"/>
        <v>297743.53999999998</v>
      </c>
      <c r="FR125" s="51">
        <f t="shared" si="3658"/>
        <v>280960.87</v>
      </c>
      <c r="FS125" s="51">
        <f t="shared" si="3658"/>
        <v>289373.80499999999</v>
      </c>
      <c r="FT125" s="51">
        <f t="shared" si="3658"/>
        <v>289534.42</v>
      </c>
      <c r="FU125" s="51">
        <f t="shared" si="3658"/>
        <v>307458.13999999996</v>
      </c>
      <c r="FV125" s="51">
        <f t="shared" si="3658"/>
        <v>326993.77</v>
      </c>
      <c r="FW125" s="51">
        <f t="shared" si="3658"/>
        <v>351266.11</v>
      </c>
      <c r="FX125" s="51">
        <f t="shared" si="3658"/>
        <v>388266.2</v>
      </c>
      <c r="FY125" s="51">
        <f t="shared" si="3658"/>
        <v>357854.99</v>
      </c>
      <c r="FZ125" s="51">
        <f t="shared" si="3658"/>
        <v>437269.07</v>
      </c>
      <c r="GA125" s="51">
        <f t="shared" si="3658"/>
        <v>217670.962</v>
      </c>
      <c r="GB125" s="51">
        <f t="shared" si="3658"/>
        <v>254147.44</v>
      </c>
      <c r="GC125" s="51">
        <f t="shared" si="3658"/>
        <v>239853.91</v>
      </c>
      <c r="GD125" s="51">
        <f t="shared" si="3658"/>
        <v>277161.37</v>
      </c>
      <c r="GE125" s="51">
        <f t="shared" si="3658"/>
        <v>255914.53000000003</v>
      </c>
      <c r="GF125" s="51">
        <f t="shared" si="3658"/>
        <v>283022.27999999997</v>
      </c>
      <c r="GG125" s="51">
        <f t="shared" si="3658"/>
        <v>292041.64</v>
      </c>
      <c r="GH125" s="51">
        <f t="shared" si="3658"/>
        <v>274143.53999999998</v>
      </c>
      <c r="GI125" s="51">
        <f t="shared" si="3658"/>
        <v>277626.86</v>
      </c>
      <c r="GJ125" s="51">
        <f t="shared" si="3658"/>
        <v>313726.82</v>
      </c>
      <c r="GK125" s="51">
        <f t="shared" si="3658"/>
        <v>309769.18</v>
      </c>
      <c r="GL125" s="51">
        <f t="shared" si="3658"/>
        <v>291744.42</v>
      </c>
      <c r="GM125" s="51">
        <f t="shared" ref="GM125" si="3659">GM118+GM77</f>
        <v>400233.10000000003</v>
      </c>
      <c r="GN125" s="51">
        <f t="shared" si="3658"/>
        <v>359448.88</v>
      </c>
      <c r="GO125" s="51">
        <f t="shared" ref="GO125:GP125" si="3660">GO118+GO77</f>
        <v>316620.59999999998</v>
      </c>
      <c r="GP125" s="51">
        <f t="shared" si="3660"/>
        <v>330104.05</v>
      </c>
      <c r="GQ125" s="51">
        <f t="shared" ref="GQ125:GR125" si="3661">GQ118+GQ77</f>
        <v>363130.27</v>
      </c>
      <c r="GR125" s="115">
        <f t="shared" si="3661"/>
        <v>334738.67599999998</v>
      </c>
      <c r="GS125" s="154">
        <f t="shared" ref="GS125" si="3662">SUM(GS123+GS124)</f>
        <v>295822.31000000006</v>
      </c>
      <c r="GT125" s="88" t="s">
        <v>95</v>
      </c>
      <c r="GU125" s="88"/>
      <c r="GV125" s="88"/>
      <c r="GW125" s="56">
        <f>AVERAGE(ES125:GR125)</f>
        <v>306945.91701923066</v>
      </c>
      <c r="GX125" s="56">
        <f>AVERAGE(FS125:GR125)</f>
        <v>313042.88588461536</v>
      </c>
      <c r="GY125" s="56">
        <f>AVERAGE(GF125:GR125)</f>
        <v>318950.02430769231</v>
      </c>
      <c r="GZ125" s="56">
        <f>AVERAGE(GN125:GR125)</f>
        <v>340808.4952</v>
      </c>
      <c r="HA125" s="56">
        <f>MAX(D125:GR125)</f>
        <v>437269.07</v>
      </c>
    </row>
    <row r="126" spans="1:209" s="1" customFormat="1" ht="15" customHeight="1" thickBot="1" x14ac:dyDescent="0.35">
      <c r="A126" s="172"/>
      <c r="B126" s="35" t="s">
        <v>365</v>
      </c>
      <c r="C126" s="36"/>
      <c r="D126" s="43"/>
      <c r="E126" s="43">
        <f>SUM(E125-D125)</f>
        <v>-3747.5400000000081</v>
      </c>
      <c r="F126" s="43">
        <f t="shared" ref="F126:L126" si="3663">SUM(F125-E125)</f>
        <v>-1511.039999999979</v>
      </c>
      <c r="G126" s="43">
        <f t="shared" si="3663"/>
        <v>12173.879999999976</v>
      </c>
      <c r="H126" s="43">
        <f t="shared" si="3663"/>
        <v>-8313.6300000000047</v>
      </c>
      <c r="I126" s="43">
        <f t="shared" si="3663"/>
        <v>-24887.839999999982</v>
      </c>
      <c r="J126" s="43">
        <f t="shared" si="3663"/>
        <v>11071.159999999989</v>
      </c>
      <c r="K126" s="43">
        <f t="shared" si="3663"/>
        <v>-8482.5</v>
      </c>
      <c r="L126" s="43">
        <f t="shared" si="3663"/>
        <v>-2596.789999999979</v>
      </c>
      <c r="M126" s="43">
        <f t="shared" ref="M126" si="3664">SUM(M125-L125)</f>
        <v>5305.5999999999767</v>
      </c>
      <c r="N126" s="43">
        <f t="shared" ref="N126:P126" si="3665">SUM(N125-M125)</f>
        <v>-13380.989999999991</v>
      </c>
      <c r="O126" s="43">
        <f t="shared" si="3665"/>
        <v>8297.5100000000093</v>
      </c>
      <c r="P126" s="43">
        <f t="shared" si="3665"/>
        <v>12964.949999999983</v>
      </c>
      <c r="Q126" s="43">
        <f t="shared" ref="Q126" si="3666">SUM(Q125-P125)</f>
        <v>-17584.829999999987</v>
      </c>
      <c r="R126" s="43">
        <f t="shared" ref="R126:AN126" si="3667">SUM(R125-Q125)</f>
        <v>13434.209999999992</v>
      </c>
      <c r="S126" s="43">
        <f t="shared" si="3667"/>
        <v>-5573.9699999999721</v>
      </c>
      <c r="T126" s="43">
        <f t="shared" si="3667"/>
        <v>-3475.2700000000186</v>
      </c>
      <c r="U126" s="43">
        <f t="shared" si="3667"/>
        <v>21514.720000000001</v>
      </c>
      <c r="V126" s="43">
        <f t="shared" si="3667"/>
        <v>-2700.3800000000047</v>
      </c>
      <c r="W126" s="43">
        <f t="shared" si="3667"/>
        <v>-2786.5399999999936</v>
      </c>
      <c r="X126" s="43">
        <f t="shared" si="3667"/>
        <v>11179.469999999987</v>
      </c>
      <c r="Y126" s="43">
        <f t="shared" si="3667"/>
        <v>9280.2600000000239</v>
      </c>
      <c r="Z126" s="43">
        <f t="shared" si="3667"/>
        <v>-34851.270000000004</v>
      </c>
      <c r="AA126" s="43">
        <f t="shared" si="3667"/>
        <v>-10376.440000000002</v>
      </c>
      <c r="AB126" s="43">
        <f t="shared" si="3667"/>
        <v>6176.089999999982</v>
      </c>
      <c r="AC126" s="43">
        <f t="shared" si="3667"/>
        <v>2879.1500000000087</v>
      </c>
      <c r="AD126" s="43">
        <f t="shared" si="3667"/>
        <v>8642.8499999999913</v>
      </c>
      <c r="AE126" s="43">
        <f t="shared" si="3667"/>
        <v>-407.18999999998778</v>
      </c>
      <c r="AF126" s="43">
        <f t="shared" si="3667"/>
        <v>18302.900000000009</v>
      </c>
      <c r="AG126" s="43">
        <f t="shared" si="3667"/>
        <v>-15601.990000000005</v>
      </c>
      <c r="AH126" s="43">
        <f t="shared" si="3667"/>
        <v>4546.0299999999843</v>
      </c>
      <c r="AI126" s="43">
        <f t="shared" si="3667"/>
        <v>-5196.089999999982</v>
      </c>
      <c r="AJ126" s="43">
        <f t="shared" si="3667"/>
        <v>11441.86</v>
      </c>
      <c r="AK126" s="43">
        <f t="shared" si="3667"/>
        <v>-6188.1299999999901</v>
      </c>
      <c r="AL126" s="43">
        <f t="shared" si="3667"/>
        <v>26862.179999999993</v>
      </c>
      <c r="AM126" s="43">
        <f t="shared" si="3667"/>
        <v>46083.969999999972</v>
      </c>
      <c r="AN126" s="43">
        <f t="shared" si="3667"/>
        <v>-35272.679999999993</v>
      </c>
      <c r="AO126" s="43">
        <f t="shared" ref="AO126:BA126" si="3668">SUM(AO125-AN125)</f>
        <v>-19239.919999999998</v>
      </c>
      <c r="AP126" s="43">
        <f t="shared" si="3668"/>
        <v>26073.900000000009</v>
      </c>
      <c r="AQ126" s="43">
        <f t="shared" si="3668"/>
        <v>-7723.5800000000163</v>
      </c>
      <c r="AR126" s="43">
        <f t="shared" si="3668"/>
        <v>-24604.690000000002</v>
      </c>
      <c r="AS126" s="43">
        <f t="shared" si="3668"/>
        <v>14516.020000000019</v>
      </c>
      <c r="AT126" s="43">
        <f t="shared" si="3668"/>
        <v>15619.649999999994</v>
      </c>
      <c r="AU126" s="43">
        <f t="shared" si="3668"/>
        <v>19226.920000000013</v>
      </c>
      <c r="AV126" s="43">
        <f t="shared" si="3668"/>
        <v>-30029.930000000022</v>
      </c>
      <c r="AW126" s="43">
        <f t="shared" si="3668"/>
        <v>14918.850000000006</v>
      </c>
      <c r="AX126" s="43">
        <f t="shared" si="3668"/>
        <v>-7293.609999999986</v>
      </c>
      <c r="AY126" s="43">
        <f t="shared" si="3668"/>
        <v>6663.109999999986</v>
      </c>
      <c r="AZ126" s="43">
        <f t="shared" si="3668"/>
        <v>-6854.8099999999686</v>
      </c>
      <c r="BA126" s="43">
        <f t="shared" si="3668"/>
        <v>6801.6499999999942</v>
      </c>
      <c r="BB126" s="43">
        <f>SUM(BB125-BA125)</f>
        <v>7012.3499999999767</v>
      </c>
      <c r="BC126" s="43">
        <f t="shared" ref="BC126:CO126" si="3669">SUM(BC125-BB125)</f>
        <v>-6449.5900000000256</v>
      </c>
      <c r="BD126" s="43">
        <f t="shared" si="3669"/>
        <v>13462.790000000037</v>
      </c>
      <c r="BE126" s="43">
        <f t="shared" si="3669"/>
        <v>-11760.109999999986</v>
      </c>
      <c r="BF126" s="43">
        <f t="shared" si="3669"/>
        <v>-5009.929999999993</v>
      </c>
      <c r="BG126" s="43">
        <f t="shared" si="3669"/>
        <v>12753.169999999984</v>
      </c>
      <c r="BH126" s="43">
        <f t="shared" si="3669"/>
        <v>9205.4699999999721</v>
      </c>
      <c r="BI126" s="43">
        <f t="shared" si="3669"/>
        <v>-12151.039999999979</v>
      </c>
      <c r="BJ126" s="43">
        <f t="shared" si="3669"/>
        <v>-7661.5299999999988</v>
      </c>
      <c r="BK126" s="43">
        <f t="shared" si="3669"/>
        <v>-16487.580000000016</v>
      </c>
      <c r="BL126" s="43">
        <f t="shared" si="3669"/>
        <v>17162.084999999992</v>
      </c>
      <c r="BM126" s="43">
        <f t="shared" si="3669"/>
        <v>-1018.7850000000035</v>
      </c>
      <c r="BN126" s="43">
        <f t="shared" si="3669"/>
        <v>-11154.649999999994</v>
      </c>
      <c r="BO126" s="43">
        <f t="shared" si="3669"/>
        <v>7324.0200000000186</v>
      </c>
      <c r="BP126" s="43">
        <f t="shared" si="3669"/>
        <v>12952.25999999998</v>
      </c>
      <c r="BQ126" s="43">
        <f t="shared" si="3669"/>
        <v>-12895.249999999971</v>
      </c>
      <c r="BR126" s="43">
        <f t="shared" si="3669"/>
        <v>9499.8499999999767</v>
      </c>
      <c r="BS126" s="43">
        <f t="shared" si="3669"/>
        <v>1617.9700000000012</v>
      </c>
      <c r="BT126" s="43">
        <f t="shared" si="3669"/>
        <v>6111.6500000000233</v>
      </c>
      <c r="BU126" s="43">
        <f t="shared" si="3669"/>
        <v>6771.3199999999779</v>
      </c>
      <c r="BV126" s="43">
        <f t="shared" si="3669"/>
        <v>14352.670000000013</v>
      </c>
      <c r="BW126" s="43">
        <f t="shared" si="3669"/>
        <v>7531.3299999999872</v>
      </c>
      <c r="BX126" s="43">
        <f t="shared" si="3669"/>
        <v>47917.619999999995</v>
      </c>
      <c r="BY126" s="43">
        <f t="shared" si="3669"/>
        <v>-31960.149999999994</v>
      </c>
      <c r="BZ126" s="43">
        <f t="shared" si="3669"/>
        <v>-52169.560000000027</v>
      </c>
      <c r="CA126" s="43">
        <f t="shared" si="3669"/>
        <v>-14747.009999999951</v>
      </c>
      <c r="CB126" s="43">
        <f t="shared" si="3669"/>
        <v>2423.3899999999849</v>
      </c>
      <c r="CC126" s="43">
        <f t="shared" si="3669"/>
        <v>7192.9599999999919</v>
      </c>
      <c r="CD126" s="43">
        <f t="shared" si="3669"/>
        <v>5423.4900000000198</v>
      </c>
      <c r="CE126" s="43">
        <f t="shared" si="3669"/>
        <v>6383.929999999993</v>
      </c>
      <c r="CF126" s="43">
        <f t="shared" si="3669"/>
        <v>20945.140000000014</v>
      </c>
      <c r="CG126" s="43">
        <f t="shared" si="3669"/>
        <v>-26158.24000000002</v>
      </c>
      <c r="CH126" s="43">
        <f t="shared" si="3669"/>
        <v>5643.3800000000047</v>
      </c>
      <c r="CI126" s="43">
        <f t="shared" si="3669"/>
        <v>22535.079999999987</v>
      </c>
      <c r="CJ126" s="43">
        <f t="shared" si="3669"/>
        <v>-23930.899999999994</v>
      </c>
      <c r="CK126" s="43">
        <f t="shared" si="3669"/>
        <v>12233.410000000033</v>
      </c>
      <c r="CL126" s="43">
        <f t="shared" si="3669"/>
        <v>56875.069999999978</v>
      </c>
      <c r="CM126" s="43">
        <f t="shared" si="3669"/>
        <v>-20065.550000000017</v>
      </c>
      <c r="CN126" s="43">
        <f t="shared" si="3669"/>
        <v>-10505.5</v>
      </c>
      <c r="CO126" s="43">
        <f t="shared" si="3669"/>
        <v>-13972.799999999988</v>
      </c>
      <c r="CP126" s="43">
        <f t="shared" ref="CP126:DH126" si="3670">SUM(CP125-CO125)</f>
        <v>1538.9899999999907</v>
      </c>
      <c r="CQ126" s="43">
        <f t="shared" si="3670"/>
        <v>24242.23000000004</v>
      </c>
      <c r="CR126" s="43">
        <f t="shared" si="3670"/>
        <v>-8361.7100000000501</v>
      </c>
      <c r="CS126" s="43">
        <f t="shared" si="3670"/>
        <v>-17262.860000000015</v>
      </c>
      <c r="CT126" s="43">
        <f t="shared" si="3670"/>
        <v>29833.320000000007</v>
      </c>
      <c r="CU126" s="43">
        <f t="shared" si="3670"/>
        <v>5532.5100000000093</v>
      </c>
      <c r="CV126" s="43">
        <f t="shared" si="3670"/>
        <v>-26582.309999999969</v>
      </c>
      <c r="CW126" s="43">
        <f t="shared" si="3670"/>
        <v>36700.109999999986</v>
      </c>
      <c r="CX126" s="43">
        <f t="shared" si="3670"/>
        <v>-3747.929999999993</v>
      </c>
      <c r="CY126" s="43">
        <f t="shared" si="3670"/>
        <v>5684.0800000000163</v>
      </c>
      <c r="CZ126" s="43">
        <f t="shared" si="3670"/>
        <v>-27123.100000000035</v>
      </c>
      <c r="DA126" s="43">
        <f t="shared" si="3670"/>
        <v>25870.800000000017</v>
      </c>
      <c r="DB126" s="43">
        <f t="shared" si="3670"/>
        <v>-11724.830000000016</v>
      </c>
      <c r="DC126" s="43">
        <f t="shared" si="3670"/>
        <v>7484.570000000007</v>
      </c>
      <c r="DD126" s="43">
        <f t="shared" si="3670"/>
        <v>23491.100000000035</v>
      </c>
      <c r="DE126" s="43">
        <f t="shared" si="3670"/>
        <v>-15169.814000000042</v>
      </c>
      <c r="DF126" s="43">
        <f t="shared" si="3670"/>
        <v>12346.036000000022</v>
      </c>
      <c r="DG126" s="43">
        <f t="shared" si="3670"/>
        <v>4388.4379999999946</v>
      </c>
      <c r="DH126" s="43">
        <f t="shared" si="3670"/>
        <v>4960.7099999999919</v>
      </c>
      <c r="DI126" s="28">
        <f t="shared" ref="DI126" si="3671">SUM(DI125-DH125)/DH125</f>
        <v>-0.20995646361012357</v>
      </c>
      <c r="DJ126" s="28">
        <f t="shared" ref="DJ126" si="3672">SUM(DJ125-DI125)/DI125</f>
        <v>-8.6097784020185378E-2</v>
      </c>
      <c r="DK126" s="28">
        <f t="shared" ref="DK126" si="3673">SUM(DK125-DJ125)/DJ125</f>
        <v>0.1420781983795531</v>
      </c>
      <c r="DL126" s="28">
        <f t="shared" ref="DL126" si="3674">SUM(DL125-DK125)/DK125</f>
        <v>4.9982581592067062E-3</v>
      </c>
      <c r="DM126" s="28">
        <f t="shared" ref="DM126" si="3675">SUM(DM125-DL125)/DL125</f>
        <v>-3.5541772739587543E-2</v>
      </c>
      <c r="DN126" s="28">
        <f t="shared" ref="DN126" si="3676">SUM(DN125-DM125)/DM125</f>
        <v>-4.0622985008981642E-2</v>
      </c>
      <c r="DO126" s="28">
        <f t="shared" ref="DO126" si="3677">SUM(DO125-DN125)/DN125</f>
        <v>-4.2680609797710045E-4</v>
      </c>
      <c r="DP126" s="28">
        <f t="shared" ref="DP126" si="3678">SUM(DP125-DO125)/DO125</f>
        <v>9.4053568263462756E-2</v>
      </c>
      <c r="DQ126" s="28">
        <f t="shared" ref="DQ126" si="3679">SUM(DQ125-DP125)/DP125</f>
        <v>-2.3972253903907135E-3</v>
      </c>
      <c r="DR126" s="28">
        <f t="shared" ref="DR126" si="3680">SUM(DR125-DQ125)/DQ125</f>
        <v>-8.0306819518325884E-2</v>
      </c>
      <c r="DS126" s="28">
        <f t="shared" ref="DS126" si="3681">SUM(DS125-DR125)/DR125</f>
        <v>-3.2146114960270755E-2</v>
      </c>
      <c r="DT126" s="28">
        <f t="shared" ref="DT126" si="3682">SUM(DT125-DS125)/DS125</f>
        <v>7.1371427918499791E-2</v>
      </c>
      <c r="DU126" s="28">
        <f t="shared" ref="DU126" si="3683">SUM(DU125-DT125)/DT125</f>
        <v>0.28451181526622099</v>
      </c>
      <c r="DV126" s="28">
        <f t="shared" ref="DV126" si="3684">SUM(DV125-DU125)/DU125</f>
        <v>-7.1347968789853167E-2</v>
      </c>
      <c r="DW126" s="28">
        <f t="shared" ref="DW126" si="3685">SUM(DW125-DV125)/DV125</f>
        <v>0.17387807610025907</v>
      </c>
      <c r="DX126" s="28">
        <f t="shared" ref="DX126" si="3686">SUM(DX125-DW125)/DW125</f>
        <v>9.7087950028743611E-2</v>
      </c>
      <c r="DY126" s="28">
        <f t="shared" ref="DY126" si="3687">SUM(DY125-DX125)/DX125</f>
        <v>-4.5315548382018664E-2</v>
      </c>
      <c r="DZ126" s="28">
        <f t="shared" ref="DZ126" si="3688">SUM(DZ125-DY125)/DY125</f>
        <v>-8.5069686966337377E-2</v>
      </c>
      <c r="EA126" s="28">
        <f t="shared" ref="EA126" si="3689">SUM(EA125-DZ125)/DZ125</f>
        <v>-0.26197649874530771</v>
      </c>
      <c r="EB126" s="28">
        <f t="shared" ref="EB126" si="3690">SUM(EB125-EA125)/EA125</f>
        <v>4.6104957618176061E-2</v>
      </c>
      <c r="EC126" s="28">
        <f t="shared" ref="EC126" si="3691">SUM(EC125-EB125)/EB125</f>
        <v>1.8511993206404903E-3</v>
      </c>
      <c r="ED126" s="28">
        <f t="shared" ref="ED126" si="3692">SUM(ED125-EC125)/EC125</f>
        <v>0.19227163548751916</v>
      </c>
      <c r="EE126" s="28">
        <f t="shared" ref="EE126" si="3693">SUM(EE125-ED125)/ED125</f>
        <v>-5.8491453886510759E-2</v>
      </c>
      <c r="EF126" s="28">
        <f t="shared" ref="EF126" si="3694">SUM(EF125-EE125)/EE125</f>
        <v>7.4460955686362448E-2</v>
      </c>
      <c r="EG126" s="28">
        <f t="shared" ref="EG126" si="3695">SUM(EG125-EF125)/EF125</f>
        <v>6.8637410605489904E-2</v>
      </c>
      <c r="EH126" s="28">
        <f t="shared" ref="EH126" si="3696">SUM(EH125-EG125)/EG125</f>
        <v>-3.6127703428101419E-2</v>
      </c>
      <c r="EI126" s="28">
        <f t="shared" ref="EI126" si="3697">SUM(EI125-EH125)/EH125</f>
        <v>-0.10664507210134459</v>
      </c>
      <c r="EJ126" s="28">
        <f t="shared" ref="EJ126" si="3698">SUM(EJ125-EI125)/EI125</f>
        <v>9.5538244885383081E-2</v>
      </c>
      <c r="EK126" s="28">
        <f t="shared" ref="EK126" si="3699">SUM(EK125-EJ125)/EJ125</f>
        <v>5.4227583979681825E-2</v>
      </c>
      <c r="EL126" s="28">
        <f t="shared" ref="EL126" si="3700">SUM(EL125-EK125)/EK125</f>
        <v>0.11277918397369334</v>
      </c>
      <c r="EM126" s="28">
        <f t="shared" ref="EM126" si="3701">SUM(EM125-EL125)/EL125</f>
        <v>-7.8304303219760785E-2</v>
      </c>
      <c r="EN126" s="28">
        <f t="shared" ref="EN126" si="3702">SUM(EN125-EM125)/EM125</f>
        <v>1.8107711856467281E-2</v>
      </c>
      <c r="EO126" s="28">
        <f t="shared" ref="EO126" si="3703">SUM(EO125-EN125)/EN125</f>
        <v>0.17276115563505035</v>
      </c>
      <c r="EP126" s="28">
        <f t="shared" ref="EP126" si="3704">SUM(EP125-EO125)/EO125</f>
        <v>-0.12976475315734462</v>
      </c>
      <c r="EQ126" s="28">
        <f t="shared" ref="EQ126" si="3705">SUM(EQ125-EP125)/EP125</f>
        <v>9.2212630549274491E-2</v>
      </c>
      <c r="ER126" s="28">
        <f t="shared" ref="ER126" si="3706">SUM(ER125-EQ125)/EQ125</f>
        <v>-0.14437543865181485</v>
      </c>
      <c r="ES126" s="28">
        <f t="shared" ref="ES126" si="3707">SUM(ES125-ER125)/ER125</f>
        <v>-1.7349516966969396E-2</v>
      </c>
      <c r="ET126" s="28">
        <f t="shared" ref="ET126" si="3708">SUM(ET125-ES125)/ES125</f>
        <v>3.7021927306147236E-2</v>
      </c>
      <c r="EU126" s="28">
        <f t="shared" ref="EU126" si="3709">SUM(EU125-ET125)/ET125</f>
        <v>0.15596968079166842</v>
      </c>
      <c r="EV126" s="28">
        <f t="shared" ref="EV126" si="3710">SUM(EV125-EU125)/EU125</f>
        <v>-0.16946303124621401</v>
      </c>
      <c r="EW126" s="28">
        <f t="shared" ref="EW126" si="3711">SUM(EW125-EV125)/EV125</f>
        <v>0.21492863599193662</v>
      </c>
      <c r="EX126" s="28">
        <f t="shared" ref="EX126" si="3712">SUM(EX125-EW125)/EW125</f>
        <v>-0.10790160896147967</v>
      </c>
      <c r="EY126" s="28">
        <f t="shared" ref="EY126" si="3713">SUM(EY125-EX125)/EX125</f>
        <v>4.86724843384711E-2</v>
      </c>
      <c r="EZ126" s="28">
        <f t="shared" ref="EZ126" si="3714">SUM(EZ125-EY125)/EY125</f>
        <v>4.3510258359233988E-3</v>
      </c>
      <c r="FA126" s="28">
        <f t="shared" ref="FA126" si="3715">SUM(FA125-EZ125)/EZ125</f>
        <v>-4.5595460711316781E-2</v>
      </c>
      <c r="FB126" s="28">
        <f t="shared" ref="FB126" si="3716">SUM(FB125-FA125)/FA125</f>
        <v>8.778123080514022E-2</v>
      </c>
      <c r="FC126" s="28">
        <f t="shared" ref="FC126" si="3717">SUM(FC125-FB125)/FB125</f>
        <v>-1.4320103878471917E-2</v>
      </c>
      <c r="FD126" s="28">
        <f t="shared" ref="FD126" si="3718">SUM(FD125-FC125)/FC125</f>
        <v>2.0285884072780746E-3</v>
      </c>
      <c r="FE126" s="28">
        <f t="shared" ref="FE126" si="3719">SUM(FE125-FD125)/FD125</f>
        <v>-2.177820152110067E-2</v>
      </c>
      <c r="FF126" s="28">
        <f t="shared" ref="FF126" si="3720">SUM(FF125-FE125)/FE125</f>
        <v>3.0922453258768981E-2</v>
      </c>
      <c r="FG126" s="28">
        <f t="shared" ref="FG126" si="3721">SUM(FG125-FF125)/FF125</f>
        <v>5.4705485091170181E-2</v>
      </c>
      <c r="FH126" s="28">
        <f t="shared" ref="FH126" si="3722">SUM(FH125-FG125)/FG125</f>
        <v>5.8747220741455662E-3</v>
      </c>
      <c r="FI126" s="28">
        <f t="shared" ref="FI126" si="3723">SUM(FI125-FH125)/FH125</f>
        <v>-0.15109126343309981</v>
      </c>
      <c r="FJ126" s="28">
        <f t="shared" ref="FJ126" si="3724">SUM(FJ125-FI125)/FI125</f>
        <v>2.3581806436722506E-2</v>
      </c>
      <c r="FK126" s="28">
        <f t="shared" ref="FK126" si="3725">SUM(FK125-FJ125)/FJ125</f>
        <v>-2.4316083209646416E-3</v>
      </c>
      <c r="FL126" s="28">
        <f t="shared" ref="FL126" si="3726">SUM(FL125-FK125)/FK125</f>
        <v>-5.0075896774278157E-2</v>
      </c>
      <c r="FM126" s="28">
        <f t="shared" ref="FM126:GK126" si="3727">SUM(FM125-FL125)/FL125</f>
        <v>2.790522435538411E-2</v>
      </c>
      <c r="FN126" s="28">
        <f t="shared" si="3727"/>
        <v>3.1851868107968022E-2</v>
      </c>
      <c r="FO126" s="28">
        <f t="shared" si="3727"/>
        <v>-7.1788840417687197E-2</v>
      </c>
      <c r="FP126" s="28">
        <f t="shared" si="3727"/>
        <v>8.7790026399795149E-2</v>
      </c>
      <c r="FQ126" s="28">
        <f t="shared" si="3727"/>
        <v>-2.278506887024718E-3</v>
      </c>
      <c r="FR126" s="28">
        <f t="shared" si="3727"/>
        <v>-5.6366193536894149E-2</v>
      </c>
      <c r="FS126" s="28">
        <f t="shared" si="3727"/>
        <v>2.9943440166596856E-2</v>
      </c>
      <c r="FT126" s="28">
        <f t="shared" si="3727"/>
        <v>5.5504332881820689E-4</v>
      </c>
      <c r="FU126" s="28">
        <f t="shared" si="3727"/>
        <v>6.1905316818635842E-2</v>
      </c>
      <c r="FV126" s="28">
        <f t="shared" si="3727"/>
        <v>6.3539153655193734E-2</v>
      </c>
      <c r="FW126" s="28">
        <f t="shared" si="3727"/>
        <v>7.4228753654847809E-2</v>
      </c>
      <c r="FX126" s="28">
        <f t="shared" si="3727"/>
        <v>0.10533350342280394</v>
      </c>
      <c r="FY126" s="28">
        <f t="shared" si="3727"/>
        <v>-7.8325669347473509E-2</v>
      </c>
      <c r="FZ126" s="28">
        <f t="shared" si="3727"/>
        <v>0.22191692785952213</v>
      </c>
      <c r="GA126" s="28">
        <f t="shared" si="3727"/>
        <v>-0.50220361572795447</v>
      </c>
      <c r="GB126" s="28">
        <f t="shared" si="3727"/>
        <v>0.16757622452185425</v>
      </c>
      <c r="GC126" s="28">
        <f t="shared" si="3727"/>
        <v>-5.6241093752508381E-2</v>
      </c>
      <c r="GD126" s="28">
        <f t="shared" si="3727"/>
        <v>0.15554242997331164</v>
      </c>
      <c r="GE126" s="28">
        <f t="shared" si="3727"/>
        <v>-7.6658734945638227E-2</v>
      </c>
      <c r="GF126" s="28">
        <f t="shared" si="3727"/>
        <v>0.10592501332378407</v>
      </c>
      <c r="GG126" s="28">
        <f t="shared" si="3727"/>
        <v>3.1868021132470718E-2</v>
      </c>
      <c r="GH126" s="28">
        <f t="shared" si="3727"/>
        <v>-6.1286123444588364E-2</v>
      </c>
      <c r="GI126" s="28">
        <f t="shared" si="3727"/>
        <v>1.270619034101627E-2</v>
      </c>
      <c r="GJ126" s="28">
        <f t="shared" si="3727"/>
        <v>0.13003050209190861</v>
      </c>
      <c r="GK126" s="28">
        <f t="shared" si="3727"/>
        <v>-1.2614924028490819E-2</v>
      </c>
      <c r="GL126" s="28">
        <f t="shared" ref="GL126" si="3728">(GL125-GK125)/GK125</f>
        <v>-5.8187712541318701E-2</v>
      </c>
      <c r="GM126" s="28">
        <f t="shared" ref="GM126" si="3729">(GM125-GL125)/GL125</f>
        <v>0.37186205652193816</v>
      </c>
      <c r="GN126" s="28">
        <f t="shared" ref="GN126" si="3730">(GN125-GM125)/GM125</f>
        <v>-0.10190116709487552</v>
      </c>
      <c r="GO126" s="28">
        <f t="shared" ref="GO126:GR126" si="3731">(GO125-GN125)/GN125</f>
        <v>-0.11914984962534875</v>
      </c>
      <c r="GP126" s="28">
        <f t="shared" si="3731"/>
        <v>4.2585510860632607E-2</v>
      </c>
      <c r="GQ126" s="28">
        <f t="shared" si="3731"/>
        <v>0.10004790913652842</v>
      </c>
      <c r="GR126" s="165">
        <f t="shared" si="3731"/>
        <v>-7.8185699033022055E-2</v>
      </c>
      <c r="GS126" s="159"/>
      <c r="GT126" s="11"/>
      <c r="GU126" s="11"/>
      <c r="GV126" s="11"/>
      <c r="GW126" s="60"/>
      <c r="GX126" s="60"/>
      <c r="GY126" s="60"/>
      <c r="GZ126" s="60"/>
      <c r="HA126" s="60"/>
    </row>
    <row r="127" spans="1:209" s="1" customFormat="1" ht="15" customHeight="1" thickTop="1" x14ac:dyDescent="0.3">
      <c r="A127" s="172"/>
      <c r="B127" s="22" t="s">
        <v>91</v>
      </c>
      <c r="C127" s="23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25">
        <f t="shared" ref="BD127" si="3732">D125</f>
        <v>118680.03</v>
      </c>
      <c r="BE127" s="25">
        <f t="shared" ref="BE127" si="3733">E125</f>
        <v>114932.48999999999</v>
      </c>
      <c r="BF127" s="25">
        <f t="shared" ref="BF127" si="3734">F125</f>
        <v>113421.45000000001</v>
      </c>
      <c r="BG127" s="25">
        <f t="shared" ref="BG127" si="3735">G125</f>
        <v>125595.32999999999</v>
      </c>
      <c r="BH127" s="25">
        <f t="shared" ref="BH127" si="3736">H125</f>
        <v>117281.69999999998</v>
      </c>
      <c r="BI127" s="25">
        <f t="shared" ref="BI127" si="3737">I125</f>
        <v>92393.86</v>
      </c>
      <c r="BJ127" s="25">
        <f t="shared" ref="BJ127" si="3738">J125</f>
        <v>103465.01999999999</v>
      </c>
      <c r="BK127" s="25">
        <f t="shared" ref="BK127" si="3739">K125</f>
        <v>94982.51999999999</v>
      </c>
      <c r="BL127" s="25">
        <f t="shared" ref="BL127" si="3740">L125</f>
        <v>92385.73000000001</v>
      </c>
      <c r="BM127" s="25">
        <f t="shared" ref="BM127" si="3741">M125</f>
        <v>97691.329999999987</v>
      </c>
      <c r="BN127" s="25">
        <f t="shared" ref="BN127" si="3742">N125</f>
        <v>84310.34</v>
      </c>
      <c r="BO127" s="25">
        <f t="shared" ref="BO127" si="3743">O125</f>
        <v>92607.85</v>
      </c>
      <c r="BP127" s="25">
        <f t="shared" ref="BP127" si="3744">P125</f>
        <v>105572.79999999999</v>
      </c>
      <c r="BQ127" s="25">
        <f t="shared" ref="BQ127" si="3745">Q125</f>
        <v>87987.97</v>
      </c>
      <c r="BR127" s="25">
        <f t="shared" ref="BR127" si="3746">R125</f>
        <v>101422.18</v>
      </c>
      <c r="BS127" s="25">
        <f t="shared" ref="BS127" si="3747">S125</f>
        <v>95848.210000000021</v>
      </c>
      <c r="BT127" s="25">
        <f t="shared" ref="BT127" si="3748">T125</f>
        <v>92372.94</v>
      </c>
      <c r="BU127" s="25">
        <f t="shared" ref="BU127" si="3749">U125</f>
        <v>113887.66</v>
      </c>
      <c r="BV127" s="25">
        <f t="shared" ref="BV127" si="3750">V125</f>
        <v>111187.28</v>
      </c>
      <c r="BW127" s="25">
        <f t="shared" ref="BW127" si="3751">W125</f>
        <v>108400.74</v>
      </c>
      <c r="BX127" s="25">
        <f t="shared" ref="BX127" si="3752">X125</f>
        <v>119580.20999999999</v>
      </c>
      <c r="BY127" s="25">
        <f t="shared" ref="BY127" si="3753">Y125</f>
        <v>128860.47000000002</v>
      </c>
      <c r="BZ127" s="25">
        <f t="shared" ref="BZ127" si="3754">Z125</f>
        <v>94009.200000000012</v>
      </c>
      <c r="CA127" s="25">
        <f t="shared" ref="CA127" si="3755">AA125</f>
        <v>83632.760000000009</v>
      </c>
      <c r="CB127" s="25">
        <f t="shared" ref="CB127" si="3756">AB125</f>
        <v>89808.849999999991</v>
      </c>
      <c r="CC127" s="25">
        <f t="shared" ref="CC127" si="3757">AC125</f>
        <v>92688</v>
      </c>
      <c r="CD127" s="25">
        <f t="shared" ref="CD127" si="3758">AD125</f>
        <v>101330.84999999999</v>
      </c>
      <c r="CE127" s="25">
        <f t="shared" ref="CE127" si="3759">AE125</f>
        <v>100923.66</v>
      </c>
      <c r="CF127" s="25">
        <f t="shared" ref="CF127" si="3760">AF125</f>
        <v>119226.56000000001</v>
      </c>
      <c r="CG127" s="25">
        <f t="shared" ref="CG127" si="3761">AG125</f>
        <v>103624.57</v>
      </c>
      <c r="CH127" s="25">
        <f t="shared" ref="CH127" si="3762">AH125</f>
        <v>108170.59999999999</v>
      </c>
      <c r="CI127" s="25">
        <f t="shared" ref="CI127" si="3763">AI125</f>
        <v>102974.51000000001</v>
      </c>
      <c r="CJ127" s="25">
        <f t="shared" ref="CJ127" si="3764">AJ125</f>
        <v>114416.37000000001</v>
      </c>
      <c r="CK127" s="25">
        <f t="shared" ref="CK127" si="3765">AK125</f>
        <v>108228.24000000002</v>
      </c>
      <c r="CL127" s="25">
        <f t="shared" ref="CL127" si="3766">AL125</f>
        <v>135090.42000000001</v>
      </c>
      <c r="CM127" s="25">
        <f t="shared" ref="CM127" si="3767">AM125</f>
        <v>181174.38999999998</v>
      </c>
      <c r="CN127" s="25">
        <f t="shared" ref="CN127" si="3768">AN125</f>
        <v>145901.71</v>
      </c>
      <c r="CO127" s="25">
        <f t="shared" ref="CO127" si="3769">AO125</f>
        <v>126661.79</v>
      </c>
      <c r="CP127" s="25">
        <f t="shared" ref="CP127" si="3770">AP125</f>
        <v>152735.69</v>
      </c>
      <c r="CQ127" s="25">
        <f t="shared" ref="CQ127" si="3771">AQ125</f>
        <v>145012.10999999999</v>
      </c>
      <c r="CR127" s="25">
        <f t="shared" ref="CR127" si="3772">AR125</f>
        <v>120407.41999999998</v>
      </c>
      <c r="CS127" s="25">
        <f t="shared" ref="CS127" si="3773">AS125</f>
        <v>134923.44</v>
      </c>
      <c r="CT127" s="25">
        <f t="shared" ref="CT127" si="3774">AT125</f>
        <v>150543.09</v>
      </c>
      <c r="CU127" s="25">
        <f t="shared" ref="CU127" si="3775">AU125</f>
        <v>169770.01</v>
      </c>
      <c r="CV127" s="25">
        <f t="shared" ref="CV127" si="3776">AV125</f>
        <v>139740.07999999999</v>
      </c>
      <c r="CW127" s="25">
        <f t="shared" ref="CW127" si="3777">AW125</f>
        <v>154658.93</v>
      </c>
      <c r="CX127" s="25">
        <f t="shared" ref="CX127" si="3778">AX125</f>
        <v>147365.32</v>
      </c>
      <c r="CY127" s="25">
        <f t="shared" ref="CY127" si="3779">AY125</f>
        <v>154028.43</v>
      </c>
      <c r="CZ127" s="25">
        <f t="shared" ref="CZ127" si="3780">AZ125</f>
        <v>147173.62000000002</v>
      </c>
      <c r="DA127" s="25">
        <f t="shared" ref="DA127" si="3781">BA125</f>
        <v>153975.27000000002</v>
      </c>
      <c r="DB127" s="25">
        <f t="shared" ref="DB127" si="3782">BB125</f>
        <v>160987.62</v>
      </c>
      <c r="DC127" s="25">
        <f t="shared" ref="DC127" si="3783">BC125</f>
        <v>154538.02999999997</v>
      </c>
      <c r="DD127" s="25">
        <f t="shared" ref="DD127" si="3784">BD125</f>
        <v>168000.82</v>
      </c>
      <c r="DE127" s="25">
        <f t="shared" ref="DE127" si="3785">BE125</f>
        <v>156240.71000000002</v>
      </c>
      <c r="DF127" s="25">
        <f t="shared" ref="DF127" si="3786">BF125</f>
        <v>151230.78000000003</v>
      </c>
      <c r="DG127" s="25">
        <f t="shared" ref="DG127" si="3787">BG125</f>
        <v>163983.95000000001</v>
      </c>
      <c r="DH127" s="25">
        <f t="shared" ref="DH127" si="3788">BH125</f>
        <v>173189.41999999998</v>
      </c>
      <c r="DI127" s="25">
        <f t="shared" ref="DI127" si="3789">BI125</f>
        <v>161038.38</v>
      </c>
      <c r="DJ127" s="25">
        <f t="shared" ref="DJ127" si="3790">BJ125</f>
        <v>153376.85</v>
      </c>
      <c r="DK127" s="25">
        <f t="shared" ref="DK127" si="3791">BK125</f>
        <v>136889.26999999999</v>
      </c>
      <c r="DL127" s="25">
        <f t="shared" ref="DL127" si="3792">BL125</f>
        <v>154051.35499999998</v>
      </c>
      <c r="DM127" s="25">
        <f t="shared" ref="DM127" si="3793">BM125</f>
        <v>153032.56999999998</v>
      </c>
      <c r="DN127" s="25">
        <f t="shared" ref="DN127" si="3794">BN125</f>
        <v>141877.91999999998</v>
      </c>
      <c r="DO127" s="25">
        <f t="shared" ref="DO127" si="3795">BO125</f>
        <v>149201.94</v>
      </c>
      <c r="DP127" s="25">
        <f t="shared" ref="DP127" si="3796">BP125</f>
        <v>162154.19999999998</v>
      </c>
      <c r="DQ127" s="25">
        <f t="shared" ref="DQ127" si="3797">BQ125</f>
        <v>149258.95000000001</v>
      </c>
      <c r="DR127" s="25">
        <f t="shared" ref="DR127" si="3798">BR125</f>
        <v>158758.79999999999</v>
      </c>
      <c r="DS127" s="25">
        <f t="shared" ref="DS127" si="3799">BS125</f>
        <v>160376.76999999999</v>
      </c>
      <c r="DT127" s="25">
        <f t="shared" ref="DT127" si="3800">BT125</f>
        <v>166488.42000000001</v>
      </c>
      <c r="DU127" s="25">
        <f t="shared" ref="DU127" si="3801">BU125</f>
        <v>173259.74</v>
      </c>
      <c r="DV127" s="25">
        <f t="shared" ref="DV127" si="3802">BV125</f>
        <v>187612.41</v>
      </c>
      <c r="DW127" s="25">
        <f t="shared" ref="DW127:FM127" si="3803">BW125</f>
        <v>195143.74</v>
      </c>
      <c r="DX127" s="25">
        <f t="shared" si="3803"/>
        <v>243061.36</v>
      </c>
      <c r="DY127" s="25">
        <f t="shared" si="3803"/>
        <v>211101.21</v>
      </c>
      <c r="DZ127" s="25">
        <f t="shared" si="3803"/>
        <v>158931.64999999997</v>
      </c>
      <c r="EA127" s="25">
        <f t="shared" si="3803"/>
        <v>144184.64000000001</v>
      </c>
      <c r="EB127" s="25">
        <f t="shared" si="3803"/>
        <v>146608.03</v>
      </c>
      <c r="EC127" s="25">
        <f t="shared" si="3803"/>
        <v>153800.99</v>
      </c>
      <c r="ED127" s="25">
        <f t="shared" si="3803"/>
        <v>159224.48000000001</v>
      </c>
      <c r="EE127" s="25">
        <f t="shared" si="3803"/>
        <v>165608.41</v>
      </c>
      <c r="EF127" s="25">
        <f t="shared" si="3803"/>
        <v>186553.55000000002</v>
      </c>
      <c r="EG127" s="25">
        <f t="shared" si="3803"/>
        <v>160395.31</v>
      </c>
      <c r="EH127" s="25">
        <f t="shared" si="3803"/>
        <v>166038.69</v>
      </c>
      <c r="EI127" s="25">
        <f t="shared" si="3803"/>
        <v>188573.77</v>
      </c>
      <c r="EJ127" s="25">
        <f t="shared" si="3803"/>
        <v>164642.87</v>
      </c>
      <c r="EK127" s="25">
        <f t="shared" si="3803"/>
        <v>176876.28000000003</v>
      </c>
      <c r="EL127" s="25">
        <f t="shared" si="3803"/>
        <v>233751.35</v>
      </c>
      <c r="EM127" s="25">
        <f t="shared" si="3803"/>
        <v>213685.8</v>
      </c>
      <c r="EN127" s="25">
        <f t="shared" si="3803"/>
        <v>203180.3</v>
      </c>
      <c r="EO127" s="25">
        <f t="shared" si="3803"/>
        <v>189207.5</v>
      </c>
      <c r="EP127" s="25">
        <f t="shared" si="3803"/>
        <v>190746.49</v>
      </c>
      <c r="EQ127" s="25">
        <f t="shared" si="3803"/>
        <v>214988.72000000003</v>
      </c>
      <c r="ER127" s="25">
        <f t="shared" si="3803"/>
        <v>206627.00999999998</v>
      </c>
      <c r="ES127" s="25">
        <f t="shared" si="3803"/>
        <v>189364.14999999997</v>
      </c>
      <c r="ET127" s="25">
        <f t="shared" si="3803"/>
        <v>219197.46999999997</v>
      </c>
      <c r="EU127" s="25">
        <f t="shared" si="3803"/>
        <v>224729.97999999998</v>
      </c>
      <c r="EV127" s="25">
        <f t="shared" si="3803"/>
        <v>198147.67</v>
      </c>
      <c r="EW127" s="25">
        <f t="shared" si="3803"/>
        <v>234847.78</v>
      </c>
      <c r="EX127" s="25">
        <f t="shared" si="3803"/>
        <v>231099.85</v>
      </c>
      <c r="EY127" s="25">
        <f t="shared" si="3803"/>
        <v>236783.93000000002</v>
      </c>
      <c r="EZ127" s="25">
        <f t="shared" si="3803"/>
        <v>209660.83</v>
      </c>
      <c r="FA127" s="25">
        <f t="shared" si="3803"/>
        <v>235531.63</v>
      </c>
      <c r="FB127" s="25">
        <f t="shared" si="3803"/>
        <v>223806.8</v>
      </c>
      <c r="FC127" s="25">
        <f t="shared" si="3803"/>
        <v>231291.37</v>
      </c>
      <c r="FD127" s="25">
        <f t="shared" si="3803"/>
        <v>254782.47000000003</v>
      </c>
      <c r="FE127" s="25">
        <f t="shared" si="3803"/>
        <v>239612.65599999999</v>
      </c>
      <c r="FF127" s="25">
        <f t="shared" si="3803"/>
        <v>251958.69200000001</v>
      </c>
      <c r="FG127" s="25">
        <f t="shared" si="3803"/>
        <v>256347.13</v>
      </c>
      <c r="FH127" s="25">
        <f t="shared" si="3803"/>
        <v>261307.84</v>
      </c>
      <c r="FI127" s="25">
        <f t="shared" si="3803"/>
        <v>206444.57</v>
      </c>
      <c r="FJ127" s="25">
        <f t="shared" si="3803"/>
        <v>188670.14999999997</v>
      </c>
      <c r="FK127" s="25">
        <f t="shared" si="3803"/>
        <v>215476.065</v>
      </c>
      <c r="FL127" s="25">
        <f t="shared" si="3803"/>
        <v>216553.07</v>
      </c>
      <c r="FM127" s="25">
        <f t="shared" si="3803"/>
        <v>208856.39</v>
      </c>
      <c r="FN127" s="25">
        <f t="shared" ref="FN127" si="3804">DN125</f>
        <v>200372.02</v>
      </c>
      <c r="FO127" s="25">
        <f t="shared" ref="FO127" si="3805">DO125</f>
        <v>200286.5</v>
      </c>
      <c r="FP127" s="25">
        <f t="shared" ref="FP127:GL127" si="3806">DP125</f>
        <v>219124.16000000003</v>
      </c>
      <c r="FQ127" s="25">
        <f t="shared" si="3806"/>
        <v>218598.87</v>
      </c>
      <c r="FR127" s="25">
        <f t="shared" si="3806"/>
        <v>201043.89</v>
      </c>
      <c r="FS127" s="25">
        <f t="shared" si="3806"/>
        <v>194581.11</v>
      </c>
      <c r="FT127" s="25">
        <f t="shared" si="3806"/>
        <v>208468.64166666666</v>
      </c>
      <c r="FU127" s="25">
        <f t="shared" si="3806"/>
        <v>267780.43333333335</v>
      </c>
      <c r="FV127" s="25">
        <f t="shared" si="3806"/>
        <v>248674.84333333332</v>
      </c>
      <c r="FW127" s="25">
        <f t="shared" si="3806"/>
        <v>291913.94666666666</v>
      </c>
      <c r="FX127" s="25">
        <f t="shared" si="3806"/>
        <v>320255.27333333332</v>
      </c>
      <c r="FY127" s="25">
        <f t="shared" si="3806"/>
        <v>305742.73000000004</v>
      </c>
      <c r="FZ127" s="25">
        <f t="shared" si="3806"/>
        <v>279733.29166666663</v>
      </c>
      <c r="GA127" s="25">
        <f t="shared" si="3806"/>
        <v>206449.74333333335</v>
      </c>
      <c r="GB127" s="25">
        <f t="shared" si="3806"/>
        <v>215968.1</v>
      </c>
      <c r="GC127" s="25">
        <f t="shared" si="3806"/>
        <v>216367.90000000002</v>
      </c>
      <c r="GD127" s="25">
        <f t="shared" si="3806"/>
        <v>257969.31000000003</v>
      </c>
      <c r="GE127" s="25">
        <f t="shared" si="3806"/>
        <v>242880.31000000003</v>
      </c>
      <c r="GF127" s="25">
        <f t="shared" si="3806"/>
        <v>260965.41</v>
      </c>
      <c r="GG127" s="25">
        <f t="shared" si="3806"/>
        <v>278877.40000000002</v>
      </c>
      <c r="GH127" s="25">
        <f t="shared" si="3806"/>
        <v>268802.2</v>
      </c>
      <c r="GI127" s="25">
        <f t="shared" si="3806"/>
        <v>240135.76999999996</v>
      </c>
      <c r="GJ127" s="25">
        <f t="shared" si="3806"/>
        <v>263077.92</v>
      </c>
      <c r="GK127" s="25">
        <f t="shared" si="3806"/>
        <v>277344</v>
      </c>
      <c r="GL127" s="25">
        <f t="shared" si="3806"/>
        <v>308622.63</v>
      </c>
      <c r="GM127" s="25">
        <f t="shared" ref="GM127:GR127" si="3807">EL125</f>
        <v>308622.63</v>
      </c>
      <c r="GN127" s="25">
        <f t="shared" si="3807"/>
        <v>284456.14999999997</v>
      </c>
      <c r="GO127" s="25">
        <f t="shared" si="3807"/>
        <v>289607</v>
      </c>
      <c r="GP127" s="25">
        <f t="shared" si="3807"/>
        <v>339639.84</v>
      </c>
      <c r="GQ127" s="25">
        <f t="shared" si="3807"/>
        <v>295566.56</v>
      </c>
      <c r="GR127" s="110">
        <f t="shared" si="3807"/>
        <v>322821.52999999997</v>
      </c>
      <c r="GS127" s="159"/>
      <c r="GT127" s="11"/>
      <c r="GU127" s="11"/>
      <c r="GV127" s="11"/>
      <c r="GW127" s="60"/>
      <c r="GX127" s="60"/>
      <c r="GY127" s="60"/>
      <c r="GZ127" s="60"/>
      <c r="HA127" s="60"/>
    </row>
    <row r="128" spans="1:209" s="1" customFormat="1" ht="15" customHeight="1" x14ac:dyDescent="0.3">
      <c r="A128" s="172"/>
      <c r="B128" s="26" t="s">
        <v>366</v>
      </c>
      <c r="C128" s="27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28">
        <f t="shared" ref="BD128" si="3808">(BD125-BD127)/BD127</f>
        <v>0.41557783563081346</v>
      </c>
      <c r="BE128" s="28">
        <f t="shared" ref="BE128" si="3809">(BE125-BE127)/BE127</f>
        <v>0.35941290404480086</v>
      </c>
      <c r="BF128" s="28">
        <f t="shared" ref="BF128" si="3810">(BF125-BF127)/BF127</f>
        <v>0.33335255368362876</v>
      </c>
      <c r="BG128" s="28">
        <f t="shared" ref="BG128" si="3811">(BG125-BG127)/BG127</f>
        <v>0.30565324363573093</v>
      </c>
      <c r="BH128" s="28">
        <f t="shared" ref="BH128" si="3812">(BH125-BH127)/BH127</f>
        <v>0.47669602333526895</v>
      </c>
      <c r="BI128" s="28">
        <f t="shared" ref="BI128" si="3813">(BI125-BI127)/BI127</f>
        <v>0.74295543015520737</v>
      </c>
      <c r="BJ128" s="28">
        <f t="shared" ref="BJ128" si="3814">(BJ125-BJ127)/BJ127</f>
        <v>0.48240294159320729</v>
      </c>
      <c r="BK128" s="28">
        <f t="shared" ref="BK128" si="3815">(BK125-BK127)/BK127</f>
        <v>0.44120486590585306</v>
      </c>
      <c r="BL128" s="28">
        <f t="shared" ref="BL128" si="3816">(BL125-BL127)/BL127</f>
        <v>0.66747997769785405</v>
      </c>
      <c r="BM128" s="28">
        <f t="shared" ref="BM128" si="3817">(BM125-BM127)/BM127</f>
        <v>0.56649080322685752</v>
      </c>
      <c r="BN128" s="28">
        <f t="shared" ref="BN128" si="3818">(BN125-BN127)/BN127</f>
        <v>0.6828056914489965</v>
      </c>
      <c r="BO128" s="28">
        <f t="shared" ref="BO128:BX128" si="3819">(BO125-BO127)/BO127</f>
        <v>0.61111547239245911</v>
      </c>
      <c r="BP128" s="28">
        <f t="shared" si="3819"/>
        <v>0.53594675901368538</v>
      </c>
      <c r="BQ128" s="28">
        <f t="shared" si="3819"/>
        <v>0.69635633143940034</v>
      </c>
      <c r="BR128" s="28">
        <f t="shared" si="3819"/>
        <v>0.56532624323397507</v>
      </c>
      <c r="BS128" s="28">
        <f t="shared" si="3819"/>
        <v>0.67323698585503011</v>
      </c>
      <c r="BT128" s="28">
        <f t="shared" si="3819"/>
        <v>0.80235055850771886</v>
      </c>
      <c r="BU128" s="28">
        <f t="shared" si="3819"/>
        <v>0.52132144957583626</v>
      </c>
      <c r="BV128" s="28">
        <f t="shared" si="3819"/>
        <v>0.68735497441793703</v>
      </c>
      <c r="BW128" s="28">
        <f t="shared" si="3819"/>
        <v>0.80020671445600811</v>
      </c>
      <c r="BX128" s="28">
        <f t="shared" si="3819"/>
        <v>1.0326219530806979</v>
      </c>
      <c r="BY128" s="28">
        <f t="shared" ref="BY128:CI128" si="3820">(BY125-BY127)/BY127</f>
        <v>0.63821542789654551</v>
      </c>
      <c r="BZ128" s="28">
        <f t="shared" si="3820"/>
        <v>0.69059677137982178</v>
      </c>
      <c r="CA128" s="28">
        <f t="shared" si="3820"/>
        <v>0.72402106542938438</v>
      </c>
      <c r="CB128" s="28">
        <f t="shared" si="3820"/>
        <v>0.63244524342534181</v>
      </c>
      <c r="CC128" s="28">
        <f t="shared" si="3820"/>
        <v>0.65934090712929383</v>
      </c>
      <c r="CD128" s="28">
        <f t="shared" si="3820"/>
        <v>0.57133271851563494</v>
      </c>
      <c r="CE128" s="28">
        <f t="shared" si="3820"/>
        <v>0.64092750897064177</v>
      </c>
      <c r="CF128" s="28">
        <f t="shared" si="3820"/>
        <v>0.56469791630321298</v>
      </c>
      <c r="CG128" s="28">
        <f t="shared" si="3820"/>
        <v>0.54785018649534556</v>
      </c>
      <c r="CH128" s="28">
        <f t="shared" si="3820"/>
        <v>0.53497059274886172</v>
      </c>
      <c r="CI128" s="28">
        <f t="shared" si="3820"/>
        <v>0.83126649498016525</v>
      </c>
      <c r="CJ128" s="28">
        <f t="shared" ref="CJ128:CN128" si="3821">(CJ125-CJ127)/CJ127</f>
        <v>0.43898001658329122</v>
      </c>
      <c r="CK128" s="28">
        <f t="shared" si="3821"/>
        <v>0.63428953478315819</v>
      </c>
      <c r="CL128" s="28">
        <f t="shared" si="3821"/>
        <v>0.73033254319588303</v>
      </c>
      <c r="CM128" s="28">
        <f t="shared" si="3821"/>
        <v>0.17944815489650609</v>
      </c>
      <c r="CN128" s="28">
        <f t="shared" si="3821"/>
        <v>0.39258340426578964</v>
      </c>
      <c r="CO128" s="28">
        <f t="shared" ref="CO128:CZ128" si="3822">(CO125-CO127)/CO127</f>
        <v>0.49380093238852862</v>
      </c>
      <c r="CP128" s="28">
        <f t="shared" si="3822"/>
        <v>0.24886652229089343</v>
      </c>
      <c r="CQ128" s="28">
        <f t="shared" si="3822"/>
        <v>0.48255700851466854</v>
      </c>
      <c r="CR128" s="28">
        <f t="shared" si="3822"/>
        <v>0.71606542188180766</v>
      </c>
      <c r="CS128" s="28">
        <f t="shared" si="3822"/>
        <v>0.40349334407720377</v>
      </c>
      <c r="CT128" s="28">
        <f t="shared" si="3822"/>
        <v>0.45604471118534884</v>
      </c>
      <c r="CU128" s="28">
        <f t="shared" si="3822"/>
        <v>0.32373191236779669</v>
      </c>
      <c r="CV128" s="28">
        <f t="shared" si="3822"/>
        <v>0.41797306828506203</v>
      </c>
      <c r="CW128" s="28">
        <f t="shared" si="3822"/>
        <v>0.51848832783208842</v>
      </c>
      <c r="CX128" s="28">
        <f t="shared" si="3822"/>
        <v>0.56821055320206948</v>
      </c>
      <c r="CY128" s="28">
        <f t="shared" si="3822"/>
        <v>0.53727419022579159</v>
      </c>
      <c r="CZ128" s="28">
        <f t="shared" si="3822"/>
        <v>0.42458159281534252</v>
      </c>
      <c r="DA128" s="28">
        <f t="shared" ref="DA128:DB128" si="3823">(DA125-DA127)/DA127</f>
        <v>0.52967181028485921</v>
      </c>
      <c r="DB128" s="28">
        <f t="shared" si="3823"/>
        <v>0.39021124729963702</v>
      </c>
      <c r="DC128" s="28">
        <f t="shared" ref="DC128:DD128" si="3824">(DC125-DC127)/DC127</f>
        <v>0.49666311910408101</v>
      </c>
      <c r="DD128" s="28">
        <f t="shared" si="3824"/>
        <v>0.51655491919622787</v>
      </c>
      <c r="DE128" s="28">
        <f t="shared" ref="DE128:DF128" si="3825">(DE125-DE127)/DE127</f>
        <v>0.53361218084582407</v>
      </c>
      <c r="DF128" s="28">
        <f t="shared" si="3825"/>
        <v>0.66605430455360981</v>
      </c>
      <c r="DG128" s="28">
        <f t="shared" ref="DG128:DH128" si="3826">(DG125-DG127)/DG127</f>
        <v>0.56324524442788448</v>
      </c>
      <c r="DH128" s="28">
        <f t="shared" si="3826"/>
        <v>0.5087979392736578</v>
      </c>
      <c r="DI128" s="28">
        <f t="shared" ref="DI128:DJ128" si="3827">(DI125-DI127)/DI127</f>
        <v>0.28195881006751311</v>
      </c>
      <c r="DJ128" s="28">
        <f t="shared" si="3827"/>
        <v>0.23010838989065141</v>
      </c>
      <c r="DK128" s="28">
        <f t="shared" ref="DK128:DL128" si="3828">(DK125-DK127)/DK127</f>
        <v>0.57409024827146804</v>
      </c>
      <c r="DL128" s="28">
        <f t="shared" si="3828"/>
        <v>0.40571999512759904</v>
      </c>
      <c r="DM128" s="28">
        <f t="shared" ref="DM128:DN128" si="3829">(DM125-DM127)/DM127</f>
        <v>0.36478391495352946</v>
      </c>
      <c r="DN128" s="28">
        <f t="shared" si="3829"/>
        <v>0.41228473042175989</v>
      </c>
      <c r="DO128" s="28">
        <f t="shared" ref="DO128:DP128" si="3830">(DO125-DO127)/DO127</f>
        <v>0.3423853604048312</v>
      </c>
      <c r="DP128" s="28">
        <f t="shared" si="3830"/>
        <v>0.35133200373471707</v>
      </c>
      <c r="DQ128" s="28">
        <f t="shared" ref="DQ128:DR128" si="3831">(DQ125-DQ127)/DQ127</f>
        <v>0.46456122061692101</v>
      </c>
      <c r="DR128" s="28">
        <f t="shared" si="3831"/>
        <v>0.26634800716558721</v>
      </c>
      <c r="DS128" s="28">
        <f t="shared" ref="DS128:DT128" si="3832">(DS125-DS127)/DS127</f>
        <v>0.21327490259343668</v>
      </c>
      <c r="DT128" s="28">
        <f t="shared" si="3832"/>
        <v>0.25215100045196326</v>
      </c>
      <c r="DU128" s="28">
        <f t="shared" ref="DU128:DV128" si="3833">(DU125-DU127)/DU127</f>
        <v>0.54554331741080397</v>
      </c>
      <c r="DV128" s="28">
        <f t="shared" si="3833"/>
        <v>0.32547118462650376</v>
      </c>
      <c r="DW128" s="28">
        <f t="shared" ref="DW128:DX128" si="3834">(DW125-DW127)/DW127</f>
        <v>0.49589193415410954</v>
      </c>
      <c r="DX128" s="28">
        <f t="shared" si="3834"/>
        <v>0.3175902304394797</v>
      </c>
      <c r="DY128" s="28">
        <f t="shared" ref="DY128:DZ128" si="3835">(DY125-DY127)/DY127</f>
        <v>0.44832296318907905</v>
      </c>
      <c r="DZ128" s="28">
        <f t="shared" si="3835"/>
        <v>0.76008549377463008</v>
      </c>
      <c r="EA128" s="28">
        <f t="shared" ref="EA128:EB128" si="3836">(EA125-EA127)/EA127</f>
        <v>0.43184283244965155</v>
      </c>
      <c r="EB128" s="28">
        <f t="shared" si="3836"/>
        <v>0.47309871089598576</v>
      </c>
      <c r="EC128" s="28">
        <f t="shared" ref="EC128:ED128" si="3837">(EC125-EC127)/EC127</f>
        <v>0.40680433851563658</v>
      </c>
      <c r="ED128" s="28">
        <f t="shared" si="3837"/>
        <v>0.62016110839237792</v>
      </c>
      <c r="EE128" s="28">
        <f t="shared" ref="EE128:EF128" si="3838">(EE125-EE127)/EE127</f>
        <v>0.46659405763270129</v>
      </c>
      <c r="EF128" s="28">
        <f t="shared" si="3838"/>
        <v>0.39887667642883223</v>
      </c>
      <c r="EG128" s="28">
        <f t="shared" ref="EG128:EH128" si="3839">(EG125-EG127)/EG127</f>
        <v>0.73868799530360352</v>
      </c>
      <c r="EH128" s="28">
        <f t="shared" si="3839"/>
        <v>0.61891303767814598</v>
      </c>
      <c r="EI128" s="28">
        <f t="shared" ref="EI128:EJ128" si="3840">(EI125-EI127)/EI127</f>
        <v>0.27343145337763558</v>
      </c>
      <c r="EJ128" s="28">
        <f t="shared" si="3840"/>
        <v>0.59787010515547978</v>
      </c>
      <c r="EK128" s="28">
        <f t="shared" ref="EK128:EL128" si="3841">(EK125-EK127)/EK127</f>
        <v>0.56801126753683395</v>
      </c>
      <c r="EL128" s="28">
        <f t="shared" si="3841"/>
        <v>0.32030309129765455</v>
      </c>
      <c r="EM128" s="28">
        <f t="shared" ref="EM128:EN128" si="3842">(EM125-EM127)/EM127</f>
        <v>0.33118882958062718</v>
      </c>
      <c r="EN128" s="28">
        <f t="shared" si="3842"/>
        <v>0.4253694871008657</v>
      </c>
      <c r="EO128" s="28">
        <f t="shared" ref="EO128:EP128" si="3843">(EO125-EO127)/EO127</f>
        <v>0.79506541759708271</v>
      </c>
      <c r="EP128" s="28">
        <f t="shared" si="3843"/>
        <v>0.54952555090266675</v>
      </c>
      <c r="EQ128" s="28">
        <f t="shared" ref="EQ128:ER128" si="3844">(EQ125-EQ127)/EQ127</f>
        <v>0.50157426864069854</v>
      </c>
      <c r="ER128" s="28">
        <f t="shared" si="3844"/>
        <v>0.33677601006760927</v>
      </c>
      <c r="ES128" s="28">
        <f t="shared" ref="ES128:ET128" si="3845">(ES125-ES127)/ES127</f>
        <v>0.43333281405165669</v>
      </c>
      <c r="ET128" s="28">
        <f t="shared" si="3845"/>
        <v>0.28409515858006945</v>
      </c>
      <c r="EU128" s="28">
        <f t="shared" ref="EU128:EV128" si="3846">(EU125-EU127)/EU127</f>
        <v>0.44783201600427336</v>
      </c>
      <c r="EV128" s="28">
        <f t="shared" si="3846"/>
        <v>0.36379529469107547</v>
      </c>
      <c r="EW128" s="28">
        <f t="shared" ref="EW128:EX128" si="3847">(EW125-EW127)/EW127</f>
        <v>0.39798485640358172</v>
      </c>
      <c r="EX128" s="28">
        <f t="shared" si="3847"/>
        <v>0.26736590266068949</v>
      </c>
      <c r="EY128" s="28">
        <f t="shared" ref="EY128:EZ128" si="3848">(EY125-EY127)/EY127</f>
        <v>0.2971474035421236</v>
      </c>
      <c r="EZ128" s="28">
        <f t="shared" si="3848"/>
        <v>0.47132895543721764</v>
      </c>
      <c r="FA128" s="28">
        <f t="shared" ref="FA128:FB128" si="3849">(FA125-FA127)/FA127</f>
        <v>0.2500009446714227</v>
      </c>
      <c r="FB128" s="28">
        <f t="shared" si="3849"/>
        <v>0.43096121297476214</v>
      </c>
      <c r="FC128" s="28">
        <f t="shared" ref="FC128:FD128" si="3850">(FC125-FC127)/FC127</f>
        <v>0.36482701451420357</v>
      </c>
      <c r="FD128" s="28">
        <f t="shared" si="3850"/>
        <v>0.24150252566434433</v>
      </c>
      <c r="FE128" s="28">
        <f t="shared" ref="FE128:FF128" si="3851">(FE125-FE127)/FE127</f>
        <v>0.29135228149217646</v>
      </c>
      <c r="FF128" s="28">
        <f t="shared" si="3851"/>
        <v>0.26605082550595238</v>
      </c>
      <c r="FG128" s="28">
        <f t="shared" ref="FG128:FH128" si="3852">(FG125-FG127)/FG127</f>
        <v>0.31245140134785188</v>
      </c>
      <c r="FH128" s="28">
        <f t="shared" si="3852"/>
        <v>0.29509952705590475</v>
      </c>
      <c r="FI128" s="28">
        <f t="shared" ref="FI128:FJ128" si="3853">(FI125-FI127)/FI127</f>
        <v>0.3915958458001581</v>
      </c>
      <c r="FJ128" s="28">
        <f t="shared" si="3853"/>
        <v>0.55860459113431626</v>
      </c>
      <c r="FK128" s="28">
        <f t="shared" ref="FK128:FL128" si="3854">(FK125-FK127)/FK127</f>
        <v>0.36139073265515598</v>
      </c>
      <c r="FL128" s="28">
        <f t="shared" si="3854"/>
        <v>0.28678618132728395</v>
      </c>
      <c r="FM128" s="28">
        <f t="shared" ref="FM128:FN128" si="3855">(FM125-FM127)/FM127</f>
        <v>0.3714375605170615</v>
      </c>
      <c r="FN128" s="28">
        <f t="shared" si="3855"/>
        <v>0.47504097628002134</v>
      </c>
      <c r="FO128" s="28">
        <f t="shared" ref="FO128:FP128" si="3856">(FO125-FO127)/FO127</f>
        <v>0.36973410589330785</v>
      </c>
      <c r="FP128" s="28">
        <f t="shared" si="3856"/>
        <v>0.36189227148663095</v>
      </c>
      <c r="FQ128" s="28">
        <f t="shared" ref="FQ128:FR128" si="3857">(FQ125-FQ127)/FQ127</f>
        <v>0.36205434181796087</v>
      </c>
      <c r="FR128" s="28">
        <f t="shared" si="3857"/>
        <v>0.39751011582595214</v>
      </c>
      <c r="FS128" s="28">
        <f t="shared" ref="FS128:FT128" si="3858">(FS125-FS127)/FS127</f>
        <v>0.48716288544144914</v>
      </c>
      <c r="FT128" s="28">
        <f t="shared" si="3858"/>
        <v>0.38886317714370866</v>
      </c>
      <c r="FU128" s="28">
        <f t="shared" ref="FU128:FV128" si="3859">(FU125-FU127)/FU127</f>
        <v>0.14817253886984252</v>
      </c>
      <c r="FV128" s="28">
        <f t="shared" si="3859"/>
        <v>0.31494511313186996</v>
      </c>
      <c r="FW128" s="28">
        <f t="shared" ref="FW128:FX128" si="3860">(FW125-FW127)/FW127</f>
        <v>0.20332075260901089</v>
      </c>
      <c r="FX128" s="28">
        <f t="shared" si="3860"/>
        <v>0.21236473628922403</v>
      </c>
      <c r="FY128" s="28">
        <f t="shared" ref="FY128:FZ128" si="3861">(FY125-FY127)/FY127</f>
        <v>0.17044480501629572</v>
      </c>
      <c r="FZ128" s="28">
        <f t="shared" si="3861"/>
        <v>0.56316421043318221</v>
      </c>
      <c r="GA128" s="28">
        <f t="shared" ref="GA128:GB128" si="3862">(GA125-GA127)/GA127</f>
        <v>5.4353270125160176E-2</v>
      </c>
      <c r="GB128" s="28">
        <f t="shared" si="3862"/>
        <v>0.17678231183216409</v>
      </c>
      <c r="GC128" s="28">
        <f t="shared" ref="GC128:GD128" si="3863">(GC125-GC127)/GC127</f>
        <v>0.10854664670683579</v>
      </c>
      <c r="GD128" s="28">
        <f t="shared" si="3863"/>
        <v>7.4396679201878577E-2</v>
      </c>
      <c r="GE128" s="28">
        <f t="shared" ref="GE128:GF128" si="3864">(GE125-GE127)/GE127</f>
        <v>5.3665198302818372E-2</v>
      </c>
      <c r="GF128" s="28">
        <f t="shared" si="3864"/>
        <v>8.4520281825855637E-2</v>
      </c>
      <c r="GG128" s="28">
        <f t="shared" ref="GG128:GH128" si="3865">(GG125-GG127)/GG127</f>
        <v>4.7204398778818185E-2</v>
      </c>
      <c r="GH128" s="28">
        <f t="shared" si="3865"/>
        <v>1.987089391381457E-2</v>
      </c>
      <c r="GI128" s="28">
        <f t="shared" ref="GI128:GJ128" si="3866">(GI125-GI127)/GI127</f>
        <v>0.15612455403874245</v>
      </c>
      <c r="GJ128" s="28">
        <f t="shared" si="3866"/>
        <v>0.19252432891365429</v>
      </c>
      <c r="GK128" s="28">
        <f t="shared" ref="GK128:GL128" si="3867">(GK125-GK127)/GK127</f>
        <v>0.11691321968385829</v>
      </c>
      <c r="GL128" s="28">
        <f t="shared" si="3867"/>
        <v>-5.468882823012694E-2</v>
      </c>
      <c r="GM128" s="28">
        <f t="shared" ref="GM128:GN128" si="3868">(GM125-GM127)/GM127</f>
        <v>0.29683652815738115</v>
      </c>
      <c r="GN128" s="28">
        <f t="shared" si="3868"/>
        <v>0.2636354671888797</v>
      </c>
      <c r="GO128" s="28">
        <f t="shared" ref="GO128:GP128" si="3869">(GO125-GO127)/GO127</f>
        <v>9.3276750907263908E-2</v>
      </c>
      <c r="GP128" s="28">
        <f t="shared" si="3869"/>
        <v>-2.8076182111026894E-2</v>
      </c>
      <c r="GQ128" s="28">
        <f t="shared" ref="GQ128:GR128" si="3870">(GQ125-GQ127)/GQ127</f>
        <v>0.22859050766771458</v>
      </c>
      <c r="GR128" s="109">
        <f t="shared" si="3870"/>
        <v>3.691558614445576E-2</v>
      </c>
      <c r="GS128" s="159"/>
      <c r="GT128" s="11"/>
      <c r="GU128" s="11"/>
      <c r="GV128" s="11"/>
      <c r="GW128" s="60"/>
      <c r="GX128" s="60"/>
      <c r="GY128" s="60"/>
      <c r="GZ128" s="60"/>
      <c r="HA128" s="60"/>
    </row>
    <row r="129" spans="1:204" s="2" customFormat="1" ht="7.5" customHeight="1" x14ac:dyDescent="0.3">
      <c r="A129" s="8"/>
      <c r="B129" s="29"/>
      <c r="C129" s="30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  <c r="EW129" s="32"/>
      <c r="EX129" s="32"/>
      <c r="EY129" s="32"/>
      <c r="EZ129" s="32"/>
      <c r="FA129" s="32"/>
      <c r="FB129" s="32"/>
      <c r="FC129" s="32"/>
      <c r="FD129" s="32"/>
      <c r="FE129" s="32"/>
      <c r="FF129" s="32"/>
      <c r="FG129" s="32"/>
      <c r="FH129" s="32"/>
      <c r="FI129" s="32"/>
      <c r="FJ129" s="32"/>
      <c r="FK129" s="32"/>
      <c r="FL129" s="32"/>
      <c r="FM129" s="32"/>
      <c r="FN129" s="32"/>
      <c r="FO129" s="32"/>
      <c r="FP129" s="32"/>
      <c r="FQ129" s="32"/>
      <c r="FR129" s="32"/>
      <c r="FS129" s="32"/>
      <c r="FT129" s="32"/>
      <c r="FU129" s="32"/>
      <c r="FV129" s="32"/>
      <c r="FW129" s="32"/>
      <c r="FX129" s="32"/>
      <c r="FY129" s="32"/>
      <c r="FZ129" s="32"/>
      <c r="GA129" s="32"/>
      <c r="GB129" s="32"/>
      <c r="GC129" s="32"/>
      <c r="GD129" s="32"/>
      <c r="GE129" s="32"/>
      <c r="GF129" s="32"/>
      <c r="GG129" s="32"/>
      <c r="GH129" s="32"/>
      <c r="GI129" s="32"/>
      <c r="GJ129" s="32"/>
      <c r="GK129" s="32"/>
      <c r="GL129" s="32"/>
      <c r="GM129" s="32"/>
      <c r="GN129" s="32"/>
      <c r="GO129" s="32"/>
      <c r="GP129" s="32"/>
      <c r="GQ129" s="32"/>
      <c r="GR129" s="111"/>
      <c r="GS129" s="156"/>
      <c r="GT129" s="9"/>
      <c r="GU129" s="9"/>
      <c r="GV129" s="9"/>
    </row>
    <row r="130" spans="1:204" ht="15" customHeight="1" x14ac:dyDescent="0.3"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16"/>
      <c r="GS130" s="162"/>
    </row>
    <row r="131" spans="1:204" ht="15" customHeight="1" x14ac:dyDescent="0.3">
      <c r="B131" s="90" t="s">
        <v>117</v>
      </c>
      <c r="C131" s="91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89"/>
      <c r="BM131" s="89"/>
      <c r="BN131" s="89"/>
      <c r="BO131" s="89"/>
      <c r="BP131" s="89"/>
      <c r="BQ131" s="89"/>
      <c r="BR131" s="89"/>
      <c r="BS131" s="89"/>
      <c r="BT131" s="89"/>
      <c r="BU131" s="89"/>
      <c r="BV131" s="89"/>
      <c r="BW131" s="89"/>
      <c r="BX131" s="89"/>
      <c r="BY131" s="89"/>
      <c r="BZ131" s="89"/>
      <c r="CA131" s="89"/>
      <c r="CB131" s="89"/>
      <c r="CC131" s="89"/>
      <c r="CD131" s="89"/>
      <c r="CE131" s="89"/>
      <c r="CF131" s="89"/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  <c r="CS131" s="89"/>
      <c r="CT131" s="89"/>
      <c r="CU131" s="89"/>
      <c r="CV131" s="89"/>
      <c r="CW131" s="89"/>
      <c r="CX131" s="89"/>
      <c r="CY131" s="89"/>
      <c r="CZ131" s="89"/>
      <c r="DA131" s="89"/>
      <c r="DB131" s="89"/>
      <c r="DC131" s="89"/>
      <c r="DD131" s="89"/>
      <c r="DE131" s="89"/>
      <c r="DF131" s="89"/>
      <c r="DG131" s="89"/>
      <c r="DH131" s="89">
        <f t="shared" ref="DH131:EK131" si="3871">DH106+DH99+DH49+DH42+DH35+DH28+DH21+DH14+DH7+DH113</f>
        <v>221331.3</v>
      </c>
      <c r="DI131" s="89">
        <f t="shared" si="3871"/>
        <v>181834.22999999998</v>
      </c>
      <c r="DJ131" s="89">
        <f t="shared" si="3871"/>
        <v>160806.72</v>
      </c>
      <c r="DK131" s="89">
        <f t="shared" si="3871"/>
        <v>186543.27499999997</v>
      </c>
      <c r="DL131" s="89">
        <f t="shared" si="3871"/>
        <v>192752.36000000002</v>
      </c>
      <c r="DM131" s="89">
        <f t="shared" si="3871"/>
        <v>185741.61000000002</v>
      </c>
      <c r="DN131" s="89">
        <f t="shared" si="3871"/>
        <v>178932.27</v>
      </c>
      <c r="DO131" s="89">
        <f t="shared" si="3871"/>
        <v>177886.3</v>
      </c>
      <c r="DP131" s="89">
        <f t="shared" si="3871"/>
        <v>190903.6</v>
      </c>
      <c r="DQ131" s="89">
        <f t="shared" si="3871"/>
        <v>195062.92</v>
      </c>
      <c r="DR131" s="89">
        <f t="shared" si="3871"/>
        <v>176836.83999999997</v>
      </c>
      <c r="DS131" s="89">
        <f t="shared" si="3871"/>
        <v>170650.41</v>
      </c>
      <c r="DT131" s="89">
        <f t="shared" si="3871"/>
        <v>159368.24000000002</v>
      </c>
      <c r="DU131" s="89">
        <f t="shared" si="3871"/>
        <v>204279.78999999998</v>
      </c>
      <c r="DV131" s="89">
        <f t="shared" si="3871"/>
        <v>187618.12</v>
      </c>
      <c r="DW131" s="89">
        <f t="shared" si="3871"/>
        <v>221803.88</v>
      </c>
      <c r="DX131" s="89">
        <f t="shared" si="3871"/>
        <v>236365.49</v>
      </c>
      <c r="DY131" s="89">
        <f t="shared" si="3871"/>
        <v>237604.63</v>
      </c>
      <c r="DZ131" s="89">
        <f t="shared" si="3871"/>
        <v>221866.6</v>
      </c>
      <c r="EA131" s="89">
        <f t="shared" si="3871"/>
        <v>160514.71</v>
      </c>
      <c r="EB131" s="89">
        <f t="shared" si="3871"/>
        <v>168297.33999999997</v>
      </c>
      <c r="EC131" s="89">
        <f t="shared" si="3871"/>
        <v>168995.57</v>
      </c>
      <c r="ED131" s="89">
        <f t="shared" si="3871"/>
        <v>176320.36000000002</v>
      </c>
      <c r="EE131" s="89">
        <f t="shared" si="3871"/>
        <v>163771.18</v>
      </c>
      <c r="EF131" s="89">
        <f t="shared" si="3871"/>
        <v>176702</v>
      </c>
      <c r="EG131" s="89">
        <f t="shared" si="3871"/>
        <v>188306.21</v>
      </c>
      <c r="EH131" s="89">
        <f t="shared" si="3871"/>
        <v>182564.85</v>
      </c>
      <c r="EI131" s="89">
        <f t="shared" si="3871"/>
        <v>160336.99</v>
      </c>
      <c r="EJ131" s="89">
        <f t="shared" si="3871"/>
        <v>182615.27</v>
      </c>
      <c r="EK131" s="89">
        <f t="shared" si="3871"/>
        <v>189617.71999999997</v>
      </c>
      <c r="EL131" s="89">
        <f t="shared" ref="EL131:EV131" si="3872">EL106+EL99+EL49+EL42+EL35+EL28+EL21+EL14+EL7+EL113+EL92</f>
        <v>235555.69999999998</v>
      </c>
      <c r="EM131" s="89">
        <f t="shared" si="3872"/>
        <v>215387.8</v>
      </c>
      <c r="EN131" s="89">
        <f t="shared" si="3872"/>
        <v>222242.69999999998</v>
      </c>
      <c r="EO131" s="89">
        <f t="shared" si="3872"/>
        <v>258431.43999999997</v>
      </c>
      <c r="EP131" s="89">
        <f t="shared" si="3872"/>
        <v>225546.02000000002</v>
      </c>
      <c r="EQ131" s="89">
        <f t="shared" si="3872"/>
        <v>240119.87</v>
      </c>
      <c r="ER131" s="89">
        <f t="shared" si="3872"/>
        <v>210963.79</v>
      </c>
      <c r="ES131" s="89">
        <f t="shared" si="3872"/>
        <v>207311.43999999997</v>
      </c>
      <c r="ET131" s="89">
        <f t="shared" si="3872"/>
        <v>217277.6</v>
      </c>
      <c r="EU131" s="89">
        <f t="shared" si="3872"/>
        <v>255500.41999999998</v>
      </c>
      <c r="EV131" s="89">
        <f t="shared" si="3872"/>
        <v>207668.02000000002</v>
      </c>
      <c r="EW131" s="89">
        <f t="shared" ref="EW131:FS131" si="3873">EW106+EW99+EW49+EW42+EW35+EW28+EW21+EW14+EW7+EW113+EW92+EW85</f>
        <v>270943.83999999997</v>
      </c>
      <c r="EX131" s="89">
        <f t="shared" si="3873"/>
        <v>249891.06999999998</v>
      </c>
      <c r="EY131" s="89">
        <f t="shared" si="3873"/>
        <v>266878.26</v>
      </c>
      <c r="EZ131" s="89">
        <f t="shared" si="3873"/>
        <v>260540.75</v>
      </c>
      <c r="FA131" s="89">
        <f t="shared" si="3873"/>
        <v>253630.05999999997</v>
      </c>
      <c r="FB131" s="89">
        <f t="shared" si="3873"/>
        <v>259175.65</v>
      </c>
      <c r="FC131" s="89">
        <f t="shared" si="3873"/>
        <v>266402.36</v>
      </c>
      <c r="FD131" s="89">
        <f t="shared" si="3873"/>
        <v>265869.18</v>
      </c>
      <c r="FE131" s="89">
        <f t="shared" si="3873"/>
        <v>264751.75</v>
      </c>
      <c r="FF131" s="89">
        <f t="shared" si="3873"/>
        <v>272708.33999999997</v>
      </c>
      <c r="FG131" s="89">
        <f t="shared" si="3873"/>
        <v>277158.69</v>
      </c>
      <c r="FH131" s="89">
        <f t="shared" si="3873"/>
        <v>268084.53000000003</v>
      </c>
      <c r="FI131" s="89">
        <f t="shared" si="3873"/>
        <v>225873.31</v>
      </c>
      <c r="FJ131" s="89">
        <f t="shared" si="3873"/>
        <v>236184.58999999997</v>
      </c>
      <c r="FK131" s="89">
        <f t="shared" si="3873"/>
        <v>229159.52000000002</v>
      </c>
      <c r="FL131" s="89">
        <f t="shared" si="3873"/>
        <v>218706.49000000005</v>
      </c>
      <c r="FM131" s="89">
        <f t="shared" si="3873"/>
        <v>224246.75</v>
      </c>
      <c r="FN131" s="89">
        <f t="shared" si="3873"/>
        <v>230762.74</v>
      </c>
      <c r="FO131" s="89">
        <f t="shared" si="3873"/>
        <v>212743.59</v>
      </c>
      <c r="FP131" s="89">
        <f t="shared" si="3873"/>
        <v>233507.34999999998</v>
      </c>
      <c r="FQ131" s="89">
        <f t="shared" si="3873"/>
        <v>228752.49000000002</v>
      </c>
      <c r="FR131" s="89">
        <f t="shared" si="3873"/>
        <v>215417.97000000003</v>
      </c>
      <c r="FS131" s="89">
        <f t="shared" si="3873"/>
        <v>224600.505</v>
      </c>
      <c r="FT131" s="89">
        <f t="shared" ref="FT131:GB131" si="3874">FT106+FT99+FT49+FT42+FT35+FT28+FT21+FT14+FT7+FT113+FT92+FT85+FT56</f>
        <v>247005.81999999998</v>
      </c>
      <c r="FU131" s="89">
        <f t="shared" si="3874"/>
        <v>265521.08999999997</v>
      </c>
      <c r="FV131" s="89">
        <f t="shared" si="3874"/>
        <v>281576.52</v>
      </c>
      <c r="FW131" s="89">
        <f t="shared" si="3874"/>
        <v>304609.56</v>
      </c>
      <c r="FX131" s="89">
        <f t="shared" si="3874"/>
        <v>340794</v>
      </c>
      <c r="FY131" s="89">
        <f t="shared" si="3874"/>
        <v>309666.84000000003</v>
      </c>
      <c r="FZ131" s="89">
        <f t="shared" si="3874"/>
        <v>367920.17</v>
      </c>
      <c r="GA131" s="89">
        <f t="shared" si="3874"/>
        <v>180474.40199999997</v>
      </c>
      <c r="GB131" s="89">
        <f t="shared" si="3874"/>
        <v>211871.66999999998</v>
      </c>
      <c r="GC131" s="89">
        <f t="shared" ref="GC131:GN131" si="3875">GC106+GC99+GC49+GC42+GC35+GC28+GC21+GC14+GC7+GC113+GC92+GC85+GC56+GC63</f>
        <v>218461.96000000002</v>
      </c>
      <c r="GD131" s="89">
        <f t="shared" si="3875"/>
        <v>257841.47</v>
      </c>
      <c r="GE131" s="89">
        <f t="shared" si="3875"/>
        <v>236675.93</v>
      </c>
      <c r="GF131" s="89">
        <f t="shared" si="3875"/>
        <v>261738.83</v>
      </c>
      <c r="GG131" s="89">
        <f t="shared" si="3875"/>
        <v>268368.09000000003</v>
      </c>
      <c r="GH131" s="89">
        <f t="shared" si="3875"/>
        <v>254415.29000000004</v>
      </c>
      <c r="GI131" s="89">
        <f t="shared" si="3875"/>
        <v>256997.06</v>
      </c>
      <c r="GJ131" s="89">
        <f t="shared" si="3875"/>
        <v>289015.82</v>
      </c>
      <c r="GK131" s="89">
        <f t="shared" si="3875"/>
        <v>288309.77999999997</v>
      </c>
      <c r="GL131" s="89">
        <f t="shared" si="3875"/>
        <v>271191.92</v>
      </c>
      <c r="GM131" s="89">
        <f t="shared" ref="GM131" si="3876">GM106+GM99+GM49+GM42+GM35+GM28+GM21+GM14+GM7+GM113+GM92+GM85+GM56+GM63</f>
        <v>374572.85</v>
      </c>
      <c r="GN131" s="89">
        <f t="shared" si="3875"/>
        <v>332628.27999999997</v>
      </c>
      <c r="GO131" s="89">
        <f t="shared" ref="GO131" si="3877">GO106+GO99+GO49+GO42+GO35+GO28+GO21+GO14+GO7+GO113+GO92+GO85+GO56+GO63</f>
        <v>294763.15000000002</v>
      </c>
      <c r="GP131" s="89">
        <f>GP106+GP99+GP49+GP42+GP35+GP28+GP21+GP14+GP7+GP113+GP92+GP85+GP56+GP63</f>
        <v>311111.34999999998</v>
      </c>
      <c r="GQ131" s="89">
        <f>GQ106+GQ99+GQ49+GQ42+GQ35+GQ28+GQ21+GQ14+GQ7+GQ113+GQ92+GQ85+GQ56+GQ63</f>
        <v>343119.37000000005</v>
      </c>
      <c r="GR131" s="117">
        <f>GR106+GR99+GR49+GR42+GR35+GR28+GR21+GR14+GR7+GR113+GR92+GR85+GR56+GR63</f>
        <v>317122.42600000004</v>
      </c>
      <c r="GS131" s="159"/>
    </row>
    <row r="132" spans="1:204" ht="15" customHeight="1" x14ac:dyDescent="0.3">
      <c r="DH132" s="28">
        <f t="shared" ref="DH132:DO132" si="3878">(DH131-DH127)/DH127</f>
        <v>0.27797240732141726</v>
      </c>
      <c r="DI132" s="28">
        <f t="shared" si="3878"/>
        <v>0.12913598609225935</v>
      </c>
      <c r="DJ132" s="28">
        <f t="shared" si="3878"/>
        <v>4.8441925883860537E-2</v>
      </c>
      <c r="DK132" s="28">
        <f t="shared" si="3878"/>
        <v>0.36273116950656525</v>
      </c>
      <c r="DL132" s="28">
        <f t="shared" si="3878"/>
        <v>0.25122145144390351</v>
      </c>
      <c r="DM132" s="28">
        <f t="shared" si="3878"/>
        <v>0.21373907528312464</v>
      </c>
      <c r="DN132" s="28">
        <f t="shared" si="3878"/>
        <v>0.26117065995892813</v>
      </c>
      <c r="DO132" s="28">
        <f t="shared" si="3878"/>
        <v>0.19225192380206307</v>
      </c>
      <c r="DP132" s="28">
        <f t="shared" ref="DP132:DQ132" si="3879">(DP131-DP127)/DP127</f>
        <v>0.17729667193325876</v>
      </c>
      <c r="DQ132" s="28">
        <f t="shared" si="3879"/>
        <v>0.3068758690852374</v>
      </c>
      <c r="DR132" s="28">
        <f t="shared" ref="DR132:DW132" si="3880">(DR131-DR127)/DR127</f>
        <v>0.11387110509779604</v>
      </c>
      <c r="DS132" s="28">
        <f t="shared" si="3880"/>
        <v>6.4059402119147402E-2</v>
      </c>
      <c r="DT132" s="28">
        <f t="shared" si="3880"/>
        <v>-4.2766818256789227E-2</v>
      </c>
      <c r="DU132" s="28">
        <f t="shared" si="3880"/>
        <v>0.17903784225925765</v>
      </c>
      <c r="DV132" s="28">
        <f t="shared" si="3880"/>
        <v>3.043508688999758E-5</v>
      </c>
      <c r="DW132" s="28">
        <f t="shared" si="3880"/>
        <v>0.13661796171376039</v>
      </c>
      <c r="DX132" s="28">
        <f t="shared" ref="DX132:DY132" si="3881">(DX131-DX127)/DX127</f>
        <v>-2.754806440645274E-2</v>
      </c>
      <c r="DY132" s="28">
        <f t="shared" si="3881"/>
        <v>0.12554840400962181</v>
      </c>
      <c r="DZ132" s="28">
        <f t="shared" ref="DZ132:EA132" si="3882">(DZ131-DZ127)/DZ127</f>
        <v>0.39598752042151486</v>
      </c>
      <c r="EA132" s="28">
        <f t="shared" si="3882"/>
        <v>0.11325804191070545</v>
      </c>
      <c r="EB132" s="28">
        <f t="shared" ref="EB132:EC132" si="3883">(EB131-EB127)/EB127</f>
        <v>0.14794080515235059</v>
      </c>
      <c r="EC132" s="28">
        <f t="shared" si="3883"/>
        <v>9.8793772393792889E-2</v>
      </c>
      <c r="ED132" s="28">
        <f t="shared" ref="ED132:EE132" si="3884">(ED131-ED127)/ED127</f>
        <v>0.10736967079434019</v>
      </c>
      <c r="EE132" s="28">
        <f t="shared" si="3884"/>
        <v>-1.1093820658020993E-2</v>
      </c>
      <c r="EF132" s="28">
        <f t="shared" ref="EF132:EG132" si="3885">(EF131-EF127)/EF127</f>
        <v>-5.2808161517162319E-2</v>
      </c>
      <c r="EG132" s="28">
        <f t="shared" si="3885"/>
        <v>0.1740131927797639</v>
      </c>
      <c r="EH132" s="28">
        <f t="shared" ref="EH132:EI132" si="3886">(EH131-EH127)/EH127</f>
        <v>9.953198257586833E-2</v>
      </c>
      <c r="EI132" s="28">
        <f t="shared" si="3886"/>
        <v>-0.14973864074521076</v>
      </c>
      <c r="EJ132" s="28">
        <f t="shared" ref="EJ132:EK132" si="3887">(EJ131-EJ127)/EJ127</f>
        <v>0.10915990470768637</v>
      </c>
      <c r="EK132" s="28">
        <f t="shared" si="3887"/>
        <v>7.2035888588339494E-2</v>
      </c>
      <c r="EL132" s="28">
        <f t="shared" ref="EL132:EM132" si="3888">(EL131-EL127)/EL127</f>
        <v>7.7190998041293734E-3</v>
      </c>
      <c r="EM132" s="28">
        <f t="shared" si="3888"/>
        <v>7.964965383755027E-3</v>
      </c>
      <c r="EN132" s="28">
        <f t="shared" ref="EN132:EO132" si="3889">(EN131-EN127)/EN127</f>
        <v>9.3820119371809146E-2</v>
      </c>
      <c r="EO132" s="28">
        <f t="shared" si="3889"/>
        <v>0.36586255830239273</v>
      </c>
      <c r="EP132" s="28">
        <f t="shared" ref="EP132:EQ132" si="3890">(EP131-EP127)/EP127</f>
        <v>0.18243863884467823</v>
      </c>
      <c r="EQ132" s="28">
        <f t="shared" si="3890"/>
        <v>0.11689520268784316</v>
      </c>
      <c r="ER132" s="28">
        <f t="shared" ref="ER132:ES132" si="3891">(ER131-ER127)/ER127</f>
        <v>2.0988446766954758E-2</v>
      </c>
      <c r="ES132" s="28">
        <f t="shared" si="3891"/>
        <v>9.4776598421612596E-2</v>
      </c>
      <c r="ET132" s="28">
        <f t="shared" ref="ET132:EU132" si="3892">(ET131-ET127)/ET127</f>
        <v>-8.7586321137737878E-3</v>
      </c>
      <c r="EU132" s="28">
        <f t="shared" si="3892"/>
        <v>0.13692182947731318</v>
      </c>
      <c r="EV132" s="28">
        <f t="shared" ref="EV132:EW132" si="3893">(EV131-EV127)/EV127</f>
        <v>4.8046742109054352E-2</v>
      </c>
      <c r="EW132" s="28">
        <f t="shared" si="3893"/>
        <v>0.1536998135558274</v>
      </c>
      <c r="EX132" s="28">
        <f t="shared" ref="EX132:EY132" si="3894">(EX131-EX127)/EX127</f>
        <v>8.1312125473036748E-2</v>
      </c>
      <c r="EY132" s="28">
        <f t="shared" si="3894"/>
        <v>0.12709616737926424</v>
      </c>
      <c r="EZ132" s="28">
        <f t="shared" ref="EZ132:FA132" si="3895">(EZ131-EZ127)/EZ127</f>
        <v>0.24267728025306404</v>
      </c>
      <c r="FA132" s="28">
        <f t="shared" si="3895"/>
        <v>7.684076232139167E-2</v>
      </c>
      <c r="FB132" s="28">
        <f t="shared" ref="FB132:FC132" si="3896">(FB131-FB127)/FB127</f>
        <v>0.15803295520958258</v>
      </c>
      <c r="FC132" s="28">
        <f t="shared" si="3896"/>
        <v>0.15180415075581935</v>
      </c>
      <c r="FD132" s="28">
        <f t="shared" ref="FD132:FE132" si="3897">(FD131-FD127)/FD127</f>
        <v>4.3514414472863701E-2</v>
      </c>
      <c r="FE132" s="28">
        <f t="shared" si="3897"/>
        <v>0.10491555170608356</v>
      </c>
      <c r="FF132" s="28">
        <f t="shared" ref="FF132:FG132" si="3898">(FF131-FF127)/FF127</f>
        <v>8.2353372432969918E-2</v>
      </c>
      <c r="FG132" s="28">
        <f t="shared" si="3898"/>
        <v>8.1185071196233E-2</v>
      </c>
      <c r="FH132" s="28">
        <f t="shared" ref="FH132:FI132" si="3899">(FH131-FH127)/FH127</f>
        <v>2.5933741597649849E-2</v>
      </c>
      <c r="FI132" s="28">
        <f t="shared" si="3899"/>
        <v>9.4111169889331506E-2</v>
      </c>
      <c r="FJ132" s="28">
        <f t="shared" ref="FJ132:FK132" si="3900">(FJ131-FJ127)/FJ127</f>
        <v>0.25183867188317821</v>
      </c>
      <c r="FK132" s="28">
        <f t="shared" si="3900"/>
        <v>6.3503364051130301E-2</v>
      </c>
      <c r="FL132" s="28">
        <f t="shared" ref="FL132:FM132" si="3901">(FL131-FL127)/FL127</f>
        <v>9.9440751405650441E-3</v>
      </c>
      <c r="FM132" s="28">
        <f t="shared" si="3901"/>
        <v>7.3688719794496038E-2</v>
      </c>
      <c r="FN132" s="28">
        <f t="shared" ref="FN132:FO132" si="3902">(FN131-FN127)/FN127</f>
        <v>0.1516714758877013</v>
      </c>
      <c r="FO132" s="28">
        <f t="shared" si="3902"/>
        <v>6.2196353723291367E-2</v>
      </c>
      <c r="FP132" s="28">
        <f t="shared" ref="FP132:FQ132" si="3903">(FP131-FP127)/FP127</f>
        <v>6.5639452993225128E-2</v>
      </c>
      <c r="FQ132" s="28">
        <f t="shared" si="3903"/>
        <v>4.6448639007145943E-2</v>
      </c>
      <c r="FR132" s="28">
        <f t="shared" ref="FR132:FS132" si="3904">(FR131-FR127)/FR127</f>
        <v>7.1497223815158051E-2</v>
      </c>
      <c r="FS132" s="28">
        <f t="shared" si="3904"/>
        <v>0.15427702617175953</v>
      </c>
      <c r="FT132" s="28">
        <f t="shared" ref="FT132:FU132" si="3905">(FT131-FT127)/FT127</f>
        <v>0.18485839417015429</v>
      </c>
      <c r="FU132" s="28">
        <f t="shared" si="3905"/>
        <v>-8.4372980699487805E-3</v>
      </c>
      <c r="FV132" s="28">
        <f t="shared" ref="FV132:FW132" si="3906">(FV131-FV127)/FV127</f>
        <v>0.13230802209680703</v>
      </c>
      <c r="FW132" s="28">
        <f t="shared" si="3906"/>
        <v>4.3490944774318453E-2</v>
      </c>
      <c r="FX132" s="28">
        <f t="shared" ref="FX132:FY132" si="3907">(FX131-FX127)/FX127</f>
        <v>6.4132360578772515E-2</v>
      </c>
      <c r="FY132" s="28">
        <f t="shared" si="3907"/>
        <v>1.2834679666790394E-2</v>
      </c>
      <c r="FZ132" s="28">
        <f t="shared" ref="FZ132" si="3908">(FZ131-FZ127)/FZ127</f>
        <v>0.31525342517478344</v>
      </c>
      <c r="GA132" s="28">
        <f t="shared" ref="GA132:GF132" si="3909">(GA131-GA134)/GA134</f>
        <v>1.6629223179662377E-2</v>
      </c>
      <c r="GB132" s="28">
        <f t="shared" si="3909"/>
        <v>0.1300681251775134</v>
      </c>
      <c r="GC132" s="28">
        <f t="shared" si="3909"/>
        <v>0.1627594782329983</v>
      </c>
      <c r="GD132" s="28">
        <f t="shared" si="3909"/>
        <v>6.4300620117511434E-2</v>
      </c>
      <c r="GE132" s="28">
        <f t="shared" si="3909"/>
        <v>3.5730063308491392E-2</v>
      </c>
      <c r="GF132" s="28">
        <f t="shared" si="3909"/>
        <v>6.9408798233110081E-2</v>
      </c>
      <c r="GG132" s="28">
        <f t="shared" ref="GG132:GH132" si="3910">(GG131-GG134)/GG134</f>
        <v>2.0225369642823503E-2</v>
      </c>
      <c r="GH132" s="28">
        <f t="shared" si="3910"/>
        <v>1.7968586513127112E-2</v>
      </c>
      <c r="GI132" s="28">
        <f t="shared" ref="GI132:GJ132" si="3911">(GI131-GI134)/GI134</f>
        <v>0.1512058548939039</v>
      </c>
      <c r="GJ132" s="28">
        <f t="shared" si="3911"/>
        <v>0.16775616258672049</v>
      </c>
      <c r="GK132" s="28">
        <f t="shared" ref="GK132:GL132" si="3912">(GK131-GK134)/GK134</f>
        <v>0.10450356298540658</v>
      </c>
      <c r="GL132" s="28">
        <f t="shared" si="3912"/>
        <v>-5.4660549059890963E-2</v>
      </c>
      <c r="GM132" s="28">
        <f t="shared" ref="GM132:GR132" si="3913">(GM131-GM127)/GM127</f>
        <v>0.21369210676482139</v>
      </c>
      <c r="GN132" s="28">
        <f t="shared" si="3913"/>
        <v>0.16934817545692019</v>
      </c>
      <c r="GO132" s="28">
        <f t="shared" si="3913"/>
        <v>1.7803955014899581E-2</v>
      </c>
      <c r="GP132" s="28">
        <f t="shared" si="3913"/>
        <v>-8.3996300316241015E-2</v>
      </c>
      <c r="GQ132" s="28">
        <f t="shared" si="3913"/>
        <v>0.16088697584733555</v>
      </c>
      <c r="GR132" s="109">
        <f t="shared" si="3913"/>
        <v>-1.7654039369678763E-2</v>
      </c>
    </row>
    <row r="134" spans="1:204" ht="15" customHeight="1" x14ac:dyDescent="0.3"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>
        <f>GA127-GA30-GA37</f>
        <v>177522.34333333332</v>
      </c>
      <c r="GB134" s="12">
        <f>GB127-GB30-GB37</f>
        <v>187485.75</v>
      </c>
      <c r="GC134" s="12">
        <f>GC127-GC30-GC37</f>
        <v>187882.33000000002</v>
      </c>
      <c r="GD134" s="12">
        <f t="shared" ref="GD134:GL134" si="3914">GD127-GD37</f>
        <v>242263.76000000004</v>
      </c>
      <c r="GE134" s="12">
        <f t="shared" si="3914"/>
        <v>228511.21000000002</v>
      </c>
      <c r="GF134" s="12">
        <f t="shared" si="3914"/>
        <v>244750.96</v>
      </c>
      <c r="GG134" s="12">
        <f t="shared" si="3914"/>
        <v>263047.85000000003</v>
      </c>
      <c r="GH134" s="12">
        <f t="shared" si="3914"/>
        <v>249924.5</v>
      </c>
      <c r="GI134" s="12">
        <f t="shared" si="3914"/>
        <v>223241.61999999997</v>
      </c>
      <c r="GJ134" s="12">
        <f t="shared" si="3914"/>
        <v>247496.71999999997</v>
      </c>
      <c r="GK134" s="12">
        <f t="shared" si="3914"/>
        <v>261031.1</v>
      </c>
      <c r="GL134" s="12">
        <f t="shared" si="3914"/>
        <v>286872.53000000003</v>
      </c>
      <c r="GM134" s="12"/>
      <c r="GN134" s="12"/>
      <c r="GO134" s="12"/>
      <c r="GP134" s="12"/>
      <c r="GQ134" s="12"/>
      <c r="GR134" s="12"/>
      <c r="GS134" s="162"/>
      <c r="GT134" s="12"/>
    </row>
  </sheetData>
  <mergeCells count="18">
    <mergeCell ref="A54:A59"/>
    <mergeCell ref="A61:A66"/>
    <mergeCell ref="A90:A95"/>
    <mergeCell ref="A82:A88"/>
    <mergeCell ref="A123:A128"/>
    <mergeCell ref="A75:A80"/>
    <mergeCell ref="A118:A121"/>
    <mergeCell ref="A111:A116"/>
    <mergeCell ref="A97:A102"/>
    <mergeCell ref="A104:A109"/>
    <mergeCell ref="A68:A73"/>
    <mergeCell ref="A5:A8"/>
    <mergeCell ref="A40:A45"/>
    <mergeCell ref="A47:A52"/>
    <mergeCell ref="A12:A17"/>
    <mergeCell ref="A19:A24"/>
    <mergeCell ref="A26:A31"/>
    <mergeCell ref="A33:A38"/>
  </mergeCells>
  <phoneticPr fontId="2" type="noConversion"/>
  <conditionalFormatting sqref="D9:P9 D53:GU53 D89:GU89 D96:GU96">
    <cfRule type="cellIs" dxfId="123" priority="250" operator="lessThan">
      <formula>-0.1</formula>
    </cfRule>
    <cfRule type="cellIs" dxfId="122" priority="251" operator="greaterThan">
      <formula>0</formula>
    </cfRule>
  </conditionalFormatting>
  <conditionalFormatting sqref="D16:P16">
    <cfRule type="cellIs" dxfId="121" priority="730" operator="lessThan">
      <formula>-0.1</formula>
    </cfRule>
    <cfRule type="cellIs" dxfId="120" priority="731" operator="greaterThan">
      <formula>0</formula>
    </cfRule>
  </conditionalFormatting>
  <conditionalFormatting sqref="D23:P23">
    <cfRule type="cellIs" dxfId="119" priority="727" operator="lessThan">
      <formula>-0.1</formula>
    </cfRule>
    <cfRule type="cellIs" dxfId="118" priority="728" operator="greaterThan">
      <formula>0</formula>
    </cfRule>
  </conditionalFormatting>
  <conditionalFormatting sqref="D30:P30">
    <cfRule type="cellIs" dxfId="117" priority="725" operator="lessThan">
      <formula>-0.1</formula>
    </cfRule>
    <cfRule type="cellIs" dxfId="116" priority="726" operator="greaterThan">
      <formula>0</formula>
    </cfRule>
  </conditionalFormatting>
  <conditionalFormatting sqref="D37:P37">
    <cfRule type="cellIs" dxfId="115" priority="719" operator="lessThan">
      <formula>-0.1</formula>
    </cfRule>
    <cfRule type="cellIs" dxfId="114" priority="720" operator="greaterThan">
      <formula>0</formula>
    </cfRule>
  </conditionalFormatting>
  <conditionalFormatting sqref="D44:P44">
    <cfRule type="cellIs" dxfId="113" priority="716" operator="lessThan">
      <formula>-0.1</formula>
    </cfRule>
    <cfRule type="cellIs" dxfId="112" priority="717" operator="greaterThan">
      <formula>0</formula>
    </cfRule>
  </conditionalFormatting>
  <conditionalFormatting sqref="D51:P51">
    <cfRule type="cellIs" dxfId="111" priority="477" operator="lessThan">
      <formula>-0.1</formula>
    </cfRule>
    <cfRule type="cellIs" dxfId="110" priority="478" operator="greaterThan">
      <formula>0</formula>
    </cfRule>
  </conditionalFormatting>
  <conditionalFormatting sqref="D58:P58">
    <cfRule type="cellIs" dxfId="109" priority="324" operator="lessThan">
      <formula>-0.1</formula>
    </cfRule>
    <cfRule type="cellIs" dxfId="108" priority="325" operator="greaterThan">
      <formula>0</formula>
    </cfRule>
  </conditionalFormatting>
  <conditionalFormatting sqref="D65:P65">
    <cfRule type="cellIs" dxfId="107" priority="318" operator="lessThan">
      <formula>-0.1</formula>
    </cfRule>
    <cfRule type="cellIs" dxfId="106" priority="319" operator="greaterThan">
      <formula>0</formula>
    </cfRule>
  </conditionalFormatting>
  <conditionalFormatting sqref="D72:P72">
    <cfRule type="cellIs" dxfId="105" priority="301" operator="lessThan">
      <formula>-0.1</formula>
    </cfRule>
    <cfRule type="cellIs" dxfId="104" priority="302" operator="greaterThan">
      <formula>0</formula>
    </cfRule>
  </conditionalFormatting>
  <conditionalFormatting sqref="D79:P79">
    <cfRule type="cellIs" dxfId="103" priority="696" operator="lessThan">
      <formula>-0.1</formula>
    </cfRule>
    <cfRule type="cellIs" dxfId="102" priority="698" operator="greaterThan">
      <formula>0</formula>
    </cfRule>
  </conditionalFormatting>
  <conditionalFormatting sqref="D87:P87">
    <cfRule type="cellIs" dxfId="101" priority="309" operator="lessThan">
      <formula>-0.1</formula>
    </cfRule>
    <cfRule type="cellIs" dxfId="100" priority="310" operator="greaterThan">
      <formula>0</formula>
    </cfRule>
  </conditionalFormatting>
  <conditionalFormatting sqref="D94:P94">
    <cfRule type="cellIs" dxfId="99" priority="313" operator="lessThan">
      <formula>-0.1</formula>
    </cfRule>
    <cfRule type="cellIs" dxfId="98" priority="314" operator="greaterThan">
      <formula>0</formula>
    </cfRule>
  </conditionalFormatting>
  <conditionalFormatting sqref="D101:P101">
    <cfRule type="cellIs" dxfId="97" priority="713" operator="lessThan">
      <formula>-0.1</formula>
    </cfRule>
    <cfRule type="cellIs" dxfId="96" priority="714" operator="greaterThan">
      <formula>0</formula>
    </cfRule>
  </conditionalFormatting>
  <conditionalFormatting sqref="D108:P108">
    <cfRule type="cellIs" dxfId="95" priority="710" operator="lessThan">
      <formula>-0.1</formula>
    </cfRule>
    <cfRule type="cellIs" dxfId="94" priority="711" operator="greaterThan">
      <formula>0</formula>
    </cfRule>
  </conditionalFormatting>
  <conditionalFormatting sqref="D115:P115">
    <cfRule type="cellIs" dxfId="93" priority="707" operator="lessThan">
      <formula>-0.1</formula>
    </cfRule>
    <cfRule type="cellIs" dxfId="92" priority="708" operator="greaterThan">
      <formula>0</formula>
    </cfRule>
  </conditionalFormatting>
  <conditionalFormatting sqref="D120:P120">
    <cfRule type="cellIs" dxfId="91" priority="687" operator="lessThan">
      <formula>-0.1</formula>
    </cfRule>
    <cfRule type="cellIs" dxfId="90" priority="689" operator="greaterThan">
      <formula>0</formula>
    </cfRule>
  </conditionalFormatting>
  <conditionalFormatting sqref="D127:P127">
    <cfRule type="cellIs" dxfId="89" priority="703" operator="lessThan">
      <formula>-0.1</formula>
    </cfRule>
    <cfRule type="cellIs" dxfId="88" priority="705" operator="greaterThan">
      <formula>0</formula>
    </cfRule>
  </conditionalFormatting>
  <conditionalFormatting sqref="D70:FE70">
    <cfRule type="cellIs" dxfId="87" priority="304" operator="greaterThan">
      <formula>0</formula>
    </cfRule>
  </conditionalFormatting>
  <conditionalFormatting sqref="GS11:GU11 GS18:GU18 C24:FM24 GW24:XFD24 D25:FM25 GS25:GU25 GS32:GU32 GS39:GU39 GS46:GU46 GS72:GS74 GT74:GU74 GS86:GS87 GS93:GS95 GS100:GS103 GT103:GU103 GS107:GS110 GT110:GU110 GS114:GS117 GT117:GU117 GS119:GS122 GT122:GU122 GS126:GS129 GT129:GU129 D8:GR8 D10:GR11 D15:GR15 D17:GR18 D22:GR22 FN24:GR25 D29:GR29 D31:GR32 D36:GR36 D38:GR39 D43:GR43 D45:GR46 D50:GR50 D57:GR57 D60:GU60 D67:GU67 D71:GR74 D78:GR78 D81:GU81 D86:GR86 D93:GR93 CL95:GR95 D100:GR100 D102:GR103 D107:GR107 D109:GR110 D114:GR114 D116:GR117 D119:GR119 D126:GR126">
    <cfRule type="cellIs" dxfId="86" priority="903" operator="greaterThan">
      <formula>0</formula>
    </cfRule>
  </conditionalFormatting>
  <conditionalFormatting sqref="GS11:GU11 GS18:GU18 GS25:GU25 GS32:GU32 GS46:GU46 D70:FE70 GS72:GS74 GT74:GU74 GS122:GU122 GS129:GU129 D8:GR8 D39:GU39 D60:GU60 D67:GU67 D81:GU81 D88:GS89 D103:GU103 D110:GU110 D117:GU117">
    <cfRule type="cellIs" dxfId="85" priority="300" operator="lessThan">
      <formula>-0.1</formula>
    </cfRule>
  </conditionalFormatting>
  <conditionalFormatting sqref="D10:GR10 D73:GS73">
    <cfRule type="cellIs" dxfId="84" priority="248" operator="lessThan">
      <formula>0</formula>
    </cfRule>
  </conditionalFormatting>
  <conditionalFormatting sqref="D10:GR11">
    <cfRule type="cellIs" dxfId="83" priority="104" operator="lessThan">
      <formula>-0.1</formula>
    </cfRule>
  </conditionalFormatting>
  <conditionalFormatting sqref="D15:GR15">
    <cfRule type="cellIs" dxfId="82" priority="66" operator="lessThan">
      <formula>-0.1</formula>
    </cfRule>
  </conditionalFormatting>
  <conditionalFormatting sqref="D17:GR17">
    <cfRule type="cellIs" dxfId="81" priority="86" operator="lessThan">
      <formula>0</formula>
    </cfRule>
  </conditionalFormatting>
  <conditionalFormatting sqref="D17:GR18">
    <cfRule type="cellIs" dxfId="80" priority="296" operator="lessThan">
      <formula>-0.1</formula>
    </cfRule>
  </conditionalFormatting>
  <conditionalFormatting sqref="D22:GR22">
    <cfRule type="cellIs" dxfId="79" priority="64" operator="lessThan">
      <formula>-0.1</formula>
    </cfRule>
  </conditionalFormatting>
  <conditionalFormatting sqref="D24:GR25">
    <cfRule type="cellIs" dxfId="78" priority="294" operator="lessThan">
      <formula>-0.1</formula>
    </cfRule>
  </conditionalFormatting>
  <conditionalFormatting sqref="D29:GR29">
    <cfRule type="cellIs" dxfId="77" priority="62" operator="lessThan">
      <formula>-0.1</formula>
    </cfRule>
  </conditionalFormatting>
  <conditionalFormatting sqref="D31:GR31">
    <cfRule type="cellIs" dxfId="76" priority="93" operator="lessThan">
      <formula>0</formula>
    </cfRule>
  </conditionalFormatting>
  <conditionalFormatting sqref="D31:GR32">
    <cfRule type="cellIs" dxfId="75" priority="292" operator="lessThan">
      <formula>-0.1</formula>
    </cfRule>
  </conditionalFormatting>
  <conditionalFormatting sqref="D36:GR36">
    <cfRule type="cellIs" dxfId="74" priority="60" operator="lessThan">
      <formula>-0.1</formula>
    </cfRule>
  </conditionalFormatting>
  <conditionalFormatting sqref="GS86:GS87 GS93:GS95 GS100:GS102 GS107:GS109 GS114:GS116 GS119:GS121 GS126:GS128 D38:GR38">
    <cfRule type="cellIs" dxfId="73" priority="76" operator="lessThan">
      <formula>-0.1</formula>
    </cfRule>
    <cfRule type="cellIs" dxfId="72" priority="77" operator="lessThan">
      <formula>0</formula>
    </cfRule>
  </conditionalFormatting>
  <conditionalFormatting sqref="D43:GR43">
    <cfRule type="cellIs" dxfId="71" priority="56" operator="lessThan">
      <formula>-0.1</formula>
    </cfRule>
  </conditionalFormatting>
  <conditionalFormatting sqref="D45:GR45">
    <cfRule type="cellIs" dxfId="70" priority="340" operator="lessThan">
      <formula>0</formula>
    </cfRule>
  </conditionalFormatting>
  <conditionalFormatting sqref="D45:GR46">
    <cfRule type="cellIs" dxfId="69" priority="288" operator="lessThan">
      <formula>-0.1</formula>
    </cfRule>
  </conditionalFormatting>
  <conditionalFormatting sqref="D50:GR50">
    <cfRule type="cellIs" dxfId="68" priority="52" operator="lessThan">
      <formula>-0.1</formula>
    </cfRule>
  </conditionalFormatting>
  <conditionalFormatting sqref="D68:FF69 D52:GR52">
    <cfRule type="cellIs" dxfId="67" priority="512" operator="greaterThan">
      <formula>0</formula>
    </cfRule>
  </conditionalFormatting>
  <conditionalFormatting sqref="G100:G102 G107:G109 G114:G116 D52:GR52 D95:GR95 D102:GR102 D109:GR109 D116:GR116">
    <cfRule type="cellIs" dxfId="66" priority="535" operator="lessThan">
      <formula>-0.1</formula>
    </cfRule>
  </conditionalFormatting>
  <conditionalFormatting sqref="D52:GR52">
    <cfRule type="cellIs" dxfId="65" priority="356" operator="lessThan">
      <formula>0</formula>
    </cfRule>
  </conditionalFormatting>
  <conditionalFormatting sqref="D57:GR57">
    <cfRule type="cellIs" dxfId="64" priority="48" operator="lessThan">
      <formula>-0.1</formula>
    </cfRule>
  </conditionalFormatting>
  <conditionalFormatting sqref="D59:GR59">
    <cfRule type="cellIs" dxfId="63" priority="99" operator="lessThan">
      <formula>0</formula>
    </cfRule>
    <cfRule type="cellIs" dxfId="62" priority="100" operator="greaterThan">
      <formula>0</formula>
    </cfRule>
    <cfRule type="cellIs" dxfId="61" priority="101" operator="lessThan">
      <formula>-0.1</formula>
    </cfRule>
  </conditionalFormatting>
  <conditionalFormatting sqref="D64:GR64">
    <cfRule type="cellIs" dxfId="60" priority="43" operator="lessThan">
      <formula>-0.1</formula>
    </cfRule>
    <cfRule type="cellIs" dxfId="59" priority="47" operator="greaterThan">
      <formula>0</formula>
    </cfRule>
  </conditionalFormatting>
  <conditionalFormatting sqref="D66:GR66">
    <cfRule type="cellIs" dxfId="58" priority="87" operator="lessThan">
      <formula>0</formula>
    </cfRule>
    <cfRule type="cellIs" dxfId="57" priority="88" operator="greaterThan">
      <formula>0</formula>
    </cfRule>
    <cfRule type="cellIs" dxfId="56" priority="89" operator="lessThan">
      <formula>-0.1</formula>
    </cfRule>
  </conditionalFormatting>
  <conditionalFormatting sqref="D90:CK95 D71:GR74">
    <cfRule type="cellIs" dxfId="55" priority="156" operator="lessThan">
      <formula>-0.1</formula>
    </cfRule>
  </conditionalFormatting>
  <conditionalFormatting sqref="D78:GR78">
    <cfRule type="cellIs" dxfId="54" priority="138" operator="lessThan">
      <formula>-0.1</formula>
    </cfRule>
  </conditionalFormatting>
  <conditionalFormatting sqref="D80:GR80">
    <cfRule type="cellIs" dxfId="53" priority="34" operator="lessThan">
      <formula>-0.1</formula>
    </cfRule>
    <cfRule type="cellIs" dxfId="52" priority="35" operator="lessThan">
      <formula>0</formula>
    </cfRule>
    <cfRule type="cellIs" dxfId="51" priority="38" operator="greaterThan">
      <formula>0</formula>
    </cfRule>
  </conditionalFormatting>
  <conditionalFormatting sqref="D86:GR86">
    <cfRule type="cellIs" dxfId="50" priority="30" operator="lessThan">
      <formula>-0.1</formula>
    </cfRule>
  </conditionalFormatting>
  <conditionalFormatting sqref="D100:GR100">
    <cfRule type="cellIs" dxfId="49" priority="22" operator="lessThan">
      <formula>-0.1</formula>
    </cfRule>
  </conditionalFormatting>
  <conditionalFormatting sqref="D102:GR102">
    <cfRule type="cellIs" dxfId="48" priority="351" operator="lessThan">
      <formula>0</formula>
    </cfRule>
  </conditionalFormatting>
  <conditionalFormatting sqref="D107:GR107">
    <cfRule type="cellIs" dxfId="47" priority="18" operator="lessThan">
      <formula>-0.1</formula>
    </cfRule>
  </conditionalFormatting>
  <conditionalFormatting sqref="D109:GR109">
    <cfRule type="cellIs" dxfId="46" priority="350" operator="lessThan">
      <formula>0</formula>
    </cfRule>
  </conditionalFormatting>
  <conditionalFormatting sqref="D114:GR114">
    <cfRule type="cellIs" dxfId="45" priority="14" operator="lessThan">
      <formula>-0.1</formula>
    </cfRule>
  </conditionalFormatting>
  <conditionalFormatting sqref="D116:GR116">
    <cfRule type="cellIs" dxfId="44" priority="349" operator="lessThan">
      <formula>0</formula>
    </cfRule>
  </conditionalFormatting>
  <conditionalFormatting sqref="D119:GR119">
    <cfRule type="cellIs" dxfId="43" priority="10" operator="lessThan">
      <formula>-0.1</formula>
    </cfRule>
  </conditionalFormatting>
  <conditionalFormatting sqref="D121:GR121">
    <cfRule type="cellIs" dxfId="42" priority="348" operator="lessThan">
      <formula>0</formula>
    </cfRule>
  </conditionalFormatting>
  <conditionalFormatting sqref="D121:GR122">
    <cfRule type="cellIs" dxfId="41" priority="263" operator="lessThan">
      <formula>-0.1</formula>
    </cfRule>
    <cfRule type="cellIs" dxfId="40" priority="347" operator="greaterThan">
      <formula>0</formula>
    </cfRule>
  </conditionalFormatting>
  <conditionalFormatting sqref="D126:GR126">
    <cfRule type="cellIs" dxfId="39" priority="6" operator="lessThan">
      <formula>-0.1</formula>
    </cfRule>
  </conditionalFormatting>
  <conditionalFormatting sqref="D128:GR128">
    <cfRule type="cellIs" dxfId="38" priority="346" operator="lessThan">
      <formula>0</formula>
    </cfRule>
  </conditionalFormatting>
  <conditionalFormatting sqref="D128:GR129">
    <cfRule type="cellIs" dxfId="37" priority="257" operator="lessThan">
      <formula>-0.1</formula>
    </cfRule>
    <cfRule type="cellIs" dxfId="36" priority="345" operator="greaterThan">
      <formula>0</formula>
    </cfRule>
  </conditionalFormatting>
  <conditionalFormatting sqref="D90:CK95 D88:GS89">
    <cfRule type="cellIs" dxfId="35" priority="306" operator="greaterThan">
      <formula>0</formula>
    </cfRule>
    <cfRule type="cellIs" dxfId="34" priority="307" operator="lessThan">
      <formula>0</formula>
    </cfRule>
  </conditionalFormatting>
  <conditionalFormatting sqref="G9:G10">
    <cfRule type="cellIs" dxfId="33" priority="249" operator="lessThan">
      <formula>-0.1</formula>
    </cfRule>
  </conditionalFormatting>
  <conditionalFormatting sqref="G15:G17">
    <cfRule type="cellIs" dxfId="32" priority="472" operator="lessThan">
      <formula>-0.1</formula>
    </cfRule>
  </conditionalFormatting>
  <conditionalFormatting sqref="G22:G24">
    <cfRule type="cellIs" dxfId="31" priority="465" operator="lessThan">
      <formula>-0.1</formula>
    </cfRule>
  </conditionalFormatting>
  <conditionalFormatting sqref="G29:G31">
    <cfRule type="cellIs" dxfId="30" priority="458" operator="lessThan">
      <formula>-0.1</formula>
    </cfRule>
  </conditionalFormatting>
  <conditionalFormatting sqref="G36:G38">
    <cfRule type="cellIs" dxfId="29" priority="445" operator="lessThan">
      <formula>-0.1</formula>
    </cfRule>
  </conditionalFormatting>
  <conditionalFormatting sqref="G43:G45 G50:G52 D68:FF69">
    <cfRule type="cellIs" dxfId="28" priority="902" operator="lessThan">
      <formula>-0.1</formula>
    </cfRule>
  </conditionalFormatting>
  <conditionalFormatting sqref="G57:G59 G64:G66 G68:G73">
    <cfRule type="cellIs" dxfId="27" priority="511" operator="lessThan">
      <formula>-0.1</formula>
    </cfRule>
  </conditionalFormatting>
  <conditionalFormatting sqref="G94:G95">
    <cfRule type="cellIs" dxfId="26" priority="316" operator="lessThan">
      <formula>-0.1</formula>
    </cfRule>
  </conditionalFormatting>
  <conditionalFormatting sqref="CL93:GR93">
    <cfRule type="cellIs" dxfId="25" priority="26" operator="lessThan">
      <formula>-0.1</formula>
    </cfRule>
  </conditionalFormatting>
  <conditionalFormatting sqref="CL95:GR95">
    <cfRule type="cellIs" dxfId="24" priority="111" operator="lessThan">
      <formula>0</formula>
    </cfRule>
  </conditionalFormatting>
  <conditionalFormatting sqref="GW24:XFD24 DI8:GR8 C24:GR24">
    <cfRule type="cellIs" dxfId="23" priority="537" operator="lessThan">
      <formula>0</formula>
    </cfRule>
  </conditionalFormatting>
  <conditionalFormatting sqref="DI15:GR15">
    <cfRule type="cellIs" dxfId="22" priority="67" operator="lessThan">
      <formula>0</formula>
    </cfRule>
  </conditionalFormatting>
  <conditionalFormatting sqref="DI22:GR22">
    <cfRule type="cellIs" dxfId="21" priority="65" operator="lessThan">
      <formula>0</formula>
    </cfRule>
  </conditionalFormatting>
  <conditionalFormatting sqref="DI29:GR29">
    <cfRule type="cellIs" dxfId="20" priority="63" operator="lessThan">
      <formula>0</formula>
    </cfRule>
  </conditionalFormatting>
  <conditionalFormatting sqref="DI36:GR36">
    <cfRule type="cellIs" dxfId="19" priority="61" operator="lessThan">
      <formula>0</formula>
    </cfRule>
  </conditionalFormatting>
  <conditionalFormatting sqref="DI43:GR43">
    <cfRule type="cellIs" dxfId="18" priority="57" operator="lessThan">
      <formula>0</formula>
    </cfRule>
  </conditionalFormatting>
  <conditionalFormatting sqref="DI50:GR50">
    <cfRule type="cellIs" dxfId="17" priority="53" operator="lessThan">
      <formula>0</formula>
    </cfRule>
  </conditionalFormatting>
  <conditionalFormatting sqref="DI57:GR57">
    <cfRule type="cellIs" dxfId="16" priority="49" operator="lessThan">
      <formula>0</formula>
    </cfRule>
  </conditionalFormatting>
  <conditionalFormatting sqref="DI64:GR64">
    <cfRule type="cellIs" dxfId="15" priority="44" operator="lessThan">
      <formula>0</formula>
    </cfRule>
  </conditionalFormatting>
  <conditionalFormatting sqref="DI71:GR71">
    <cfRule type="cellIs" dxfId="14" priority="40" operator="lessThan">
      <formula>0</formula>
    </cfRule>
  </conditionalFormatting>
  <conditionalFormatting sqref="DI78:GR78">
    <cfRule type="cellIs" dxfId="13" priority="140" operator="lessThan">
      <formula>0</formula>
    </cfRule>
  </conditionalFormatting>
  <conditionalFormatting sqref="DI86:GR86">
    <cfRule type="cellIs" dxfId="12" priority="31" operator="lessThan">
      <formula>0</formula>
    </cfRule>
  </conditionalFormatting>
  <conditionalFormatting sqref="DI107:GR107">
    <cfRule type="cellIs" dxfId="11" priority="19" operator="lessThan">
      <formula>0</formula>
    </cfRule>
  </conditionalFormatting>
  <conditionalFormatting sqref="DI114:GR114">
    <cfRule type="cellIs" dxfId="10" priority="15" operator="lessThan">
      <formula>0</formula>
    </cfRule>
  </conditionalFormatting>
  <conditionalFormatting sqref="DI119:GR119">
    <cfRule type="cellIs" dxfId="9" priority="11" operator="lessThan">
      <formula>0</formula>
    </cfRule>
  </conditionalFormatting>
  <conditionalFormatting sqref="DI126:GR126">
    <cfRule type="cellIs" dxfId="8" priority="7" operator="lessThan">
      <formula>0</formula>
    </cfRule>
  </conditionalFormatting>
  <conditionalFormatting sqref="DO100:GR100">
    <cfRule type="cellIs" dxfId="7" priority="23" operator="lessThan">
      <formula>0</formula>
    </cfRule>
  </conditionalFormatting>
  <conditionalFormatting sqref="FS93:GR93">
    <cfRule type="cellIs" dxfId="6" priority="27" operator="lessThan">
      <formula>0</formula>
    </cfRule>
  </conditionalFormatting>
  <conditionalFormatting sqref="GC31:GR31">
    <cfRule type="cellIs" dxfId="5" priority="92" operator="lessThan">
      <formula>-0.1</formula>
    </cfRule>
  </conditionalFormatting>
  <conditionalFormatting sqref="GL71:GR71">
    <cfRule type="cellIs" dxfId="4" priority="39" operator="lessThan">
      <formula>-0.1</formula>
    </cfRule>
  </conditionalFormatting>
  <conditionalFormatting sqref="GR17">
    <cfRule type="cellIs" dxfId="3" priority="85" operator="lessThan">
      <formula>-0.1</formula>
    </cfRule>
  </conditionalFormatting>
  <conditionalFormatting sqref="GS131 DH132:GR132">
    <cfRule type="cellIs" dxfId="2" priority="326" operator="greaterThan">
      <formula>0</formula>
    </cfRule>
    <cfRule type="cellIs" dxfId="1" priority="327" operator="lessThan">
      <formula>0</formula>
    </cfRule>
    <cfRule type="cellIs" dxfId="0" priority="329" operator="lessThan">
      <formula>-0.1</formula>
    </cfRule>
  </conditionalFormatting>
  <conditionalFormatting sqref="GV15 GV8 GV22 GV29 GV36 GV43 GV50 GV57 GV64 GV71">
    <cfRule type="colorScale" priority="10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V69:GV70 GV62:GV63 GV55:GV56 GV48:GV49 GV41:GV42 GV34:GV35 GV27:GV28 GV20:GV21 GV13:GV14 GV6:GV7">
    <cfRule type="colorScale" priority="10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2072-E722-48D5-8B38-5C1A119377C1}">
  <dimension ref="A1:E10"/>
  <sheetViews>
    <sheetView workbookViewId="0"/>
  </sheetViews>
  <sheetFormatPr defaultRowHeight="14.4" x14ac:dyDescent="0.3"/>
  <cols>
    <col min="2" max="2" width="13.5546875" customWidth="1"/>
    <col min="3" max="3" width="12.44140625" customWidth="1"/>
    <col min="4" max="4" width="13.44140625" customWidth="1"/>
    <col min="5" max="5" width="10.5546875" customWidth="1"/>
  </cols>
  <sheetData>
    <row r="1" spans="1:5" ht="28.8" x14ac:dyDescent="0.3">
      <c r="A1" s="66"/>
      <c r="B1" s="78" t="s">
        <v>119</v>
      </c>
      <c r="C1" s="69" t="s">
        <v>140</v>
      </c>
      <c r="D1" s="68" t="s">
        <v>133</v>
      </c>
      <c r="E1" s="68" t="s">
        <v>132</v>
      </c>
    </row>
    <row r="2" spans="1:5" x14ac:dyDescent="0.3">
      <c r="A2" s="79" t="s">
        <v>120</v>
      </c>
      <c r="B2" s="80">
        <v>31041.125</v>
      </c>
      <c r="C2" s="65">
        <v>10372.31</v>
      </c>
      <c r="D2" s="65">
        <v>-3851</v>
      </c>
      <c r="E2" s="70">
        <f>(B2-(C2+D2))/B2</f>
        <v>0.78991386426877253</v>
      </c>
    </row>
    <row r="3" spans="1:5" x14ac:dyDescent="0.3">
      <c r="A3" s="79" t="s">
        <v>121</v>
      </c>
      <c r="B3" s="80">
        <v>13747.625000000002</v>
      </c>
      <c r="C3" s="65">
        <v>3674.36</v>
      </c>
      <c r="D3" s="65">
        <v>420</v>
      </c>
      <c r="E3" s="70">
        <f>(B3-(C3+D3))/B3</f>
        <v>0.70217692146825361</v>
      </c>
    </row>
    <row r="4" spans="1:5" x14ac:dyDescent="0.3">
      <c r="A4" s="79" t="s">
        <v>122</v>
      </c>
      <c r="B4" s="80">
        <v>10831.525</v>
      </c>
      <c r="C4" s="65">
        <v>3515.63</v>
      </c>
      <c r="D4" s="65">
        <v>190</v>
      </c>
      <c r="E4" s="70">
        <f t="shared" ref="E4:E10" si="0">(B4-(C4+D4))/B4</f>
        <v>0.65788473922185475</v>
      </c>
    </row>
    <row r="5" spans="1:5" x14ac:dyDescent="0.3">
      <c r="A5" s="79" t="s">
        <v>123</v>
      </c>
      <c r="B5" s="80">
        <v>11533</v>
      </c>
      <c r="C5" s="65">
        <v>2465.39</v>
      </c>
      <c r="D5" s="65">
        <v>480</v>
      </c>
      <c r="E5" s="70">
        <f t="shared" si="0"/>
        <v>0.74461198300528919</v>
      </c>
    </row>
    <row r="6" spans="1:5" x14ac:dyDescent="0.3">
      <c r="A6" s="79" t="s">
        <v>124</v>
      </c>
      <c r="B6" s="80">
        <v>8672.9416666666675</v>
      </c>
      <c r="C6" s="65">
        <v>3207.11</v>
      </c>
      <c r="D6" s="65">
        <v>600</v>
      </c>
      <c r="E6" s="70">
        <f t="shared" si="0"/>
        <v>0.56103590381195156</v>
      </c>
    </row>
    <row r="7" spans="1:5" x14ac:dyDescent="0.3">
      <c r="A7" s="79" t="s">
        <v>125</v>
      </c>
      <c r="B7" s="80">
        <v>9880.0416666666661</v>
      </c>
      <c r="C7" s="65">
        <v>2804.09</v>
      </c>
      <c r="D7" s="65">
        <v>399</v>
      </c>
      <c r="E7" s="70">
        <f t="shared" si="0"/>
        <v>0.67580197451933821</v>
      </c>
    </row>
    <row r="8" spans="1:5" x14ac:dyDescent="0.3">
      <c r="A8" s="79" t="s">
        <v>126</v>
      </c>
      <c r="B8" s="80">
        <v>13028</v>
      </c>
      <c r="C8" s="65">
        <v>1991.28</v>
      </c>
      <c r="D8" s="65">
        <v>180</v>
      </c>
      <c r="E8" s="70">
        <f t="shared" si="0"/>
        <v>0.83333742708013514</v>
      </c>
    </row>
    <row r="9" spans="1:5" x14ac:dyDescent="0.3">
      <c r="A9" s="79" t="s">
        <v>128</v>
      </c>
      <c r="B9" s="80">
        <v>13626.458333333334</v>
      </c>
      <c r="C9" s="65">
        <v>3575.8</v>
      </c>
      <c r="D9" s="65">
        <v>190</v>
      </c>
      <c r="E9" s="70">
        <f t="shared" si="0"/>
        <v>0.72364058892779048</v>
      </c>
    </row>
    <row r="10" spans="1:5" x14ac:dyDescent="0.3">
      <c r="A10" s="79" t="s">
        <v>112</v>
      </c>
      <c r="B10" s="80">
        <v>16898.166666666668</v>
      </c>
      <c r="C10" s="81">
        <v>3385.36</v>
      </c>
      <c r="D10" s="81">
        <v>1392</v>
      </c>
      <c r="E10" s="70">
        <f t="shared" si="0"/>
        <v>0.71728530708459493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BD341-03DA-49C7-B0AF-85446233583F}">
  <dimension ref="A1:J8"/>
  <sheetViews>
    <sheetView workbookViewId="0"/>
  </sheetViews>
  <sheetFormatPr defaultRowHeight="14.4" x14ac:dyDescent="0.3"/>
  <cols>
    <col min="1" max="1" width="44" bestFit="1" customWidth="1"/>
    <col min="2" max="2" width="15.44140625" bestFit="1" customWidth="1"/>
    <col min="3" max="6" width="8.5546875" bestFit="1" customWidth="1"/>
    <col min="7" max="7" width="10.44140625" bestFit="1" customWidth="1"/>
    <col min="8" max="9" width="8.5546875" bestFit="1" customWidth="1"/>
    <col min="10" max="11" width="10.5546875" bestFit="1" customWidth="1"/>
    <col min="12" max="12" width="6.5546875" bestFit="1" customWidth="1"/>
    <col min="13" max="13" width="10.5546875" bestFit="1" customWidth="1"/>
    <col min="14" max="14" width="11.44140625" bestFit="1" customWidth="1"/>
    <col min="15" max="15" width="10.5546875" bestFit="1" customWidth="1"/>
  </cols>
  <sheetData>
    <row r="1" spans="1:10" x14ac:dyDescent="0.3">
      <c r="A1" s="75" t="s">
        <v>275</v>
      </c>
      <c r="B1" s="75" t="s">
        <v>278</v>
      </c>
    </row>
    <row r="2" spans="1:10" x14ac:dyDescent="0.3">
      <c r="A2" s="75" t="s">
        <v>276</v>
      </c>
      <c r="B2" t="s">
        <v>122</v>
      </c>
      <c r="C2" t="s">
        <v>123</v>
      </c>
      <c r="D2" t="s">
        <v>121</v>
      </c>
      <c r="E2" t="s">
        <v>126</v>
      </c>
      <c r="F2" t="s">
        <v>254</v>
      </c>
      <c r="G2" t="s">
        <v>4</v>
      </c>
      <c r="H2" t="s">
        <v>124</v>
      </c>
      <c r="I2" t="s">
        <v>125</v>
      </c>
      <c r="J2" t="s">
        <v>277</v>
      </c>
    </row>
    <row r="3" spans="1:10" x14ac:dyDescent="0.3">
      <c r="A3" s="76" t="s">
        <v>255</v>
      </c>
      <c r="B3" s="77">
        <v>40</v>
      </c>
      <c r="C3" s="77"/>
      <c r="D3" s="77"/>
      <c r="E3" s="77"/>
      <c r="F3" s="77">
        <v>40</v>
      </c>
      <c r="G3" s="77"/>
      <c r="H3" s="77"/>
      <c r="I3" s="77">
        <v>24</v>
      </c>
      <c r="J3" s="77">
        <v>104</v>
      </c>
    </row>
    <row r="4" spans="1:10" x14ac:dyDescent="0.3">
      <c r="A4" s="76" t="s">
        <v>244</v>
      </c>
      <c r="B4" s="77"/>
      <c r="C4" s="77">
        <v>60</v>
      </c>
      <c r="D4" s="77"/>
      <c r="E4" s="77"/>
      <c r="F4" s="77"/>
      <c r="G4" s="77"/>
      <c r="H4" s="77">
        <v>90</v>
      </c>
      <c r="I4" s="77">
        <v>90</v>
      </c>
      <c r="J4" s="77">
        <v>240</v>
      </c>
    </row>
    <row r="5" spans="1:10" x14ac:dyDescent="0.3">
      <c r="A5" s="76" t="s">
        <v>238</v>
      </c>
      <c r="B5" s="77">
        <v>150</v>
      </c>
      <c r="C5" s="77">
        <v>420</v>
      </c>
      <c r="D5" s="77">
        <v>420</v>
      </c>
      <c r="E5" s="77">
        <v>150</v>
      </c>
      <c r="F5" s="77">
        <v>150</v>
      </c>
      <c r="G5" s="77"/>
      <c r="H5" s="77">
        <v>240</v>
      </c>
      <c r="I5" s="77">
        <v>285</v>
      </c>
      <c r="J5" s="77">
        <v>1815</v>
      </c>
    </row>
    <row r="6" spans="1:10" x14ac:dyDescent="0.3">
      <c r="A6" s="76" t="s">
        <v>246</v>
      </c>
      <c r="B6" s="77"/>
      <c r="C6" s="77"/>
      <c r="D6" s="77"/>
      <c r="E6" s="77"/>
      <c r="F6" s="77"/>
      <c r="G6" s="77">
        <v>1392</v>
      </c>
      <c r="H6" s="77"/>
      <c r="I6" s="77"/>
      <c r="J6" s="77">
        <v>1392</v>
      </c>
    </row>
    <row r="7" spans="1:10" x14ac:dyDescent="0.3">
      <c r="A7" s="76" t="s">
        <v>239</v>
      </c>
      <c r="B7" s="77"/>
      <c r="C7" s="77"/>
      <c r="D7" s="77"/>
      <c r="E7" s="77">
        <v>30</v>
      </c>
      <c r="F7" s="77"/>
      <c r="G7" s="77"/>
      <c r="H7" s="77">
        <v>270</v>
      </c>
      <c r="I7" s="77"/>
      <c r="J7" s="77">
        <v>300</v>
      </c>
    </row>
    <row r="8" spans="1:10" x14ac:dyDescent="0.3">
      <c r="A8" s="76" t="s">
        <v>277</v>
      </c>
      <c r="B8" s="77">
        <v>190</v>
      </c>
      <c r="C8" s="77">
        <v>480</v>
      </c>
      <c r="D8" s="77">
        <v>420</v>
      </c>
      <c r="E8" s="77">
        <v>180</v>
      </c>
      <c r="F8" s="77">
        <v>190</v>
      </c>
      <c r="G8" s="77">
        <v>1392</v>
      </c>
      <c r="H8" s="77">
        <v>600</v>
      </c>
      <c r="I8" s="77">
        <v>399</v>
      </c>
      <c r="J8" s="77">
        <v>3851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F9D9-DD32-4CA5-807E-20D75B9DD3D0}">
  <dimension ref="A1:CA60"/>
  <sheetViews>
    <sheetView workbookViewId="0"/>
  </sheetViews>
  <sheetFormatPr defaultRowHeight="14.4" x14ac:dyDescent="0.3"/>
  <cols>
    <col min="1" max="1" width="18.5546875" bestFit="1" customWidth="1"/>
    <col min="2" max="2" width="20.44140625" bestFit="1" customWidth="1"/>
    <col min="3" max="3" width="27.5546875" bestFit="1" customWidth="1"/>
    <col min="4" max="4" width="31.44140625" bestFit="1" customWidth="1"/>
    <col min="5" max="5" width="6" bestFit="1" customWidth="1"/>
    <col min="6" max="6" width="44" bestFit="1" customWidth="1"/>
    <col min="8" max="9" width="7.44140625" bestFit="1" customWidth="1"/>
    <col min="10" max="10" width="10.44140625" bestFit="1" customWidth="1"/>
    <col min="11" max="11" width="9.44140625" bestFit="1" customWidth="1"/>
    <col min="12" max="12" width="12.44140625" bestFit="1" customWidth="1"/>
    <col min="13" max="13" width="22.44140625" bestFit="1" customWidth="1"/>
    <col min="14" max="14" width="17.44140625" bestFit="1" customWidth="1"/>
    <col min="15" max="15" width="21.44140625" bestFit="1" customWidth="1"/>
    <col min="16" max="16" width="15.5546875" bestFit="1" customWidth="1"/>
    <col min="17" max="17" width="21.44140625" bestFit="1" customWidth="1"/>
    <col min="18" max="18" width="29.5546875" bestFit="1" customWidth="1"/>
    <col min="19" max="20" width="23.44140625" bestFit="1" customWidth="1"/>
    <col min="21" max="21" width="19.44140625" bestFit="1" customWidth="1"/>
    <col min="22" max="22" width="28" bestFit="1" customWidth="1"/>
    <col min="23" max="23" width="26.5546875" bestFit="1" customWidth="1"/>
    <col min="24" max="24" width="25.5546875" bestFit="1" customWidth="1"/>
    <col min="25" max="25" width="28.5546875" bestFit="1" customWidth="1"/>
    <col min="26" max="26" width="26.44140625" bestFit="1" customWidth="1"/>
    <col min="27" max="27" width="21.5546875" bestFit="1" customWidth="1"/>
    <col min="28" max="28" width="18.44140625" bestFit="1" customWidth="1"/>
    <col min="29" max="29" width="27" bestFit="1" customWidth="1"/>
    <col min="30" max="31" width="20.5546875" bestFit="1" customWidth="1"/>
    <col min="32" max="32" width="16.44140625" bestFit="1" customWidth="1"/>
    <col min="33" max="33" width="25.44140625" bestFit="1" customWidth="1"/>
    <col min="34" max="34" width="23.5546875" bestFit="1" customWidth="1"/>
    <col min="35" max="35" width="22.5546875" bestFit="1" customWidth="1"/>
    <col min="36" max="36" width="25.5546875" bestFit="1" customWidth="1"/>
    <col min="37" max="37" width="23.5546875" bestFit="1" customWidth="1"/>
    <col min="38" max="38" width="18.5546875" bestFit="1" customWidth="1"/>
    <col min="39" max="39" width="17" bestFit="1" customWidth="1"/>
    <col min="40" max="40" width="18.44140625" bestFit="1" customWidth="1"/>
    <col min="41" max="41" width="17.5546875" bestFit="1" customWidth="1"/>
    <col min="42" max="42" width="16.5546875" bestFit="1" customWidth="1"/>
    <col min="43" max="43" width="18" bestFit="1" customWidth="1"/>
    <col min="44" max="44" width="21.5546875" bestFit="1" customWidth="1"/>
    <col min="45" max="45" width="23.44140625" bestFit="1" customWidth="1"/>
    <col min="46" max="46" width="15.5546875" bestFit="1" customWidth="1"/>
    <col min="47" max="47" width="11.44140625" bestFit="1" customWidth="1"/>
    <col min="48" max="48" width="15.5546875" bestFit="1" customWidth="1"/>
    <col min="49" max="49" width="19.5546875" bestFit="1" customWidth="1"/>
    <col min="50" max="50" width="12.5546875" bestFit="1" customWidth="1"/>
    <col min="51" max="51" width="19.44140625" bestFit="1" customWidth="1"/>
    <col min="52" max="52" width="18.5546875" bestFit="1" customWidth="1"/>
    <col min="53" max="53" width="23.44140625" bestFit="1" customWidth="1"/>
    <col min="54" max="54" width="14.44140625" bestFit="1" customWidth="1"/>
    <col min="55" max="56" width="17.5546875" bestFit="1" customWidth="1"/>
    <col min="57" max="57" width="80.5546875" bestFit="1" customWidth="1"/>
    <col min="58" max="58" width="10.44140625" bestFit="1" customWidth="1"/>
    <col min="59" max="59" width="14.44140625" bestFit="1" customWidth="1"/>
    <col min="60" max="60" width="27.5546875" bestFit="1" customWidth="1"/>
    <col min="61" max="61" width="12" bestFit="1" customWidth="1"/>
    <col min="62" max="62" width="13.44140625" bestFit="1" customWidth="1"/>
    <col min="63" max="63" width="14.44140625" bestFit="1" customWidth="1"/>
    <col min="64" max="64" width="15.5546875" bestFit="1" customWidth="1"/>
    <col min="65" max="65" width="20.44140625" bestFit="1" customWidth="1"/>
    <col min="66" max="66" width="15.44140625" bestFit="1" customWidth="1"/>
    <col min="67" max="67" width="18.44140625" bestFit="1" customWidth="1"/>
    <col min="68" max="68" width="11.44140625" bestFit="1" customWidth="1"/>
    <col min="69" max="69" width="21.5546875" bestFit="1" customWidth="1"/>
    <col min="70" max="70" width="23.44140625" bestFit="1" customWidth="1"/>
    <col min="71" max="71" width="23.5546875" bestFit="1" customWidth="1"/>
    <col min="72" max="72" width="6.44140625" bestFit="1" customWidth="1"/>
    <col min="73" max="73" width="12.44140625" bestFit="1" customWidth="1"/>
    <col min="74" max="74" width="31.5546875" bestFit="1" customWidth="1"/>
    <col min="75" max="75" width="21.44140625" bestFit="1" customWidth="1"/>
    <col min="76" max="76" width="19.44140625" bestFit="1" customWidth="1"/>
    <col min="77" max="77" width="52.44140625" bestFit="1" customWidth="1"/>
    <col min="78" max="78" width="36.44140625" bestFit="1" customWidth="1"/>
    <col min="79" max="79" width="10.5546875" bestFit="1" customWidth="1"/>
  </cols>
  <sheetData>
    <row r="1" spans="1:79" x14ac:dyDescent="0.3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  <c r="AC1" t="s">
        <v>169</v>
      </c>
      <c r="AD1" t="s">
        <v>170</v>
      </c>
      <c r="AE1" t="s">
        <v>171</v>
      </c>
      <c r="AF1" t="s">
        <v>172</v>
      </c>
      <c r="AG1" t="s">
        <v>173</v>
      </c>
      <c r="AH1" t="s">
        <v>174</v>
      </c>
      <c r="AI1" t="s">
        <v>175</v>
      </c>
      <c r="AJ1" t="s">
        <v>176</v>
      </c>
      <c r="AK1" t="s">
        <v>177</v>
      </c>
      <c r="AL1" t="s">
        <v>178</v>
      </c>
      <c r="AM1" t="s">
        <v>179</v>
      </c>
      <c r="AN1" t="s">
        <v>180</v>
      </c>
      <c r="AO1" t="s">
        <v>181</v>
      </c>
      <c r="AP1" t="s">
        <v>182</v>
      </c>
      <c r="AQ1" t="s">
        <v>183</v>
      </c>
      <c r="AR1" t="s">
        <v>184</v>
      </c>
      <c r="AS1" t="s">
        <v>185</v>
      </c>
      <c r="AT1" t="s">
        <v>186</v>
      </c>
      <c r="AU1" t="s">
        <v>187</v>
      </c>
      <c r="AV1" t="s">
        <v>188</v>
      </c>
      <c r="AW1" t="s">
        <v>189</v>
      </c>
      <c r="AX1" t="s">
        <v>190</v>
      </c>
      <c r="AY1" t="s">
        <v>191</v>
      </c>
      <c r="AZ1" t="s">
        <v>192</v>
      </c>
      <c r="BA1" t="s">
        <v>193</v>
      </c>
      <c r="BB1" t="s">
        <v>194</v>
      </c>
      <c r="BC1" t="s">
        <v>195</v>
      </c>
      <c r="BD1" t="s">
        <v>196</v>
      </c>
      <c r="BE1" t="s">
        <v>197</v>
      </c>
      <c r="BF1" t="s">
        <v>198</v>
      </c>
      <c r="BG1" t="s">
        <v>199</v>
      </c>
      <c r="BH1" t="s">
        <v>200</v>
      </c>
      <c r="BI1" t="s">
        <v>201</v>
      </c>
      <c r="BJ1" t="s">
        <v>202</v>
      </c>
      <c r="BK1" t="s">
        <v>203</v>
      </c>
      <c r="BL1" t="s">
        <v>204</v>
      </c>
      <c r="BM1" t="s">
        <v>205</v>
      </c>
      <c r="BN1" t="s">
        <v>206</v>
      </c>
      <c r="BO1" t="s">
        <v>207</v>
      </c>
      <c r="BP1" t="s">
        <v>208</v>
      </c>
      <c r="BQ1" t="s">
        <v>209</v>
      </c>
      <c r="BR1" t="s">
        <v>210</v>
      </c>
      <c r="BS1" t="s">
        <v>211</v>
      </c>
      <c r="BT1" t="s">
        <v>212</v>
      </c>
      <c r="BU1" t="s">
        <v>213</v>
      </c>
      <c r="BV1" t="s">
        <v>214</v>
      </c>
      <c r="BW1" t="s">
        <v>215</v>
      </c>
      <c r="BX1" t="s">
        <v>216</v>
      </c>
      <c r="BY1" t="s">
        <v>217</v>
      </c>
      <c r="BZ1" t="s">
        <v>218</v>
      </c>
      <c r="CA1" t="s">
        <v>219</v>
      </c>
    </row>
    <row r="2" spans="1:79" hidden="1" x14ac:dyDescent="0.3">
      <c r="A2" t="s">
        <v>287</v>
      </c>
      <c r="B2">
        <v>3671</v>
      </c>
      <c r="C2" t="s">
        <v>220</v>
      </c>
      <c r="D2" t="s">
        <v>245</v>
      </c>
      <c r="E2">
        <v>0</v>
      </c>
      <c r="F2" t="s">
        <v>246</v>
      </c>
      <c r="G2">
        <v>0</v>
      </c>
      <c r="H2">
        <v>8</v>
      </c>
      <c r="I2">
        <v>160</v>
      </c>
      <c r="J2">
        <v>20</v>
      </c>
      <c r="K2" t="s">
        <v>220</v>
      </c>
      <c r="L2" t="s">
        <v>220</v>
      </c>
      <c r="M2" t="b">
        <v>0</v>
      </c>
      <c r="N2" t="s">
        <v>220</v>
      </c>
      <c r="O2" t="b">
        <v>0</v>
      </c>
      <c r="P2" s="74">
        <v>45859.85</v>
      </c>
      <c r="Q2" t="s">
        <v>220</v>
      </c>
      <c r="R2" t="s">
        <v>220</v>
      </c>
      <c r="S2" t="s">
        <v>220</v>
      </c>
      <c r="T2" t="s">
        <v>220</v>
      </c>
      <c r="U2" t="s">
        <v>220</v>
      </c>
      <c r="V2" t="s">
        <v>220</v>
      </c>
      <c r="W2" t="s">
        <v>220</v>
      </c>
      <c r="X2" t="s">
        <v>220</v>
      </c>
      <c r="Y2" t="s">
        <v>220</v>
      </c>
      <c r="Z2" t="s">
        <v>220</v>
      </c>
      <c r="AA2" t="s">
        <v>220</v>
      </c>
      <c r="AB2" t="s">
        <v>220</v>
      </c>
      <c r="AC2" t="s">
        <v>220</v>
      </c>
      <c r="AD2" t="s">
        <v>220</v>
      </c>
      <c r="AE2" t="s">
        <v>220</v>
      </c>
      <c r="AF2" t="s">
        <v>220</v>
      </c>
      <c r="AG2" t="s">
        <v>220</v>
      </c>
      <c r="AH2" t="s">
        <v>220</v>
      </c>
      <c r="AI2" t="s">
        <v>220</v>
      </c>
      <c r="AJ2" t="s">
        <v>220</v>
      </c>
      <c r="AK2" t="s">
        <v>220</v>
      </c>
      <c r="AL2" t="s">
        <v>220</v>
      </c>
      <c r="AM2" t="s">
        <v>220</v>
      </c>
      <c r="AN2" t="s">
        <v>223</v>
      </c>
      <c r="AO2" t="s">
        <v>220</v>
      </c>
      <c r="AP2" t="s">
        <v>224</v>
      </c>
      <c r="AQ2" t="s">
        <v>225</v>
      </c>
      <c r="AR2" t="s">
        <v>226</v>
      </c>
      <c r="AS2" t="s">
        <v>227</v>
      </c>
      <c r="AT2">
        <v>160</v>
      </c>
      <c r="AU2">
        <v>0</v>
      </c>
      <c r="AV2">
        <v>0</v>
      </c>
      <c r="AW2">
        <v>0</v>
      </c>
      <c r="AX2">
        <v>160</v>
      </c>
      <c r="AY2" t="s">
        <v>220</v>
      </c>
      <c r="AZ2" t="s">
        <v>220</v>
      </c>
      <c r="BA2" t="s">
        <v>220</v>
      </c>
      <c r="BB2" t="s">
        <v>220</v>
      </c>
      <c r="BC2">
        <v>0</v>
      </c>
      <c r="BD2">
        <v>0</v>
      </c>
      <c r="BE2" t="s">
        <v>228</v>
      </c>
      <c r="BF2">
        <v>0</v>
      </c>
      <c r="BG2">
        <v>0</v>
      </c>
      <c r="BH2" t="s">
        <v>220</v>
      </c>
      <c r="BI2" t="s">
        <v>220</v>
      </c>
      <c r="BJ2" t="s">
        <v>220</v>
      </c>
      <c r="BK2" t="s">
        <v>220</v>
      </c>
      <c r="BL2" t="s">
        <v>220</v>
      </c>
      <c r="BM2" t="s">
        <v>247</v>
      </c>
      <c r="BN2" t="s">
        <v>220</v>
      </c>
      <c r="BO2" t="s">
        <v>220</v>
      </c>
      <c r="BP2" t="s">
        <v>220</v>
      </c>
      <c r="BQ2">
        <v>0</v>
      </c>
      <c r="BR2" t="s">
        <v>220</v>
      </c>
      <c r="BS2" t="s">
        <v>220</v>
      </c>
      <c r="BT2" t="s">
        <v>220</v>
      </c>
      <c r="BU2" t="s">
        <v>220</v>
      </c>
      <c r="BV2" t="s">
        <v>220</v>
      </c>
      <c r="BW2" t="s">
        <v>220</v>
      </c>
      <c r="BX2" t="s">
        <v>4</v>
      </c>
      <c r="BY2" t="s">
        <v>230</v>
      </c>
      <c r="BZ2" t="s">
        <v>248</v>
      </c>
      <c r="CA2" t="s">
        <v>232</v>
      </c>
    </row>
    <row r="3" spans="1:79" hidden="1" x14ac:dyDescent="0.3">
      <c r="A3" t="s">
        <v>288</v>
      </c>
      <c r="B3">
        <v>3672</v>
      </c>
      <c r="C3" t="s">
        <v>220</v>
      </c>
      <c r="D3" t="s">
        <v>242</v>
      </c>
      <c r="E3">
        <v>54</v>
      </c>
      <c r="F3" t="s">
        <v>238</v>
      </c>
      <c r="G3">
        <v>0</v>
      </c>
      <c r="H3">
        <v>15</v>
      </c>
      <c r="I3">
        <v>75</v>
      </c>
      <c r="J3">
        <v>5</v>
      </c>
      <c r="K3" t="s">
        <v>220</v>
      </c>
      <c r="L3" t="s">
        <v>220</v>
      </c>
      <c r="M3" t="b">
        <v>0</v>
      </c>
      <c r="N3" t="s">
        <v>220</v>
      </c>
      <c r="O3" t="b">
        <v>0</v>
      </c>
      <c r="P3" s="74">
        <v>45859.886805555558</v>
      </c>
      <c r="Q3" t="s">
        <v>220</v>
      </c>
      <c r="R3" t="s">
        <v>220</v>
      </c>
      <c r="S3" t="s">
        <v>220</v>
      </c>
      <c r="T3" t="s">
        <v>220</v>
      </c>
      <c r="U3" t="s">
        <v>220</v>
      </c>
      <c r="V3" t="s">
        <v>220</v>
      </c>
      <c r="W3" t="s">
        <v>220</v>
      </c>
      <c r="X3" t="s">
        <v>220</v>
      </c>
      <c r="Y3" t="s">
        <v>220</v>
      </c>
      <c r="Z3" t="s">
        <v>220</v>
      </c>
      <c r="AA3" t="s">
        <v>220</v>
      </c>
      <c r="AB3" t="s">
        <v>220</v>
      </c>
      <c r="AC3" t="s">
        <v>220</v>
      </c>
      <c r="AD3" t="s">
        <v>220</v>
      </c>
      <c r="AE3" t="s">
        <v>220</v>
      </c>
      <c r="AF3" t="s">
        <v>220</v>
      </c>
      <c r="AG3" t="s">
        <v>220</v>
      </c>
      <c r="AH3" t="s">
        <v>220</v>
      </c>
      <c r="AI3" t="s">
        <v>220</v>
      </c>
      <c r="AJ3" t="s">
        <v>220</v>
      </c>
      <c r="AK3" t="s">
        <v>220</v>
      </c>
      <c r="AL3" t="s">
        <v>220</v>
      </c>
      <c r="AM3" t="s">
        <v>220</v>
      </c>
      <c r="AN3" t="s">
        <v>223</v>
      </c>
      <c r="AO3" t="s">
        <v>220</v>
      </c>
      <c r="AP3" t="s">
        <v>224</v>
      </c>
      <c r="AQ3" t="s">
        <v>225</v>
      </c>
      <c r="AR3" t="s">
        <v>226</v>
      </c>
      <c r="AS3" t="s">
        <v>227</v>
      </c>
      <c r="AT3">
        <v>135</v>
      </c>
      <c r="AU3">
        <v>0</v>
      </c>
      <c r="AV3">
        <v>0</v>
      </c>
      <c r="AW3">
        <v>0</v>
      </c>
      <c r="AX3">
        <v>135</v>
      </c>
      <c r="AY3" t="s">
        <v>220</v>
      </c>
      <c r="AZ3" t="s">
        <v>220</v>
      </c>
      <c r="BA3" t="s">
        <v>220</v>
      </c>
      <c r="BB3" t="s">
        <v>220</v>
      </c>
      <c r="BC3">
        <v>0</v>
      </c>
      <c r="BD3">
        <v>0</v>
      </c>
      <c r="BE3" t="s">
        <v>228</v>
      </c>
      <c r="BF3">
        <v>0</v>
      </c>
      <c r="BG3">
        <v>0</v>
      </c>
      <c r="BH3" t="s">
        <v>220</v>
      </c>
      <c r="BI3" t="s">
        <v>220</v>
      </c>
      <c r="BJ3" t="s">
        <v>220</v>
      </c>
      <c r="BK3" t="s">
        <v>220</v>
      </c>
      <c r="BL3" t="s">
        <v>220</v>
      </c>
      <c r="BM3" t="s">
        <v>289</v>
      </c>
      <c r="BN3" t="s">
        <v>220</v>
      </c>
      <c r="BO3" t="s">
        <v>220</v>
      </c>
      <c r="BP3" t="s">
        <v>220</v>
      </c>
      <c r="BQ3">
        <v>0</v>
      </c>
      <c r="BR3" t="s">
        <v>220</v>
      </c>
      <c r="BS3" t="s">
        <v>220</v>
      </c>
      <c r="BT3" t="s">
        <v>220</v>
      </c>
      <c r="BU3" t="s">
        <v>220</v>
      </c>
      <c r="BV3" t="s">
        <v>220</v>
      </c>
      <c r="BW3" t="s">
        <v>220</v>
      </c>
      <c r="BX3" t="s">
        <v>123</v>
      </c>
      <c r="BY3" t="s">
        <v>235</v>
      </c>
      <c r="BZ3" t="s">
        <v>243</v>
      </c>
      <c r="CA3" t="s">
        <v>232</v>
      </c>
    </row>
    <row r="4" spans="1:79" hidden="1" x14ac:dyDescent="0.3">
      <c r="A4" t="s">
        <v>288</v>
      </c>
      <c r="B4">
        <v>3672</v>
      </c>
      <c r="C4" t="s">
        <v>220</v>
      </c>
      <c r="D4" t="s">
        <v>242</v>
      </c>
      <c r="E4">
        <v>18</v>
      </c>
      <c r="F4" t="s">
        <v>244</v>
      </c>
      <c r="G4">
        <v>0</v>
      </c>
      <c r="H4">
        <v>30</v>
      </c>
      <c r="I4">
        <v>60</v>
      </c>
      <c r="J4">
        <v>2</v>
      </c>
      <c r="K4" t="s">
        <v>220</v>
      </c>
      <c r="L4" t="s">
        <v>220</v>
      </c>
      <c r="M4" t="b">
        <v>0</v>
      </c>
      <c r="N4" t="s">
        <v>220</v>
      </c>
      <c r="O4" t="b">
        <v>0</v>
      </c>
      <c r="P4" s="74">
        <v>45859.886805555558</v>
      </c>
      <c r="Q4" t="s">
        <v>220</v>
      </c>
      <c r="R4" t="s">
        <v>220</v>
      </c>
      <c r="S4" t="s">
        <v>220</v>
      </c>
      <c r="T4" t="s">
        <v>220</v>
      </c>
      <c r="U4" t="s">
        <v>220</v>
      </c>
      <c r="V4" t="s">
        <v>220</v>
      </c>
      <c r="W4" t="s">
        <v>220</v>
      </c>
      <c r="X4" t="s">
        <v>220</v>
      </c>
      <c r="Y4" t="s">
        <v>220</v>
      </c>
      <c r="Z4" t="s">
        <v>220</v>
      </c>
      <c r="AA4" t="s">
        <v>220</v>
      </c>
      <c r="AB4" t="s">
        <v>220</v>
      </c>
      <c r="AC4" t="s">
        <v>220</v>
      </c>
      <c r="AD4" t="s">
        <v>220</v>
      </c>
      <c r="AE4" t="s">
        <v>220</v>
      </c>
      <c r="AF4" t="s">
        <v>220</v>
      </c>
      <c r="AG4" t="s">
        <v>220</v>
      </c>
      <c r="AH4" t="s">
        <v>220</v>
      </c>
      <c r="AI4" t="s">
        <v>220</v>
      </c>
      <c r="AJ4" t="s">
        <v>220</v>
      </c>
      <c r="AK4" t="s">
        <v>220</v>
      </c>
      <c r="AL4" t="s">
        <v>220</v>
      </c>
      <c r="AM4" t="s">
        <v>220</v>
      </c>
      <c r="AN4" t="s">
        <v>223</v>
      </c>
      <c r="AO4" t="s">
        <v>220</v>
      </c>
      <c r="AP4" t="s">
        <v>224</v>
      </c>
      <c r="AQ4" t="s">
        <v>225</v>
      </c>
      <c r="AR4" t="s">
        <v>226</v>
      </c>
      <c r="AS4" t="s">
        <v>227</v>
      </c>
      <c r="AT4">
        <v>135</v>
      </c>
      <c r="AU4">
        <v>0</v>
      </c>
      <c r="AV4">
        <v>0</v>
      </c>
      <c r="AW4">
        <v>0</v>
      </c>
      <c r="AX4">
        <v>135</v>
      </c>
      <c r="AY4" t="s">
        <v>220</v>
      </c>
      <c r="AZ4" t="s">
        <v>220</v>
      </c>
      <c r="BA4" t="s">
        <v>220</v>
      </c>
      <c r="BB4" t="s">
        <v>220</v>
      </c>
      <c r="BC4">
        <v>0</v>
      </c>
      <c r="BD4">
        <v>0</v>
      </c>
      <c r="BE4" t="s">
        <v>228</v>
      </c>
      <c r="BF4">
        <v>0</v>
      </c>
      <c r="BG4">
        <v>0</v>
      </c>
      <c r="BH4" t="s">
        <v>220</v>
      </c>
      <c r="BI4" t="s">
        <v>220</v>
      </c>
      <c r="BJ4" t="s">
        <v>220</v>
      </c>
      <c r="BK4" t="s">
        <v>220</v>
      </c>
      <c r="BL4" t="s">
        <v>220</v>
      </c>
      <c r="BM4" t="s">
        <v>289</v>
      </c>
      <c r="BN4" t="s">
        <v>220</v>
      </c>
      <c r="BO4" t="s">
        <v>220</v>
      </c>
      <c r="BP4" t="s">
        <v>220</v>
      </c>
      <c r="BQ4">
        <v>0</v>
      </c>
      <c r="BR4" t="s">
        <v>220</v>
      </c>
      <c r="BS4" t="s">
        <v>220</v>
      </c>
      <c r="BT4" t="s">
        <v>220</v>
      </c>
      <c r="BU4" t="s">
        <v>220</v>
      </c>
      <c r="BV4" t="s">
        <v>220</v>
      </c>
      <c r="BW4" t="s">
        <v>220</v>
      </c>
      <c r="BX4" t="s">
        <v>123</v>
      </c>
      <c r="BY4" t="s">
        <v>235</v>
      </c>
      <c r="BZ4" t="s">
        <v>243</v>
      </c>
      <c r="CA4" t="s">
        <v>232</v>
      </c>
    </row>
    <row r="5" spans="1:79" hidden="1" x14ac:dyDescent="0.3">
      <c r="A5" t="s">
        <v>290</v>
      </c>
      <c r="B5">
        <v>3674</v>
      </c>
      <c r="C5" t="s">
        <v>220</v>
      </c>
      <c r="D5" t="s">
        <v>291</v>
      </c>
      <c r="E5">
        <v>8</v>
      </c>
      <c r="F5" t="s">
        <v>240</v>
      </c>
      <c r="G5">
        <v>0</v>
      </c>
      <c r="H5">
        <v>68.12</v>
      </c>
      <c r="I5">
        <v>68.12</v>
      </c>
      <c r="J5">
        <v>1</v>
      </c>
      <c r="K5" t="s">
        <v>220</v>
      </c>
      <c r="L5" t="s">
        <v>220</v>
      </c>
      <c r="M5" t="b">
        <v>0</v>
      </c>
      <c r="N5" t="s">
        <v>220</v>
      </c>
      <c r="O5" t="b">
        <v>0</v>
      </c>
      <c r="P5" s="74">
        <v>45859.912499999999</v>
      </c>
      <c r="Q5" t="s">
        <v>220</v>
      </c>
      <c r="R5" t="s">
        <v>220</v>
      </c>
      <c r="S5" t="s">
        <v>220</v>
      </c>
      <c r="T5" t="s">
        <v>220</v>
      </c>
      <c r="U5" t="s">
        <v>220</v>
      </c>
      <c r="V5" t="s">
        <v>220</v>
      </c>
      <c r="W5" t="s">
        <v>220</v>
      </c>
      <c r="X5" t="s">
        <v>220</v>
      </c>
      <c r="Y5" t="s">
        <v>220</v>
      </c>
      <c r="Z5" t="s">
        <v>220</v>
      </c>
      <c r="AA5" t="s">
        <v>220</v>
      </c>
      <c r="AB5" t="s">
        <v>220</v>
      </c>
      <c r="AC5" t="s">
        <v>220</v>
      </c>
      <c r="AD5" t="s">
        <v>220</v>
      </c>
      <c r="AE5" t="s">
        <v>220</v>
      </c>
      <c r="AF5" t="s">
        <v>220</v>
      </c>
      <c r="AG5" t="s">
        <v>220</v>
      </c>
      <c r="AH5" t="s">
        <v>220</v>
      </c>
      <c r="AI5" t="s">
        <v>220</v>
      </c>
      <c r="AJ5" t="s">
        <v>220</v>
      </c>
      <c r="AK5" t="s">
        <v>220</v>
      </c>
      <c r="AL5" t="s">
        <v>220</v>
      </c>
      <c r="AM5" t="s">
        <v>220</v>
      </c>
      <c r="AN5" t="s">
        <v>223</v>
      </c>
      <c r="AO5" t="s">
        <v>220</v>
      </c>
      <c r="AP5" t="s">
        <v>224</v>
      </c>
      <c r="AQ5" t="s">
        <v>225</v>
      </c>
      <c r="AR5" t="s">
        <v>226</v>
      </c>
      <c r="AS5" t="s">
        <v>227</v>
      </c>
      <c r="AT5">
        <v>68.12</v>
      </c>
      <c r="AU5">
        <v>0</v>
      </c>
      <c r="AV5">
        <v>0</v>
      </c>
      <c r="AW5">
        <v>0</v>
      </c>
      <c r="AX5">
        <v>68.12</v>
      </c>
      <c r="AY5" t="s">
        <v>220</v>
      </c>
      <c r="AZ5" t="s">
        <v>220</v>
      </c>
      <c r="BA5" t="s">
        <v>220</v>
      </c>
      <c r="BB5" t="s">
        <v>220</v>
      </c>
      <c r="BC5">
        <v>0</v>
      </c>
      <c r="BD5">
        <v>0</v>
      </c>
      <c r="BE5" t="s">
        <v>228</v>
      </c>
      <c r="BF5">
        <v>0</v>
      </c>
      <c r="BG5">
        <v>0</v>
      </c>
      <c r="BH5" t="s">
        <v>292</v>
      </c>
      <c r="BI5" t="s">
        <v>220</v>
      </c>
      <c r="BJ5" t="s">
        <v>220</v>
      </c>
      <c r="BK5" t="s">
        <v>220</v>
      </c>
      <c r="BL5" t="s">
        <v>220</v>
      </c>
      <c r="BM5" t="s">
        <v>293</v>
      </c>
      <c r="BN5" t="s">
        <v>220</v>
      </c>
      <c r="BO5" t="s">
        <v>220</v>
      </c>
      <c r="BP5" t="s">
        <v>220</v>
      </c>
      <c r="BQ5">
        <v>0</v>
      </c>
      <c r="BR5" t="s">
        <v>220</v>
      </c>
      <c r="BS5" t="s">
        <v>220</v>
      </c>
      <c r="BT5" t="s">
        <v>220</v>
      </c>
      <c r="BU5" t="s">
        <v>220</v>
      </c>
      <c r="BV5" t="s">
        <v>220</v>
      </c>
      <c r="BW5" t="s">
        <v>220</v>
      </c>
      <c r="BX5" t="s">
        <v>120</v>
      </c>
      <c r="BY5" t="s">
        <v>230</v>
      </c>
      <c r="BZ5" t="s">
        <v>294</v>
      </c>
      <c r="CA5" t="s">
        <v>232</v>
      </c>
    </row>
    <row r="6" spans="1:79" hidden="1" x14ac:dyDescent="0.3">
      <c r="A6" t="s">
        <v>295</v>
      </c>
      <c r="B6">
        <v>3673</v>
      </c>
      <c r="C6" t="s">
        <v>220</v>
      </c>
      <c r="D6" t="s">
        <v>249</v>
      </c>
      <c r="E6">
        <v>3</v>
      </c>
      <c r="F6" t="s">
        <v>255</v>
      </c>
      <c r="G6">
        <v>0</v>
      </c>
      <c r="H6">
        <v>4</v>
      </c>
      <c r="I6">
        <v>16</v>
      </c>
      <c r="J6">
        <v>4</v>
      </c>
      <c r="K6" t="s">
        <v>220</v>
      </c>
      <c r="L6" t="s">
        <v>220</v>
      </c>
      <c r="M6" t="b">
        <v>0</v>
      </c>
      <c r="N6" t="s">
        <v>220</v>
      </c>
      <c r="O6" t="b">
        <v>0</v>
      </c>
      <c r="P6" s="74">
        <v>45859.904861111114</v>
      </c>
      <c r="Q6" t="s">
        <v>220</v>
      </c>
      <c r="R6" t="s">
        <v>220</v>
      </c>
      <c r="S6" t="s">
        <v>220</v>
      </c>
      <c r="T6" t="s">
        <v>220</v>
      </c>
      <c r="U6" t="s">
        <v>220</v>
      </c>
      <c r="V6" t="s">
        <v>220</v>
      </c>
      <c r="W6" t="s">
        <v>220</v>
      </c>
      <c r="X6" t="s">
        <v>220</v>
      </c>
      <c r="Y6" t="s">
        <v>220</v>
      </c>
      <c r="Z6" t="s">
        <v>220</v>
      </c>
      <c r="AA6" t="s">
        <v>220</v>
      </c>
      <c r="AB6" t="s">
        <v>220</v>
      </c>
      <c r="AC6" t="s">
        <v>220</v>
      </c>
      <c r="AD6" t="s">
        <v>220</v>
      </c>
      <c r="AE6" t="s">
        <v>220</v>
      </c>
      <c r="AF6" t="s">
        <v>220</v>
      </c>
      <c r="AG6" t="s">
        <v>220</v>
      </c>
      <c r="AH6" t="s">
        <v>220</v>
      </c>
      <c r="AI6" t="s">
        <v>220</v>
      </c>
      <c r="AJ6" t="s">
        <v>220</v>
      </c>
      <c r="AK6" t="s">
        <v>220</v>
      </c>
      <c r="AL6" t="s">
        <v>220</v>
      </c>
      <c r="AM6" t="s">
        <v>220</v>
      </c>
      <c r="AN6" t="s">
        <v>223</v>
      </c>
      <c r="AO6" t="s">
        <v>220</v>
      </c>
      <c r="AP6" t="s">
        <v>224</v>
      </c>
      <c r="AQ6" t="s">
        <v>225</v>
      </c>
      <c r="AR6" t="s">
        <v>226</v>
      </c>
      <c r="AS6" t="s">
        <v>227</v>
      </c>
      <c r="AT6">
        <v>16</v>
      </c>
      <c r="AU6">
        <v>0</v>
      </c>
      <c r="AV6">
        <v>0</v>
      </c>
      <c r="AW6">
        <v>0</v>
      </c>
      <c r="AX6">
        <v>16</v>
      </c>
      <c r="AY6" t="s">
        <v>220</v>
      </c>
      <c r="AZ6" t="s">
        <v>220</v>
      </c>
      <c r="BA6" t="s">
        <v>220</v>
      </c>
      <c r="BB6" t="s">
        <v>220</v>
      </c>
      <c r="BC6">
        <v>0</v>
      </c>
      <c r="BD6">
        <v>0</v>
      </c>
      <c r="BE6" t="s">
        <v>228</v>
      </c>
      <c r="BF6">
        <v>0</v>
      </c>
      <c r="BG6">
        <v>0</v>
      </c>
      <c r="BH6" t="s">
        <v>220</v>
      </c>
      <c r="BI6" t="s">
        <v>220</v>
      </c>
      <c r="BJ6" t="s">
        <v>220</v>
      </c>
      <c r="BK6" t="s">
        <v>220</v>
      </c>
      <c r="BL6" t="s">
        <v>220</v>
      </c>
      <c r="BM6" t="s">
        <v>296</v>
      </c>
      <c r="BN6" t="s">
        <v>220</v>
      </c>
      <c r="BO6" t="s">
        <v>220</v>
      </c>
      <c r="BP6" t="s">
        <v>220</v>
      </c>
      <c r="BQ6">
        <v>0</v>
      </c>
      <c r="BR6" t="s">
        <v>220</v>
      </c>
      <c r="BS6" t="s">
        <v>220</v>
      </c>
      <c r="BT6" t="s">
        <v>220</v>
      </c>
      <c r="BU6" t="s">
        <v>220</v>
      </c>
      <c r="BV6" t="s">
        <v>220</v>
      </c>
      <c r="BW6" t="s">
        <v>220</v>
      </c>
      <c r="BX6" t="s">
        <v>122</v>
      </c>
      <c r="BY6" t="s">
        <v>230</v>
      </c>
      <c r="BZ6" t="s">
        <v>220</v>
      </c>
      <c r="CA6" t="s">
        <v>232</v>
      </c>
    </row>
    <row r="7" spans="1:79" hidden="1" x14ac:dyDescent="0.3">
      <c r="A7" t="s">
        <v>297</v>
      </c>
      <c r="B7">
        <v>3675</v>
      </c>
      <c r="C7" t="s">
        <v>220</v>
      </c>
      <c r="D7" t="s">
        <v>233</v>
      </c>
      <c r="E7">
        <v>3004</v>
      </c>
      <c r="F7" t="s">
        <v>283</v>
      </c>
      <c r="G7">
        <v>0</v>
      </c>
      <c r="H7">
        <v>10.7</v>
      </c>
      <c r="I7">
        <v>21.4</v>
      </c>
      <c r="J7">
        <v>2</v>
      </c>
      <c r="K7" t="s">
        <v>220</v>
      </c>
      <c r="L7" t="s">
        <v>220</v>
      </c>
      <c r="M7" t="b">
        <v>0</v>
      </c>
      <c r="N7" t="s">
        <v>220</v>
      </c>
      <c r="O7" t="b">
        <v>0</v>
      </c>
      <c r="P7" s="74">
        <v>45860.486111111109</v>
      </c>
      <c r="Q7" t="s">
        <v>220</v>
      </c>
      <c r="R7" t="s">
        <v>220</v>
      </c>
      <c r="S7" t="s">
        <v>220</v>
      </c>
      <c r="T7" t="s">
        <v>220</v>
      </c>
      <c r="U7" t="s">
        <v>220</v>
      </c>
      <c r="V7" t="s">
        <v>220</v>
      </c>
      <c r="W7" t="s">
        <v>220</v>
      </c>
      <c r="X7" t="s">
        <v>220</v>
      </c>
      <c r="Y7" t="s">
        <v>220</v>
      </c>
      <c r="Z7" t="s">
        <v>220</v>
      </c>
      <c r="AA7" t="s">
        <v>220</v>
      </c>
      <c r="AB7" t="s">
        <v>220</v>
      </c>
      <c r="AC7" t="s">
        <v>220</v>
      </c>
      <c r="AD7" t="s">
        <v>220</v>
      </c>
      <c r="AE7" t="s">
        <v>220</v>
      </c>
      <c r="AF7" t="s">
        <v>220</v>
      </c>
      <c r="AG7" t="s">
        <v>220</v>
      </c>
      <c r="AH7" t="s">
        <v>220</v>
      </c>
      <c r="AI7" t="s">
        <v>220</v>
      </c>
      <c r="AJ7" t="s">
        <v>220</v>
      </c>
      <c r="AK7" t="s">
        <v>220</v>
      </c>
      <c r="AL7" t="s">
        <v>220</v>
      </c>
      <c r="AM7" t="s">
        <v>220</v>
      </c>
      <c r="AN7" t="s">
        <v>223</v>
      </c>
      <c r="AO7" t="s">
        <v>220</v>
      </c>
      <c r="AP7" t="s">
        <v>224</v>
      </c>
      <c r="AQ7" t="s">
        <v>225</v>
      </c>
      <c r="AR7" t="s">
        <v>226</v>
      </c>
      <c r="AS7" t="s">
        <v>227</v>
      </c>
      <c r="AT7">
        <v>21.4</v>
      </c>
      <c r="AU7">
        <v>0</v>
      </c>
      <c r="AV7">
        <v>0</v>
      </c>
      <c r="AW7">
        <v>0</v>
      </c>
      <c r="AX7">
        <v>21.4</v>
      </c>
      <c r="AY7" t="s">
        <v>220</v>
      </c>
      <c r="AZ7" t="s">
        <v>220</v>
      </c>
      <c r="BA7" t="s">
        <v>220</v>
      </c>
      <c r="BB7" t="s">
        <v>220</v>
      </c>
      <c r="BC7">
        <v>0</v>
      </c>
      <c r="BD7">
        <v>0</v>
      </c>
      <c r="BE7" t="s">
        <v>228</v>
      </c>
      <c r="BF7">
        <v>0</v>
      </c>
      <c r="BG7">
        <v>0</v>
      </c>
      <c r="BH7" t="s">
        <v>220</v>
      </c>
      <c r="BI7" t="s">
        <v>220</v>
      </c>
      <c r="BJ7" t="s">
        <v>220</v>
      </c>
      <c r="BK7" t="s">
        <v>220</v>
      </c>
      <c r="BL7" t="s">
        <v>220</v>
      </c>
      <c r="BM7" t="s">
        <v>234</v>
      </c>
      <c r="BN7" t="s">
        <v>220</v>
      </c>
      <c r="BO7" t="s">
        <v>220</v>
      </c>
      <c r="BP7" t="s">
        <v>220</v>
      </c>
      <c r="BQ7">
        <v>0</v>
      </c>
      <c r="BR7" t="s">
        <v>220</v>
      </c>
      <c r="BS7" t="s">
        <v>220</v>
      </c>
      <c r="BT7" t="s">
        <v>220</v>
      </c>
      <c r="BU7" t="s">
        <v>220</v>
      </c>
      <c r="BV7" t="s">
        <v>220</v>
      </c>
      <c r="BW7" t="s">
        <v>220</v>
      </c>
      <c r="BX7" t="s">
        <v>125</v>
      </c>
      <c r="BY7" t="s">
        <v>235</v>
      </c>
      <c r="BZ7" t="s">
        <v>236</v>
      </c>
      <c r="CA7" t="s">
        <v>232</v>
      </c>
    </row>
    <row r="8" spans="1:79" x14ac:dyDescent="0.3">
      <c r="A8" t="s">
        <v>298</v>
      </c>
      <c r="B8">
        <v>3677</v>
      </c>
      <c r="C8" t="s">
        <v>220</v>
      </c>
      <c r="D8" t="s">
        <v>233</v>
      </c>
      <c r="E8">
        <v>18</v>
      </c>
      <c r="F8" t="s">
        <v>244</v>
      </c>
      <c r="G8">
        <v>0</v>
      </c>
      <c r="H8">
        <v>30</v>
      </c>
      <c r="I8">
        <v>90</v>
      </c>
      <c r="J8">
        <v>3</v>
      </c>
      <c r="K8" t="s">
        <v>220</v>
      </c>
      <c r="L8" t="s">
        <v>220</v>
      </c>
      <c r="M8" t="b">
        <v>0</v>
      </c>
      <c r="N8" t="s">
        <v>220</v>
      </c>
      <c r="O8" t="b">
        <v>0</v>
      </c>
      <c r="P8" s="74">
        <v>45860.851388888892</v>
      </c>
      <c r="Q8" t="s">
        <v>220</v>
      </c>
      <c r="R8" t="s">
        <v>220</v>
      </c>
      <c r="S8" t="s">
        <v>220</v>
      </c>
      <c r="T8" t="s">
        <v>220</v>
      </c>
      <c r="U8" t="s">
        <v>220</v>
      </c>
      <c r="V8" t="s">
        <v>220</v>
      </c>
      <c r="W8" t="s">
        <v>220</v>
      </c>
      <c r="X8" t="s">
        <v>220</v>
      </c>
      <c r="Y8" t="s">
        <v>220</v>
      </c>
      <c r="Z8" t="s">
        <v>220</v>
      </c>
      <c r="AA8" t="s">
        <v>220</v>
      </c>
      <c r="AB8" t="s">
        <v>220</v>
      </c>
      <c r="AC8" t="s">
        <v>220</v>
      </c>
      <c r="AD8" t="s">
        <v>220</v>
      </c>
      <c r="AE8" t="s">
        <v>220</v>
      </c>
      <c r="AF8" t="s">
        <v>220</v>
      </c>
      <c r="AG8" t="s">
        <v>220</v>
      </c>
      <c r="AH8" t="s">
        <v>220</v>
      </c>
      <c r="AI8" t="s">
        <v>220</v>
      </c>
      <c r="AJ8" t="s">
        <v>220</v>
      </c>
      <c r="AK8" t="s">
        <v>220</v>
      </c>
      <c r="AL8" t="s">
        <v>220</v>
      </c>
      <c r="AM8" t="s">
        <v>220</v>
      </c>
      <c r="AN8" t="s">
        <v>223</v>
      </c>
      <c r="AO8" t="s">
        <v>220</v>
      </c>
      <c r="AP8" t="s">
        <v>224</v>
      </c>
      <c r="AQ8" t="s">
        <v>225</v>
      </c>
      <c r="AR8" t="s">
        <v>226</v>
      </c>
      <c r="AS8" t="s">
        <v>227</v>
      </c>
      <c r="AT8">
        <v>128</v>
      </c>
      <c r="AU8">
        <v>0</v>
      </c>
      <c r="AV8">
        <v>0</v>
      </c>
      <c r="AW8">
        <v>0</v>
      </c>
      <c r="AX8">
        <v>128</v>
      </c>
      <c r="AY8" t="s">
        <v>220</v>
      </c>
      <c r="AZ8" t="s">
        <v>220</v>
      </c>
      <c r="BA8" t="s">
        <v>220</v>
      </c>
      <c r="BB8" t="s">
        <v>220</v>
      </c>
      <c r="BC8">
        <v>0</v>
      </c>
      <c r="BD8">
        <v>0</v>
      </c>
      <c r="BE8" t="s">
        <v>228</v>
      </c>
      <c r="BF8">
        <v>0</v>
      </c>
      <c r="BG8">
        <v>0</v>
      </c>
      <c r="BH8" t="s">
        <v>220</v>
      </c>
      <c r="BI8" t="s">
        <v>220</v>
      </c>
      <c r="BJ8" t="s">
        <v>220</v>
      </c>
      <c r="BK8" t="s">
        <v>220</v>
      </c>
      <c r="BL8" t="s">
        <v>220</v>
      </c>
      <c r="BM8" t="s">
        <v>234</v>
      </c>
      <c r="BN8" t="s">
        <v>220</v>
      </c>
      <c r="BO8" t="s">
        <v>220</v>
      </c>
      <c r="BP8" t="s">
        <v>220</v>
      </c>
      <c r="BQ8">
        <v>0</v>
      </c>
      <c r="BR8" t="s">
        <v>220</v>
      </c>
      <c r="BS8" t="s">
        <v>220</v>
      </c>
      <c r="BT8" t="s">
        <v>220</v>
      </c>
      <c r="BU8" t="s">
        <v>220</v>
      </c>
      <c r="BV8" t="s">
        <v>220</v>
      </c>
      <c r="BW8" t="s">
        <v>220</v>
      </c>
      <c r="BX8" t="s">
        <v>125</v>
      </c>
      <c r="BY8" t="s">
        <v>235</v>
      </c>
      <c r="BZ8" t="s">
        <v>250</v>
      </c>
      <c r="CA8" t="s">
        <v>232</v>
      </c>
    </row>
    <row r="9" spans="1:79" x14ac:dyDescent="0.3">
      <c r="A9" t="s">
        <v>298</v>
      </c>
      <c r="B9">
        <v>3677</v>
      </c>
      <c r="C9" t="s">
        <v>220</v>
      </c>
      <c r="D9" t="s">
        <v>233</v>
      </c>
      <c r="E9">
        <v>3</v>
      </c>
      <c r="F9" t="s">
        <v>255</v>
      </c>
      <c r="G9">
        <v>0</v>
      </c>
      <c r="H9">
        <v>4</v>
      </c>
      <c r="I9">
        <v>8</v>
      </c>
      <c r="J9">
        <v>2</v>
      </c>
      <c r="K9" t="s">
        <v>220</v>
      </c>
      <c r="L9" t="s">
        <v>220</v>
      </c>
      <c r="M9" t="b">
        <v>0</v>
      </c>
      <c r="N9" t="s">
        <v>220</v>
      </c>
      <c r="O9" t="b">
        <v>0</v>
      </c>
      <c r="P9" s="74">
        <v>45860.851388888892</v>
      </c>
      <c r="Q9" t="s">
        <v>220</v>
      </c>
      <c r="R9" t="s">
        <v>220</v>
      </c>
      <c r="S9" t="s">
        <v>220</v>
      </c>
      <c r="T9" t="s">
        <v>220</v>
      </c>
      <c r="U9" t="s">
        <v>220</v>
      </c>
      <c r="V9" t="s">
        <v>220</v>
      </c>
      <c r="W9" t="s">
        <v>220</v>
      </c>
      <c r="X9" t="s">
        <v>220</v>
      </c>
      <c r="Y9" t="s">
        <v>220</v>
      </c>
      <c r="Z9" t="s">
        <v>220</v>
      </c>
      <c r="AA9" t="s">
        <v>220</v>
      </c>
      <c r="AB9" t="s">
        <v>220</v>
      </c>
      <c r="AC9" t="s">
        <v>220</v>
      </c>
      <c r="AD9" t="s">
        <v>220</v>
      </c>
      <c r="AE9" t="s">
        <v>220</v>
      </c>
      <c r="AF9" t="s">
        <v>220</v>
      </c>
      <c r="AG9" t="s">
        <v>220</v>
      </c>
      <c r="AH9" t="s">
        <v>220</v>
      </c>
      <c r="AI9" t="s">
        <v>220</v>
      </c>
      <c r="AJ9" t="s">
        <v>220</v>
      </c>
      <c r="AK9" t="s">
        <v>220</v>
      </c>
      <c r="AL9" t="s">
        <v>220</v>
      </c>
      <c r="AM9" t="s">
        <v>220</v>
      </c>
      <c r="AN9" t="s">
        <v>223</v>
      </c>
      <c r="AO9" t="s">
        <v>220</v>
      </c>
      <c r="AP9" t="s">
        <v>224</v>
      </c>
      <c r="AQ9" t="s">
        <v>225</v>
      </c>
      <c r="AR9" t="s">
        <v>226</v>
      </c>
      <c r="AS9" t="s">
        <v>227</v>
      </c>
      <c r="AT9">
        <v>128</v>
      </c>
      <c r="AU9">
        <v>0</v>
      </c>
      <c r="AV9">
        <v>0</v>
      </c>
      <c r="AW9">
        <v>0</v>
      </c>
      <c r="AX9">
        <v>128</v>
      </c>
      <c r="AY9" t="s">
        <v>220</v>
      </c>
      <c r="AZ9" t="s">
        <v>220</v>
      </c>
      <c r="BA9" t="s">
        <v>220</v>
      </c>
      <c r="BB9" t="s">
        <v>220</v>
      </c>
      <c r="BC9">
        <v>0</v>
      </c>
      <c r="BD9">
        <v>0</v>
      </c>
      <c r="BE9" t="s">
        <v>228</v>
      </c>
      <c r="BF9">
        <v>0</v>
      </c>
      <c r="BG9">
        <v>0</v>
      </c>
      <c r="BH9" t="s">
        <v>220</v>
      </c>
      <c r="BI9" t="s">
        <v>220</v>
      </c>
      <c r="BJ9" t="s">
        <v>220</v>
      </c>
      <c r="BK9" t="s">
        <v>220</v>
      </c>
      <c r="BL9" t="s">
        <v>220</v>
      </c>
      <c r="BM9" t="s">
        <v>234</v>
      </c>
      <c r="BN9" t="s">
        <v>220</v>
      </c>
      <c r="BO9" t="s">
        <v>220</v>
      </c>
      <c r="BP9" t="s">
        <v>220</v>
      </c>
      <c r="BQ9">
        <v>0</v>
      </c>
      <c r="BR9" t="s">
        <v>220</v>
      </c>
      <c r="BS9" t="s">
        <v>220</v>
      </c>
      <c r="BT9" t="s">
        <v>220</v>
      </c>
      <c r="BU9" t="s">
        <v>220</v>
      </c>
      <c r="BV9" t="s">
        <v>220</v>
      </c>
      <c r="BW9" t="s">
        <v>220</v>
      </c>
      <c r="BX9" t="s">
        <v>125</v>
      </c>
      <c r="BY9" t="s">
        <v>235</v>
      </c>
      <c r="BZ9" t="s">
        <v>250</v>
      </c>
      <c r="CA9" t="s">
        <v>232</v>
      </c>
    </row>
    <row r="10" spans="1:79" x14ac:dyDescent="0.3">
      <c r="A10" t="s">
        <v>298</v>
      </c>
      <c r="B10">
        <v>3677</v>
      </c>
      <c r="C10" t="s">
        <v>220</v>
      </c>
      <c r="D10" t="s">
        <v>233</v>
      </c>
      <c r="E10">
        <v>54</v>
      </c>
      <c r="F10" t="s">
        <v>238</v>
      </c>
      <c r="G10">
        <v>0</v>
      </c>
      <c r="H10">
        <v>15</v>
      </c>
      <c r="I10">
        <v>30</v>
      </c>
      <c r="J10">
        <v>2</v>
      </c>
      <c r="K10" t="s">
        <v>220</v>
      </c>
      <c r="L10" t="s">
        <v>220</v>
      </c>
      <c r="M10" t="b">
        <v>0</v>
      </c>
      <c r="N10" t="s">
        <v>220</v>
      </c>
      <c r="O10" t="b">
        <v>0</v>
      </c>
      <c r="P10" s="74">
        <v>45860.851388888892</v>
      </c>
      <c r="Q10" t="s">
        <v>220</v>
      </c>
      <c r="R10" t="s">
        <v>220</v>
      </c>
      <c r="S10" t="s">
        <v>220</v>
      </c>
      <c r="T10" t="s">
        <v>220</v>
      </c>
      <c r="U10" t="s">
        <v>220</v>
      </c>
      <c r="V10" t="s">
        <v>220</v>
      </c>
      <c r="W10" t="s">
        <v>220</v>
      </c>
      <c r="X10" t="s">
        <v>220</v>
      </c>
      <c r="Y10" t="s">
        <v>220</v>
      </c>
      <c r="Z10" t="s">
        <v>220</v>
      </c>
      <c r="AA10" t="s">
        <v>220</v>
      </c>
      <c r="AB10" t="s">
        <v>220</v>
      </c>
      <c r="AC10" t="s">
        <v>220</v>
      </c>
      <c r="AD10" t="s">
        <v>220</v>
      </c>
      <c r="AE10" t="s">
        <v>220</v>
      </c>
      <c r="AF10" t="s">
        <v>220</v>
      </c>
      <c r="AG10" t="s">
        <v>220</v>
      </c>
      <c r="AH10" t="s">
        <v>220</v>
      </c>
      <c r="AI10" t="s">
        <v>220</v>
      </c>
      <c r="AJ10" t="s">
        <v>220</v>
      </c>
      <c r="AK10" t="s">
        <v>220</v>
      </c>
      <c r="AL10" t="s">
        <v>220</v>
      </c>
      <c r="AM10" t="s">
        <v>220</v>
      </c>
      <c r="AN10" t="s">
        <v>223</v>
      </c>
      <c r="AO10" t="s">
        <v>220</v>
      </c>
      <c r="AP10" t="s">
        <v>224</v>
      </c>
      <c r="AQ10" t="s">
        <v>225</v>
      </c>
      <c r="AR10" t="s">
        <v>226</v>
      </c>
      <c r="AS10" t="s">
        <v>227</v>
      </c>
      <c r="AT10">
        <v>128</v>
      </c>
      <c r="AU10">
        <v>0</v>
      </c>
      <c r="AV10">
        <v>0</v>
      </c>
      <c r="AW10">
        <v>0</v>
      </c>
      <c r="AX10">
        <v>128</v>
      </c>
      <c r="AY10" t="s">
        <v>220</v>
      </c>
      <c r="AZ10" t="s">
        <v>220</v>
      </c>
      <c r="BA10" t="s">
        <v>220</v>
      </c>
      <c r="BB10" t="s">
        <v>220</v>
      </c>
      <c r="BC10">
        <v>0</v>
      </c>
      <c r="BD10">
        <v>0</v>
      </c>
      <c r="BE10" t="s">
        <v>228</v>
      </c>
      <c r="BF10">
        <v>0</v>
      </c>
      <c r="BG10">
        <v>0</v>
      </c>
      <c r="BH10" t="s">
        <v>220</v>
      </c>
      <c r="BI10" t="s">
        <v>220</v>
      </c>
      <c r="BJ10" t="s">
        <v>220</v>
      </c>
      <c r="BK10" t="s">
        <v>220</v>
      </c>
      <c r="BL10" t="s">
        <v>220</v>
      </c>
      <c r="BM10" t="s">
        <v>234</v>
      </c>
      <c r="BN10" t="s">
        <v>220</v>
      </c>
      <c r="BO10" t="s">
        <v>220</v>
      </c>
      <c r="BP10" t="s">
        <v>220</v>
      </c>
      <c r="BQ10">
        <v>0</v>
      </c>
      <c r="BR10" t="s">
        <v>220</v>
      </c>
      <c r="BS10" t="s">
        <v>220</v>
      </c>
      <c r="BT10" t="s">
        <v>220</v>
      </c>
      <c r="BU10" t="s">
        <v>220</v>
      </c>
      <c r="BV10" t="s">
        <v>220</v>
      </c>
      <c r="BW10" t="s">
        <v>220</v>
      </c>
      <c r="BX10" t="s">
        <v>125</v>
      </c>
      <c r="BY10" t="s">
        <v>235</v>
      </c>
      <c r="BZ10" t="s">
        <v>250</v>
      </c>
      <c r="CA10" t="s">
        <v>232</v>
      </c>
    </row>
    <row r="11" spans="1:79" hidden="1" x14ac:dyDescent="0.3">
      <c r="A11" t="s">
        <v>299</v>
      </c>
      <c r="B11">
        <v>3679</v>
      </c>
      <c r="C11" t="s">
        <v>220</v>
      </c>
      <c r="D11" t="s">
        <v>300</v>
      </c>
      <c r="E11">
        <v>54</v>
      </c>
      <c r="F11" t="s">
        <v>238</v>
      </c>
      <c r="G11">
        <v>0</v>
      </c>
      <c r="H11">
        <v>15</v>
      </c>
      <c r="I11">
        <v>30</v>
      </c>
      <c r="J11">
        <v>2</v>
      </c>
      <c r="K11" t="s">
        <v>220</v>
      </c>
      <c r="L11" t="s">
        <v>220</v>
      </c>
      <c r="M11" t="b">
        <v>0</v>
      </c>
      <c r="N11" t="s">
        <v>220</v>
      </c>
      <c r="O11" t="b">
        <v>0</v>
      </c>
      <c r="P11" s="74">
        <v>45860.867361111108</v>
      </c>
      <c r="Q11" t="s">
        <v>220</v>
      </c>
      <c r="R11" t="s">
        <v>220</v>
      </c>
      <c r="S11" t="s">
        <v>220</v>
      </c>
      <c r="T11" t="s">
        <v>220</v>
      </c>
      <c r="U11" t="s">
        <v>220</v>
      </c>
      <c r="V11" t="s">
        <v>220</v>
      </c>
      <c r="W11" t="s">
        <v>220</v>
      </c>
      <c r="X11" t="s">
        <v>220</v>
      </c>
      <c r="Y11" t="s">
        <v>220</v>
      </c>
      <c r="Z11" t="s">
        <v>220</v>
      </c>
      <c r="AA11" t="s">
        <v>220</v>
      </c>
      <c r="AB11" t="s">
        <v>220</v>
      </c>
      <c r="AC11" t="s">
        <v>220</v>
      </c>
      <c r="AD11" t="s">
        <v>220</v>
      </c>
      <c r="AE11" t="s">
        <v>220</v>
      </c>
      <c r="AF11" t="s">
        <v>220</v>
      </c>
      <c r="AG11" t="s">
        <v>220</v>
      </c>
      <c r="AH11" t="s">
        <v>220</v>
      </c>
      <c r="AI11" t="s">
        <v>220</v>
      </c>
      <c r="AJ11" t="s">
        <v>220</v>
      </c>
      <c r="AK11" t="s">
        <v>220</v>
      </c>
      <c r="AL11" t="s">
        <v>220</v>
      </c>
      <c r="AM11" t="s">
        <v>220</v>
      </c>
      <c r="AN11" t="s">
        <v>223</v>
      </c>
      <c r="AO11" t="s">
        <v>220</v>
      </c>
      <c r="AP11" t="s">
        <v>224</v>
      </c>
      <c r="AQ11" t="s">
        <v>225</v>
      </c>
      <c r="AR11" t="s">
        <v>226</v>
      </c>
      <c r="AS11" t="s">
        <v>227</v>
      </c>
      <c r="AT11">
        <v>30</v>
      </c>
      <c r="AU11">
        <v>0</v>
      </c>
      <c r="AV11">
        <v>0</v>
      </c>
      <c r="AW11">
        <v>0</v>
      </c>
      <c r="AX11">
        <v>30</v>
      </c>
      <c r="AY11" t="s">
        <v>220</v>
      </c>
      <c r="AZ11" t="s">
        <v>220</v>
      </c>
      <c r="BA11" t="s">
        <v>220</v>
      </c>
      <c r="BB11" t="s">
        <v>220</v>
      </c>
      <c r="BC11">
        <v>0</v>
      </c>
      <c r="BD11">
        <v>0</v>
      </c>
      <c r="BE11" t="s">
        <v>228</v>
      </c>
      <c r="BF11">
        <v>0</v>
      </c>
      <c r="BG11">
        <v>0</v>
      </c>
      <c r="BH11" t="s">
        <v>220</v>
      </c>
      <c r="BI11" t="s">
        <v>220</v>
      </c>
      <c r="BJ11" t="s">
        <v>220</v>
      </c>
      <c r="BK11" t="s">
        <v>220</v>
      </c>
      <c r="BL11" t="s">
        <v>220</v>
      </c>
      <c r="BM11" t="s">
        <v>252</v>
      </c>
      <c r="BN11" t="s">
        <v>220</v>
      </c>
      <c r="BO11" t="s">
        <v>220</v>
      </c>
      <c r="BP11" t="s">
        <v>220</v>
      </c>
      <c r="BQ11">
        <v>0</v>
      </c>
      <c r="BR11" t="s">
        <v>220</v>
      </c>
      <c r="BS11" t="s">
        <v>220</v>
      </c>
      <c r="BT11" t="s">
        <v>220</v>
      </c>
      <c r="BU11" t="s">
        <v>220</v>
      </c>
      <c r="BV11" t="s">
        <v>220</v>
      </c>
      <c r="BW11" t="s">
        <v>220</v>
      </c>
      <c r="BX11" t="s">
        <v>124</v>
      </c>
      <c r="BY11" t="s">
        <v>235</v>
      </c>
      <c r="BZ11" t="s">
        <v>220</v>
      </c>
      <c r="CA11" t="s">
        <v>232</v>
      </c>
    </row>
    <row r="12" spans="1:79" hidden="1" x14ac:dyDescent="0.3">
      <c r="A12" t="s">
        <v>301</v>
      </c>
      <c r="B12">
        <v>3676</v>
      </c>
      <c r="C12" t="s">
        <v>220</v>
      </c>
      <c r="D12" t="s">
        <v>300</v>
      </c>
      <c r="E12">
        <v>54</v>
      </c>
      <c r="F12" t="s">
        <v>238</v>
      </c>
      <c r="G12">
        <v>0</v>
      </c>
      <c r="H12">
        <v>15</v>
      </c>
      <c r="I12">
        <v>30</v>
      </c>
      <c r="J12">
        <v>2</v>
      </c>
      <c r="K12" t="s">
        <v>220</v>
      </c>
      <c r="L12" t="s">
        <v>220</v>
      </c>
      <c r="M12" t="b">
        <v>0</v>
      </c>
      <c r="N12" t="s">
        <v>220</v>
      </c>
      <c r="O12" t="b">
        <v>0</v>
      </c>
      <c r="P12" s="74">
        <v>45860.85</v>
      </c>
      <c r="Q12" t="s">
        <v>220</v>
      </c>
      <c r="R12" t="s">
        <v>220</v>
      </c>
      <c r="S12" t="s">
        <v>220</v>
      </c>
      <c r="T12" t="s">
        <v>220</v>
      </c>
      <c r="U12" t="s">
        <v>220</v>
      </c>
      <c r="V12" t="s">
        <v>220</v>
      </c>
      <c r="W12" t="s">
        <v>220</v>
      </c>
      <c r="X12" t="s">
        <v>220</v>
      </c>
      <c r="Y12" t="s">
        <v>220</v>
      </c>
      <c r="Z12" t="s">
        <v>220</v>
      </c>
      <c r="AA12" t="s">
        <v>220</v>
      </c>
      <c r="AB12" t="s">
        <v>220</v>
      </c>
      <c r="AC12" t="s">
        <v>220</v>
      </c>
      <c r="AD12" t="s">
        <v>220</v>
      </c>
      <c r="AE12" t="s">
        <v>220</v>
      </c>
      <c r="AF12" t="s">
        <v>220</v>
      </c>
      <c r="AG12" t="s">
        <v>220</v>
      </c>
      <c r="AH12" t="s">
        <v>220</v>
      </c>
      <c r="AI12" t="s">
        <v>220</v>
      </c>
      <c r="AJ12" t="s">
        <v>220</v>
      </c>
      <c r="AK12" t="s">
        <v>220</v>
      </c>
      <c r="AL12" t="s">
        <v>220</v>
      </c>
      <c r="AM12" t="s">
        <v>220</v>
      </c>
      <c r="AN12" t="s">
        <v>223</v>
      </c>
      <c r="AO12" t="s">
        <v>220</v>
      </c>
      <c r="AP12" t="s">
        <v>262</v>
      </c>
      <c r="AQ12" t="s">
        <v>263</v>
      </c>
      <c r="AR12" t="s">
        <v>264</v>
      </c>
      <c r="AS12" t="s">
        <v>265</v>
      </c>
      <c r="AT12">
        <v>300</v>
      </c>
      <c r="AU12">
        <v>0</v>
      </c>
      <c r="AV12">
        <v>0</v>
      </c>
      <c r="AW12">
        <v>0</v>
      </c>
      <c r="AX12">
        <v>300</v>
      </c>
      <c r="AY12" t="s">
        <v>220</v>
      </c>
      <c r="AZ12" t="s">
        <v>220</v>
      </c>
      <c r="BA12" t="s">
        <v>220</v>
      </c>
      <c r="BB12" t="s">
        <v>220</v>
      </c>
      <c r="BC12">
        <v>0</v>
      </c>
      <c r="BD12">
        <v>0</v>
      </c>
      <c r="BE12" t="s">
        <v>228</v>
      </c>
      <c r="BF12">
        <v>0</v>
      </c>
      <c r="BG12">
        <v>0</v>
      </c>
      <c r="BH12" t="s">
        <v>220</v>
      </c>
      <c r="BI12" t="s">
        <v>220</v>
      </c>
      <c r="BJ12" t="s">
        <v>220</v>
      </c>
      <c r="BK12" t="s">
        <v>220</v>
      </c>
      <c r="BL12" t="s">
        <v>220</v>
      </c>
      <c r="BM12" t="s">
        <v>252</v>
      </c>
      <c r="BN12" t="s">
        <v>220</v>
      </c>
      <c r="BO12" t="s">
        <v>220</v>
      </c>
      <c r="BP12" t="s">
        <v>220</v>
      </c>
      <c r="BQ12">
        <v>0</v>
      </c>
      <c r="BR12" t="s">
        <v>220</v>
      </c>
      <c r="BS12" t="s">
        <v>220</v>
      </c>
      <c r="BT12" t="s">
        <v>220</v>
      </c>
      <c r="BU12" t="s">
        <v>220</v>
      </c>
      <c r="BV12" t="s">
        <v>220</v>
      </c>
      <c r="BW12" t="s">
        <v>220</v>
      </c>
      <c r="BX12" t="s">
        <v>124</v>
      </c>
      <c r="BY12" t="s">
        <v>235</v>
      </c>
      <c r="BZ12" t="s">
        <v>220</v>
      </c>
      <c r="CA12" t="s">
        <v>232</v>
      </c>
    </row>
    <row r="13" spans="1:79" hidden="1" x14ac:dyDescent="0.3">
      <c r="A13" t="s">
        <v>301</v>
      </c>
      <c r="B13">
        <v>3676</v>
      </c>
      <c r="C13" t="s">
        <v>220</v>
      </c>
      <c r="D13" t="s">
        <v>300</v>
      </c>
      <c r="E13">
        <v>66</v>
      </c>
      <c r="F13" t="s">
        <v>239</v>
      </c>
      <c r="G13">
        <v>0</v>
      </c>
      <c r="H13">
        <v>30</v>
      </c>
      <c r="I13">
        <v>270</v>
      </c>
      <c r="J13">
        <v>9</v>
      </c>
      <c r="K13" t="s">
        <v>220</v>
      </c>
      <c r="L13" t="s">
        <v>220</v>
      </c>
      <c r="M13" t="b">
        <v>0</v>
      </c>
      <c r="N13" t="s">
        <v>220</v>
      </c>
      <c r="O13" t="b">
        <v>0</v>
      </c>
      <c r="P13" s="74">
        <v>45860.85</v>
      </c>
      <c r="Q13" t="s">
        <v>220</v>
      </c>
      <c r="R13" t="s">
        <v>220</v>
      </c>
      <c r="S13" t="s">
        <v>220</v>
      </c>
      <c r="T13" t="s">
        <v>220</v>
      </c>
      <c r="U13" t="s">
        <v>220</v>
      </c>
      <c r="V13" t="s">
        <v>220</v>
      </c>
      <c r="W13" t="s">
        <v>220</v>
      </c>
      <c r="X13" t="s">
        <v>220</v>
      </c>
      <c r="Y13" t="s">
        <v>220</v>
      </c>
      <c r="Z13" t="s">
        <v>220</v>
      </c>
      <c r="AA13" t="s">
        <v>220</v>
      </c>
      <c r="AB13" t="s">
        <v>220</v>
      </c>
      <c r="AC13" t="s">
        <v>220</v>
      </c>
      <c r="AD13" t="s">
        <v>220</v>
      </c>
      <c r="AE13" t="s">
        <v>220</v>
      </c>
      <c r="AF13" t="s">
        <v>220</v>
      </c>
      <c r="AG13" t="s">
        <v>220</v>
      </c>
      <c r="AH13" t="s">
        <v>220</v>
      </c>
      <c r="AI13" t="s">
        <v>220</v>
      </c>
      <c r="AJ13" t="s">
        <v>220</v>
      </c>
      <c r="AK13" t="s">
        <v>220</v>
      </c>
      <c r="AL13" t="s">
        <v>220</v>
      </c>
      <c r="AM13" t="s">
        <v>220</v>
      </c>
      <c r="AN13" t="s">
        <v>223</v>
      </c>
      <c r="AO13" t="s">
        <v>220</v>
      </c>
      <c r="AP13" t="s">
        <v>262</v>
      </c>
      <c r="AQ13" t="s">
        <v>263</v>
      </c>
      <c r="AR13" t="s">
        <v>264</v>
      </c>
      <c r="AS13" t="s">
        <v>265</v>
      </c>
      <c r="AT13">
        <v>300</v>
      </c>
      <c r="AU13">
        <v>0</v>
      </c>
      <c r="AV13">
        <v>0</v>
      </c>
      <c r="AW13">
        <v>0</v>
      </c>
      <c r="AX13">
        <v>300</v>
      </c>
      <c r="AY13" t="s">
        <v>220</v>
      </c>
      <c r="AZ13" t="s">
        <v>220</v>
      </c>
      <c r="BA13" t="s">
        <v>220</v>
      </c>
      <c r="BB13" t="s">
        <v>220</v>
      </c>
      <c r="BC13">
        <v>0</v>
      </c>
      <c r="BD13">
        <v>0</v>
      </c>
      <c r="BE13" t="s">
        <v>228</v>
      </c>
      <c r="BF13">
        <v>0</v>
      </c>
      <c r="BG13">
        <v>0</v>
      </c>
      <c r="BH13" t="s">
        <v>220</v>
      </c>
      <c r="BI13" t="s">
        <v>220</v>
      </c>
      <c r="BJ13" t="s">
        <v>220</v>
      </c>
      <c r="BK13" t="s">
        <v>220</v>
      </c>
      <c r="BL13" t="s">
        <v>220</v>
      </c>
      <c r="BM13" t="s">
        <v>252</v>
      </c>
      <c r="BN13" t="s">
        <v>220</v>
      </c>
      <c r="BO13" t="s">
        <v>220</v>
      </c>
      <c r="BP13" t="s">
        <v>220</v>
      </c>
      <c r="BQ13">
        <v>0</v>
      </c>
      <c r="BR13" t="s">
        <v>220</v>
      </c>
      <c r="BS13" t="s">
        <v>220</v>
      </c>
      <c r="BT13" t="s">
        <v>220</v>
      </c>
      <c r="BU13" t="s">
        <v>220</v>
      </c>
      <c r="BV13" t="s">
        <v>220</v>
      </c>
      <c r="BW13" t="s">
        <v>220</v>
      </c>
      <c r="BX13" t="s">
        <v>124</v>
      </c>
      <c r="BY13" t="s">
        <v>235</v>
      </c>
      <c r="BZ13" t="s">
        <v>220</v>
      </c>
      <c r="CA13" t="s">
        <v>232</v>
      </c>
    </row>
    <row r="14" spans="1:79" hidden="1" x14ac:dyDescent="0.3">
      <c r="A14" t="s">
        <v>302</v>
      </c>
      <c r="B14">
        <v>3678</v>
      </c>
      <c r="C14" t="s">
        <v>220</v>
      </c>
      <c r="D14" t="s">
        <v>245</v>
      </c>
      <c r="E14">
        <v>0</v>
      </c>
      <c r="F14" t="s">
        <v>246</v>
      </c>
      <c r="G14">
        <v>0</v>
      </c>
      <c r="H14">
        <v>8</v>
      </c>
      <c r="I14">
        <v>184</v>
      </c>
      <c r="J14">
        <v>23</v>
      </c>
      <c r="K14" t="s">
        <v>220</v>
      </c>
      <c r="L14" t="s">
        <v>220</v>
      </c>
      <c r="M14" t="b">
        <v>0</v>
      </c>
      <c r="N14" t="s">
        <v>220</v>
      </c>
      <c r="O14" t="b">
        <v>0</v>
      </c>
      <c r="P14" s="74">
        <v>45860.856944444444</v>
      </c>
      <c r="Q14" t="s">
        <v>220</v>
      </c>
      <c r="R14" t="s">
        <v>220</v>
      </c>
      <c r="S14" t="s">
        <v>220</v>
      </c>
      <c r="T14" t="s">
        <v>220</v>
      </c>
      <c r="U14" t="s">
        <v>220</v>
      </c>
      <c r="V14" t="s">
        <v>220</v>
      </c>
      <c r="W14" t="s">
        <v>220</v>
      </c>
      <c r="X14" t="s">
        <v>220</v>
      </c>
      <c r="Y14" t="s">
        <v>220</v>
      </c>
      <c r="Z14" t="s">
        <v>220</v>
      </c>
      <c r="AA14" t="s">
        <v>220</v>
      </c>
      <c r="AB14" t="s">
        <v>220</v>
      </c>
      <c r="AC14" t="s">
        <v>220</v>
      </c>
      <c r="AD14" t="s">
        <v>220</v>
      </c>
      <c r="AE14" t="s">
        <v>220</v>
      </c>
      <c r="AF14" t="s">
        <v>220</v>
      </c>
      <c r="AG14" t="s">
        <v>220</v>
      </c>
      <c r="AH14" t="s">
        <v>220</v>
      </c>
      <c r="AI14" t="s">
        <v>220</v>
      </c>
      <c r="AJ14" t="s">
        <v>220</v>
      </c>
      <c r="AK14" t="s">
        <v>220</v>
      </c>
      <c r="AL14" t="s">
        <v>220</v>
      </c>
      <c r="AM14" t="s">
        <v>220</v>
      </c>
      <c r="AN14" t="s">
        <v>223</v>
      </c>
      <c r="AO14" t="s">
        <v>220</v>
      </c>
      <c r="AP14" t="s">
        <v>224</v>
      </c>
      <c r="AQ14" t="s">
        <v>225</v>
      </c>
      <c r="AR14" t="s">
        <v>226</v>
      </c>
      <c r="AS14" t="s">
        <v>227</v>
      </c>
      <c r="AT14">
        <v>184</v>
      </c>
      <c r="AU14">
        <v>0</v>
      </c>
      <c r="AV14">
        <v>0</v>
      </c>
      <c r="AW14">
        <v>0</v>
      </c>
      <c r="AX14">
        <v>184</v>
      </c>
      <c r="AY14" t="s">
        <v>220</v>
      </c>
      <c r="AZ14" t="s">
        <v>220</v>
      </c>
      <c r="BA14" t="s">
        <v>220</v>
      </c>
      <c r="BB14" t="s">
        <v>220</v>
      </c>
      <c r="BC14">
        <v>0</v>
      </c>
      <c r="BD14">
        <v>0</v>
      </c>
      <c r="BE14" t="s">
        <v>228</v>
      </c>
      <c r="BF14">
        <v>0</v>
      </c>
      <c r="BG14">
        <v>0</v>
      </c>
      <c r="BH14" t="s">
        <v>220</v>
      </c>
      <c r="BI14" t="s">
        <v>220</v>
      </c>
      <c r="BJ14" t="s">
        <v>220</v>
      </c>
      <c r="BK14" t="s">
        <v>220</v>
      </c>
      <c r="BL14" t="s">
        <v>220</v>
      </c>
      <c r="BM14" t="s">
        <v>247</v>
      </c>
      <c r="BN14" t="s">
        <v>220</v>
      </c>
      <c r="BO14" t="s">
        <v>220</v>
      </c>
      <c r="BP14" t="s">
        <v>220</v>
      </c>
      <c r="BQ14">
        <v>0</v>
      </c>
      <c r="BR14" t="s">
        <v>220</v>
      </c>
      <c r="BS14" t="s">
        <v>220</v>
      </c>
      <c r="BT14" t="s">
        <v>220</v>
      </c>
      <c r="BU14" t="s">
        <v>220</v>
      </c>
      <c r="BV14" t="s">
        <v>220</v>
      </c>
      <c r="BW14" t="s">
        <v>220</v>
      </c>
      <c r="BX14" t="s">
        <v>4</v>
      </c>
      <c r="BY14" t="s">
        <v>235</v>
      </c>
      <c r="BZ14" t="s">
        <v>248</v>
      </c>
      <c r="CA14" t="s">
        <v>232</v>
      </c>
    </row>
    <row r="15" spans="1:79" hidden="1" x14ac:dyDescent="0.3">
      <c r="A15" t="s">
        <v>303</v>
      </c>
      <c r="B15">
        <v>3680</v>
      </c>
      <c r="C15" t="s">
        <v>220</v>
      </c>
      <c r="D15" t="s">
        <v>257</v>
      </c>
      <c r="E15">
        <v>66</v>
      </c>
      <c r="F15" t="s">
        <v>239</v>
      </c>
      <c r="G15">
        <v>0</v>
      </c>
      <c r="H15">
        <v>30</v>
      </c>
      <c r="I15">
        <v>30</v>
      </c>
      <c r="J15">
        <v>1</v>
      </c>
      <c r="K15" t="s">
        <v>220</v>
      </c>
      <c r="L15" t="s">
        <v>220</v>
      </c>
      <c r="M15" t="b">
        <v>0</v>
      </c>
      <c r="N15" t="s">
        <v>220</v>
      </c>
      <c r="O15" t="b">
        <v>0</v>
      </c>
      <c r="P15" s="74">
        <v>45860.894444444442</v>
      </c>
      <c r="Q15" t="s">
        <v>220</v>
      </c>
      <c r="R15" t="s">
        <v>220</v>
      </c>
      <c r="S15" t="s">
        <v>220</v>
      </c>
      <c r="T15" t="s">
        <v>220</v>
      </c>
      <c r="U15" t="s">
        <v>220</v>
      </c>
      <c r="V15" t="s">
        <v>220</v>
      </c>
      <c r="W15" t="s">
        <v>220</v>
      </c>
      <c r="X15" t="s">
        <v>220</v>
      </c>
      <c r="Y15" t="s">
        <v>220</v>
      </c>
      <c r="Z15" t="s">
        <v>220</v>
      </c>
      <c r="AA15" t="s">
        <v>220</v>
      </c>
      <c r="AB15" t="s">
        <v>220</v>
      </c>
      <c r="AC15" t="s">
        <v>220</v>
      </c>
      <c r="AD15" t="s">
        <v>220</v>
      </c>
      <c r="AE15" t="s">
        <v>220</v>
      </c>
      <c r="AF15" t="s">
        <v>220</v>
      </c>
      <c r="AG15" t="s">
        <v>220</v>
      </c>
      <c r="AH15" t="s">
        <v>220</v>
      </c>
      <c r="AI15" t="s">
        <v>220</v>
      </c>
      <c r="AJ15" t="s">
        <v>220</v>
      </c>
      <c r="AK15" t="s">
        <v>220</v>
      </c>
      <c r="AL15" t="s">
        <v>220</v>
      </c>
      <c r="AM15" t="s">
        <v>220</v>
      </c>
      <c r="AN15" t="s">
        <v>223</v>
      </c>
      <c r="AO15" t="s">
        <v>220</v>
      </c>
      <c r="AP15" t="s">
        <v>224</v>
      </c>
      <c r="AQ15" t="s">
        <v>225</v>
      </c>
      <c r="AR15" t="s">
        <v>226</v>
      </c>
      <c r="AS15" t="s">
        <v>227</v>
      </c>
      <c r="AT15">
        <v>30</v>
      </c>
      <c r="AU15">
        <v>0</v>
      </c>
      <c r="AV15">
        <v>0</v>
      </c>
      <c r="AW15">
        <v>0</v>
      </c>
      <c r="AX15">
        <v>30</v>
      </c>
      <c r="AY15" t="s">
        <v>220</v>
      </c>
      <c r="AZ15" t="s">
        <v>220</v>
      </c>
      <c r="BA15" t="s">
        <v>220</v>
      </c>
      <c r="BB15" t="s">
        <v>220</v>
      </c>
      <c r="BC15">
        <v>0</v>
      </c>
      <c r="BD15">
        <v>0</v>
      </c>
      <c r="BE15" t="s">
        <v>228</v>
      </c>
      <c r="BF15">
        <v>0</v>
      </c>
      <c r="BG15">
        <v>0</v>
      </c>
      <c r="BH15" t="s">
        <v>220</v>
      </c>
      <c r="BI15" t="s">
        <v>220</v>
      </c>
      <c r="BJ15" t="s">
        <v>220</v>
      </c>
      <c r="BK15" t="s">
        <v>220</v>
      </c>
      <c r="BL15" t="s">
        <v>220</v>
      </c>
      <c r="BM15" t="s">
        <v>229</v>
      </c>
      <c r="BN15" t="s">
        <v>220</v>
      </c>
      <c r="BO15" t="s">
        <v>220</v>
      </c>
      <c r="BP15" t="s">
        <v>220</v>
      </c>
      <c r="BQ15">
        <v>0</v>
      </c>
      <c r="BR15" t="s">
        <v>220</v>
      </c>
      <c r="BS15" t="s">
        <v>220</v>
      </c>
      <c r="BT15" t="s">
        <v>220</v>
      </c>
      <c r="BU15" t="s">
        <v>220</v>
      </c>
      <c r="BV15" t="s">
        <v>220</v>
      </c>
      <c r="BW15" t="s">
        <v>220</v>
      </c>
      <c r="BX15" t="s">
        <v>126</v>
      </c>
      <c r="BY15" t="s">
        <v>235</v>
      </c>
      <c r="BZ15" t="s">
        <v>258</v>
      </c>
      <c r="CA15" t="s">
        <v>232</v>
      </c>
    </row>
    <row r="16" spans="1:79" hidden="1" x14ac:dyDescent="0.3">
      <c r="A16" t="s">
        <v>304</v>
      </c>
      <c r="B16">
        <v>3681</v>
      </c>
      <c r="C16" t="s">
        <v>220</v>
      </c>
      <c r="D16" t="s">
        <v>251</v>
      </c>
      <c r="E16">
        <v>18</v>
      </c>
      <c r="F16" t="s">
        <v>244</v>
      </c>
      <c r="G16">
        <v>0</v>
      </c>
      <c r="H16">
        <v>30</v>
      </c>
      <c r="I16">
        <v>90</v>
      </c>
      <c r="J16">
        <v>3</v>
      </c>
      <c r="K16" t="s">
        <v>220</v>
      </c>
      <c r="L16" t="s">
        <v>220</v>
      </c>
      <c r="M16" t="b">
        <v>0</v>
      </c>
      <c r="N16" t="s">
        <v>220</v>
      </c>
      <c r="O16" t="b">
        <v>0</v>
      </c>
      <c r="P16" s="74">
        <v>45861.740277777775</v>
      </c>
      <c r="Q16" t="s">
        <v>220</v>
      </c>
      <c r="R16" t="s">
        <v>220</v>
      </c>
      <c r="S16" t="s">
        <v>220</v>
      </c>
      <c r="T16" t="s">
        <v>220</v>
      </c>
      <c r="U16" t="s">
        <v>220</v>
      </c>
      <c r="V16" t="s">
        <v>220</v>
      </c>
      <c r="W16" t="s">
        <v>220</v>
      </c>
      <c r="X16" t="s">
        <v>220</v>
      </c>
      <c r="Y16" t="s">
        <v>220</v>
      </c>
      <c r="Z16" t="s">
        <v>220</v>
      </c>
      <c r="AA16" t="s">
        <v>220</v>
      </c>
      <c r="AB16" t="s">
        <v>220</v>
      </c>
      <c r="AC16" t="s">
        <v>220</v>
      </c>
      <c r="AD16" t="s">
        <v>220</v>
      </c>
      <c r="AE16" t="s">
        <v>220</v>
      </c>
      <c r="AF16" t="s">
        <v>220</v>
      </c>
      <c r="AG16" t="s">
        <v>220</v>
      </c>
      <c r="AH16" t="s">
        <v>220</v>
      </c>
      <c r="AI16" t="s">
        <v>220</v>
      </c>
      <c r="AJ16" t="s">
        <v>220</v>
      </c>
      <c r="AK16" t="s">
        <v>220</v>
      </c>
      <c r="AL16" t="s">
        <v>220</v>
      </c>
      <c r="AM16" t="s">
        <v>220</v>
      </c>
      <c r="AN16" t="s">
        <v>223</v>
      </c>
      <c r="AO16" t="s">
        <v>220</v>
      </c>
      <c r="AP16" t="s">
        <v>224</v>
      </c>
      <c r="AQ16" t="s">
        <v>225</v>
      </c>
      <c r="AR16" t="s">
        <v>226</v>
      </c>
      <c r="AS16" t="s">
        <v>227</v>
      </c>
      <c r="AT16">
        <v>90</v>
      </c>
      <c r="AU16">
        <v>0</v>
      </c>
      <c r="AV16">
        <v>0</v>
      </c>
      <c r="AW16">
        <v>0</v>
      </c>
      <c r="AX16">
        <v>90</v>
      </c>
      <c r="AY16" t="s">
        <v>220</v>
      </c>
      <c r="AZ16" t="s">
        <v>220</v>
      </c>
      <c r="BA16" t="s">
        <v>220</v>
      </c>
      <c r="BB16" t="s">
        <v>220</v>
      </c>
      <c r="BC16">
        <v>0</v>
      </c>
      <c r="BD16">
        <v>0</v>
      </c>
      <c r="BE16" t="s">
        <v>228</v>
      </c>
      <c r="BF16">
        <v>0</v>
      </c>
      <c r="BG16">
        <v>0</v>
      </c>
      <c r="BH16" t="s">
        <v>305</v>
      </c>
      <c r="BI16" t="s">
        <v>220</v>
      </c>
      <c r="BJ16" t="s">
        <v>220</v>
      </c>
      <c r="BK16" t="s">
        <v>220</v>
      </c>
      <c r="BL16" t="s">
        <v>220</v>
      </c>
      <c r="BM16" t="s">
        <v>252</v>
      </c>
      <c r="BN16" t="s">
        <v>220</v>
      </c>
      <c r="BO16" t="s">
        <v>220</v>
      </c>
      <c r="BP16" t="s">
        <v>220</v>
      </c>
      <c r="BQ16">
        <v>0</v>
      </c>
      <c r="BR16" t="s">
        <v>220</v>
      </c>
      <c r="BS16" t="s">
        <v>220</v>
      </c>
      <c r="BT16" t="s">
        <v>220</v>
      </c>
      <c r="BU16" t="s">
        <v>220</v>
      </c>
      <c r="BV16" t="s">
        <v>220</v>
      </c>
      <c r="BW16" t="s">
        <v>220</v>
      </c>
      <c r="BX16" t="s">
        <v>124</v>
      </c>
      <c r="BY16" t="s">
        <v>235</v>
      </c>
      <c r="BZ16" t="s">
        <v>306</v>
      </c>
      <c r="CA16" t="s">
        <v>232</v>
      </c>
    </row>
    <row r="17" spans="1:79" hidden="1" x14ac:dyDescent="0.3">
      <c r="A17" t="s">
        <v>307</v>
      </c>
      <c r="B17">
        <v>3682</v>
      </c>
      <c r="C17" t="s">
        <v>220</v>
      </c>
      <c r="D17" t="s">
        <v>256</v>
      </c>
      <c r="E17">
        <v>54</v>
      </c>
      <c r="F17" t="s">
        <v>238</v>
      </c>
      <c r="G17">
        <v>0</v>
      </c>
      <c r="H17">
        <v>15</v>
      </c>
      <c r="I17">
        <v>75</v>
      </c>
      <c r="J17">
        <v>5</v>
      </c>
      <c r="K17" t="s">
        <v>220</v>
      </c>
      <c r="L17" t="s">
        <v>220</v>
      </c>
      <c r="M17" t="b">
        <v>0</v>
      </c>
      <c r="N17" t="s">
        <v>220</v>
      </c>
      <c r="O17" t="b">
        <v>0</v>
      </c>
      <c r="P17" s="74">
        <v>45861.76458333333</v>
      </c>
      <c r="Q17" t="s">
        <v>220</v>
      </c>
      <c r="R17" t="s">
        <v>220</v>
      </c>
      <c r="S17" t="s">
        <v>220</v>
      </c>
      <c r="T17" t="s">
        <v>220</v>
      </c>
      <c r="U17" t="s">
        <v>220</v>
      </c>
      <c r="V17" t="s">
        <v>220</v>
      </c>
      <c r="W17" t="s">
        <v>220</v>
      </c>
      <c r="X17" t="s">
        <v>220</v>
      </c>
      <c r="Y17" t="s">
        <v>220</v>
      </c>
      <c r="Z17" t="s">
        <v>220</v>
      </c>
      <c r="AA17" t="s">
        <v>220</v>
      </c>
      <c r="AB17" t="s">
        <v>220</v>
      </c>
      <c r="AC17" t="s">
        <v>220</v>
      </c>
      <c r="AD17" t="s">
        <v>220</v>
      </c>
      <c r="AE17" t="s">
        <v>220</v>
      </c>
      <c r="AF17" t="s">
        <v>220</v>
      </c>
      <c r="AG17" t="s">
        <v>220</v>
      </c>
      <c r="AH17" t="s">
        <v>220</v>
      </c>
      <c r="AI17" t="s">
        <v>220</v>
      </c>
      <c r="AJ17" t="s">
        <v>220</v>
      </c>
      <c r="AK17" t="s">
        <v>220</v>
      </c>
      <c r="AL17" t="s">
        <v>220</v>
      </c>
      <c r="AM17" t="s">
        <v>220</v>
      </c>
      <c r="AN17" t="s">
        <v>223</v>
      </c>
      <c r="AO17" t="s">
        <v>220</v>
      </c>
      <c r="AP17" t="s">
        <v>224</v>
      </c>
      <c r="AQ17" t="s">
        <v>225</v>
      </c>
      <c r="AR17" t="s">
        <v>226</v>
      </c>
      <c r="AS17" t="s">
        <v>227</v>
      </c>
      <c r="AT17">
        <v>75</v>
      </c>
      <c r="AU17">
        <v>0</v>
      </c>
      <c r="AV17">
        <v>0</v>
      </c>
      <c r="AW17">
        <v>0</v>
      </c>
      <c r="AX17">
        <v>75</v>
      </c>
      <c r="AY17" t="s">
        <v>220</v>
      </c>
      <c r="AZ17" t="s">
        <v>220</v>
      </c>
      <c r="BA17" t="s">
        <v>220</v>
      </c>
      <c r="BB17" t="s">
        <v>220</v>
      </c>
      <c r="BC17">
        <v>0</v>
      </c>
      <c r="BD17">
        <v>0</v>
      </c>
      <c r="BE17" t="s">
        <v>228</v>
      </c>
      <c r="BF17">
        <v>0</v>
      </c>
      <c r="BG17">
        <v>0</v>
      </c>
      <c r="BH17" t="s">
        <v>220</v>
      </c>
      <c r="BI17" t="s">
        <v>220</v>
      </c>
      <c r="BJ17" t="s">
        <v>220</v>
      </c>
      <c r="BK17" t="s">
        <v>220</v>
      </c>
      <c r="BL17" t="s">
        <v>220</v>
      </c>
      <c r="BM17" t="s">
        <v>234</v>
      </c>
      <c r="BN17" t="s">
        <v>220</v>
      </c>
      <c r="BO17" t="s">
        <v>220</v>
      </c>
      <c r="BP17" t="s">
        <v>220</v>
      </c>
      <c r="BQ17">
        <v>0</v>
      </c>
      <c r="BR17" t="s">
        <v>220</v>
      </c>
      <c r="BS17" t="s">
        <v>220</v>
      </c>
      <c r="BT17" t="s">
        <v>220</v>
      </c>
      <c r="BU17" t="s">
        <v>220</v>
      </c>
      <c r="BV17" t="s">
        <v>220</v>
      </c>
      <c r="BW17" t="s">
        <v>220</v>
      </c>
      <c r="BX17" t="s">
        <v>125</v>
      </c>
      <c r="BY17" t="s">
        <v>253</v>
      </c>
      <c r="BZ17" t="s">
        <v>308</v>
      </c>
      <c r="CA17" t="s">
        <v>232</v>
      </c>
    </row>
    <row r="18" spans="1:79" hidden="1" x14ac:dyDescent="0.3">
      <c r="A18" t="s">
        <v>309</v>
      </c>
      <c r="B18">
        <v>3683</v>
      </c>
      <c r="C18" t="s">
        <v>220</v>
      </c>
      <c r="D18" t="s">
        <v>242</v>
      </c>
      <c r="E18">
        <v>54</v>
      </c>
      <c r="F18" t="s">
        <v>238</v>
      </c>
      <c r="G18">
        <v>0</v>
      </c>
      <c r="H18">
        <v>15</v>
      </c>
      <c r="I18">
        <v>120</v>
      </c>
      <c r="J18">
        <v>8</v>
      </c>
      <c r="K18" t="s">
        <v>220</v>
      </c>
      <c r="L18" t="s">
        <v>220</v>
      </c>
      <c r="M18" t="b">
        <v>0</v>
      </c>
      <c r="N18" t="s">
        <v>220</v>
      </c>
      <c r="O18" t="b">
        <v>0</v>
      </c>
      <c r="P18" s="74">
        <v>45861.887499999997</v>
      </c>
      <c r="Q18" t="s">
        <v>220</v>
      </c>
      <c r="R18" t="s">
        <v>220</v>
      </c>
      <c r="S18" t="s">
        <v>220</v>
      </c>
      <c r="T18" t="s">
        <v>220</v>
      </c>
      <c r="U18" t="s">
        <v>220</v>
      </c>
      <c r="V18" t="s">
        <v>220</v>
      </c>
      <c r="W18" t="s">
        <v>220</v>
      </c>
      <c r="X18" t="s">
        <v>220</v>
      </c>
      <c r="Y18" t="s">
        <v>220</v>
      </c>
      <c r="Z18" t="s">
        <v>220</v>
      </c>
      <c r="AA18" t="s">
        <v>220</v>
      </c>
      <c r="AB18" t="s">
        <v>220</v>
      </c>
      <c r="AC18" t="s">
        <v>220</v>
      </c>
      <c r="AD18" t="s">
        <v>220</v>
      </c>
      <c r="AE18" t="s">
        <v>220</v>
      </c>
      <c r="AF18" t="s">
        <v>220</v>
      </c>
      <c r="AG18" t="s">
        <v>220</v>
      </c>
      <c r="AH18" t="s">
        <v>220</v>
      </c>
      <c r="AI18" t="s">
        <v>220</v>
      </c>
      <c r="AJ18" t="s">
        <v>220</v>
      </c>
      <c r="AK18" t="s">
        <v>220</v>
      </c>
      <c r="AL18" t="s">
        <v>220</v>
      </c>
      <c r="AM18" t="s">
        <v>220</v>
      </c>
      <c r="AN18" t="s">
        <v>223</v>
      </c>
      <c r="AO18" t="s">
        <v>220</v>
      </c>
      <c r="AP18" t="s">
        <v>224</v>
      </c>
      <c r="AQ18" t="s">
        <v>225</v>
      </c>
      <c r="AR18" t="s">
        <v>226</v>
      </c>
      <c r="AS18" t="s">
        <v>227</v>
      </c>
      <c r="AT18">
        <v>188.12</v>
      </c>
      <c r="AU18">
        <v>0</v>
      </c>
      <c r="AV18">
        <v>0</v>
      </c>
      <c r="AW18">
        <v>0</v>
      </c>
      <c r="AX18">
        <v>188.12</v>
      </c>
      <c r="AY18" t="s">
        <v>220</v>
      </c>
      <c r="AZ18" t="s">
        <v>220</v>
      </c>
      <c r="BA18" t="s">
        <v>220</v>
      </c>
      <c r="BB18" t="s">
        <v>220</v>
      </c>
      <c r="BC18">
        <v>0</v>
      </c>
      <c r="BD18">
        <v>0</v>
      </c>
      <c r="BE18" t="s">
        <v>228</v>
      </c>
      <c r="BF18">
        <v>0</v>
      </c>
      <c r="BG18">
        <v>0</v>
      </c>
      <c r="BH18" t="s">
        <v>220</v>
      </c>
      <c r="BI18" t="s">
        <v>220</v>
      </c>
      <c r="BJ18" t="s">
        <v>220</v>
      </c>
      <c r="BK18" t="s">
        <v>220</v>
      </c>
      <c r="BL18" t="s">
        <v>220</v>
      </c>
      <c r="BM18" t="s">
        <v>289</v>
      </c>
      <c r="BN18" t="s">
        <v>220</v>
      </c>
      <c r="BO18" t="s">
        <v>220</v>
      </c>
      <c r="BP18" t="s">
        <v>220</v>
      </c>
      <c r="BQ18">
        <v>0</v>
      </c>
      <c r="BR18" t="s">
        <v>220</v>
      </c>
      <c r="BS18" t="s">
        <v>220</v>
      </c>
      <c r="BT18" t="s">
        <v>220</v>
      </c>
      <c r="BU18" t="s">
        <v>220</v>
      </c>
      <c r="BV18" t="s">
        <v>220</v>
      </c>
      <c r="BW18" t="s">
        <v>220</v>
      </c>
      <c r="BX18" t="s">
        <v>123</v>
      </c>
      <c r="BY18" t="s">
        <v>253</v>
      </c>
      <c r="BZ18" t="s">
        <v>243</v>
      </c>
      <c r="CA18" t="s">
        <v>232</v>
      </c>
    </row>
    <row r="19" spans="1:79" hidden="1" x14ac:dyDescent="0.3">
      <c r="A19" t="s">
        <v>309</v>
      </c>
      <c r="B19">
        <v>3683</v>
      </c>
      <c r="C19" t="s">
        <v>220</v>
      </c>
      <c r="D19" t="s">
        <v>242</v>
      </c>
      <c r="E19">
        <v>8</v>
      </c>
      <c r="F19" t="s">
        <v>240</v>
      </c>
      <c r="G19">
        <v>0</v>
      </c>
      <c r="H19">
        <v>68.12</v>
      </c>
      <c r="I19">
        <v>68.12</v>
      </c>
      <c r="J19">
        <v>1</v>
      </c>
      <c r="K19" t="s">
        <v>220</v>
      </c>
      <c r="L19" t="s">
        <v>220</v>
      </c>
      <c r="M19" t="b">
        <v>0</v>
      </c>
      <c r="N19" t="s">
        <v>220</v>
      </c>
      <c r="O19" t="b">
        <v>0</v>
      </c>
      <c r="P19" s="74">
        <v>45861.887499999997</v>
      </c>
      <c r="Q19" t="s">
        <v>220</v>
      </c>
      <c r="R19" t="s">
        <v>220</v>
      </c>
      <c r="S19" t="s">
        <v>220</v>
      </c>
      <c r="T19" t="s">
        <v>220</v>
      </c>
      <c r="U19" t="s">
        <v>220</v>
      </c>
      <c r="V19" t="s">
        <v>220</v>
      </c>
      <c r="W19" t="s">
        <v>220</v>
      </c>
      <c r="X19" t="s">
        <v>220</v>
      </c>
      <c r="Y19" t="s">
        <v>220</v>
      </c>
      <c r="Z19" t="s">
        <v>220</v>
      </c>
      <c r="AA19" t="s">
        <v>220</v>
      </c>
      <c r="AB19" t="s">
        <v>220</v>
      </c>
      <c r="AC19" t="s">
        <v>220</v>
      </c>
      <c r="AD19" t="s">
        <v>220</v>
      </c>
      <c r="AE19" t="s">
        <v>220</v>
      </c>
      <c r="AF19" t="s">
        <v>220</v>
      </c>
      <c r="AG19" t="s">
        <v>220</v>
      </c>
      <c r="AH19" t="s">
        <v>220</v>
      </c>
      <c r="AI19" t="s">
        <v>220</v>
      </c>
      <c r="AJ19" t="s">
        <v>220</v>
      </c>
      <c r="AK19" t="s">
        <v>220</v>
      </c>
      <c r="AL19" t="s">
        <v>220</v>
      </c>
      <c r="AM19" t="s">
        <v>220</v>
      </c>
      <c r="AN19" t="s">
        <v>223</v>
      </c>
      <c r="AO19" t="s">
        <v>220</v>
      </c>
      <c r="AP19" t="s">
        <v>224</v>
      </c>
      <c r="AQ19" t="s">
        <v>225</v>
      </c>
      <c r="AR19" t="s">
        <v>226</v>
      </c>
      <c r="AS19" t="s">
        <v>227</v>
      </c>
      <c r="AT19">
        <v>188.12</v>
      </c>
      <c r="AU19">
        <v>0</v>
      </c>
      <c r="AV19">
        <v>0</v>
      </c>
      <c r="AW19">
        <v>0</v>
      </c>
      <c r="AX19">
        <v>188.12</v>
      </c>
      <c r="AY19" t="s">
        <v>220</v>
      </c>
      <c r="AZ19" t="s">
        <v>220</v>
      </c>
      <c r="BA19" t="s">
        <v>220</v>
      </c>
      <c r="BB19" t="s">
        <v>220</v>
      </c>
      <c r="BC19">
        <v>0</v>
      </c>
      <c r="BD19">
        <v>0</v>
      </c>
      <c r="BE19" t="s">
        <v>228</v>
      </c>
      <c r="BF19">
        <v>0</v>
      </c>
      <c r="BG19">
        <v>0</v>
      </c>
      <c r="BH19" t="s">
        <v>220</v>
      </c>
      <c r="BI19" t="s">
        <v>220</v>
      </c>
      <c r="BJ19" t="s">
        <v>220</v>
      </c>
      <c r="BK19" t="s">
        <v>220</v>
      </c>
      <c r="BL19" t="s">
        <v>220</v>
      </c>
      <c r="BM19" t="s">
        <v>289</v>
      </c>
      <c r="BN19" t="s">
        <v>220</v>
      </c>
      <c r="BO19" t="s">
        <v>220</v>
      </c>
      <c r="BP19" t="s">
        <v>220</v>
      </c>
      <c r="BQ19">
        <v>0</v>
      </c>
      <c r="BR19" t="s">
        <v>220</v>
      </c>
      <c r="BS19" t="s">
        <v>220</v>
      </c>
      <c r="BT19" t="s">
        <v>220</v>
      </c>
      <c r="BU19" t="s">
        <v>220</v>
      </c>
      <c r="BV19" t="s">
        <v>220</v>
      </c>
      <c r="BW19" t="s">
        <v>220</v>
      </c>
      <c r="BX19" t="s">
        <v>123</v>
      </c>
      <c r="BY19" t="s">
        <v>253</v>
      </c>
      <c r="BZ19" t="s">
        <v>243</v>
      </c>
      <c r="CA19" t="s">
        <v>232</v>
      </c>
    </row>
    <row r="20" spans="1:79" hidden="1" x14ac:dyDescent="0.3">
      <c r="A20" t="s">
        <v>310</v>
      </c>
      <c r="B20">
        <v>3684</v>
      </c>
      <c r="C20" t="s">
        <v>220</v>
      </c>
      <c r="D20" t="s">
        <v>311</v>
      </c>
      <c r="E20">
        <v>0</v>
      </c>
      <c r="F20" t="s">
        <v>246</v>
      </c>
      <c r="G20">
        <v>0</v>
      </c>
      <c r="H20">
        <v>8</v>
      </c>
      <c r="I20">
        <v>112</v>
      </c>
      <c r="J20">
        <v>14</v>
      </c>
      <c r="K20" t="s">
        <v>220</v>
      </c>
      <c r="L20" t="s">
        <v>220</v>
      </c>
      <c r="M20" t="b">
        <v>0</v>
      </c>
      <c r="N20" t="s">
        <v>220</v>
      </c>
      <c r="O20" t="b">
        <v>0</v>
      </c>
      <c r="P20" s="74">
        <v>45861.888194444444</v>
      </c>
      <c r="Q20" t="s">
        <v>220</v>
      </c>
      <c r="R20" t="s">
        <v>220</v>
      </c>
      <c r="S20" t="s">
        <v>220</v>
      </c>
      <c r="T20" t="s">
        <v>220</v>
      </c>
      <c r="U20" t="s">
        <v>220</v>
      </c>
      <c r="V20" t="s">
        <v>220</v>
      </c>
      <c r="W20" t="s">
        <v>220</v>
      </c>
      <c r="X20" t="s">
        <v>220</v>
      </c>
      <c r="Y20" t="s">
        <v>220</v>
      </c>
      <c r="Z20" t="s">
        <v>220</v>
      </c>
      <c r="AA20" t="s">
        <v>220</v>
      </c>
      <c r="AB20" t="s">
        <v>220</v>
      </c>
      <c r="AC20" t="s">
        <v>220</v>
      </c>
      <c r="AD20" t="s">
        <v>220</v>
      </c>
      <c r="AE20" t="s">
        <v>220</v>
      </c>
      <c r="AF20" t="s">
        <v>220</v>
      </c>
      <c r="AG20" t="s">
        <v>220</v>
      </c>
      <c r="AH20" t="s">
        <v>220</v>
      </c>
      <c r="AI20" t="s">
        <v>220</v>
      </c>
      <c r="AJ20" t="s">
        <v>220</v>
      </c>
      <c r="AK20" t="s">
        <v>220</v>
      </c>
      <c r="AL20" t="s">
        <v>220</v>
      </c>
      <c r="AM20" t="s">
        <v>220</v>
      </c>
      <c r="AN20" t="s">
        <v>223</v>
      </c>
      <c r="AO20" t="s">
        <v>220</v>
      </c>
      <c r="AP20" t="s">
        <v>224</v>
      </c>
      <c r="AQ20" t="s">
        <v>225</v>
      </c>
      <c r="AR20" t="s">
        <v>226</v>
      </c>
      <c r="AS20" t="s">
        <v>227</v>
      </c>
      <c r="AT20">
        <v>112</v>
      </c>
      <c r="AU20">
        <v>0</v>
      </c>
      <c r="AV20">
        <v>0</v>
      </c>
      <c r="AW20">
        <v>0</v>
      </c>
      <c r="AX20">
        <v>112</v>
      </c>
      <c r="AY20" t="s">
        <v>220</v>
      </c>
      <c r="AZ20" t="s">
        <v>220</v>
      </c>
      <c r="BA20" t="s">
        <v>220</v>
      </c>
      <c r="BB20" t="s">
        <v>220</v>
      </c>
      <c r="BC20">
        <v>0</v>
      </c>
      <c r="BD20">
        <v>0</v>
      </c>
      <c r="BE20" t="s">
        <v>228</v>
      </c>
      <c r="BF20">
        <v>0</v>
      </c>
      <c r="BG20">
        <v>0</v>
      </c>
      <c r="BH20" t="s">
        <v>220</v>
      </c>
      <c r="BI20" t="s">
        <v>220</v>
      </c>
      <c r="BJ20" t="s">
        <v>220</v>
      </c>
      <c r="BK20" t="s">
        <v>220</v>
      </c>
      <c r="BL20" t="s">
        <v>220</v>
      </c>
      <c r="BM20" t="s">
        <v>312</v>
      </c>
      <c r="BN20" t="s">
        <v>220</v>
      </c>
      <c r="BO20" t="s">
        <v>220</v>
      </c>
      <c r="BP20" t="s">
        <v>220</v>
      </c>
      <c r="BQ20">
        <v>0</v>
      </c>
      <c r="BR20" t="s">
        <v>220</v>
      </c>
      <c r="BS20" t="s">
        <v>220</v>
      </c>
      <c r="BT20" t="s">
        <v>220</v>
      </c>
      <c r="BU20" t="s">
        <v>220</v>
      </c>
      <c r="BV20" t="s">
        <v>220</v>
      </c>
      <c r="BW20" t="s">
        <v>220</v>
      </c>
      <c r="BX20" t="s">
        <v>4</v>
      </c>
      <c r="BY20" t="s">
        <v>253</v>
      </c>
      <c r="BZ20" t="s">
        <v>313</v>
      </c>
      <c r="CA20" t="s">
        <v>232</v>
      </c>
    </row>
    <row r="21" spans="1:79" hidden="1" x14ac:dyDescent="0.3">
      <c r="A21" t="s">
        <v>314</v>
      </c>
      <c r="B21">
        <v>3685</v>
      </c>
      <c r="C21" t="s">
        <v>220</v>
      </c>
      <c r="D21" t="s">
        <v>257</v>
      </c>
      <c r="E21">
        <v>54</v>
      </c>
      <c r="F21" t="s">
        <v>238</v>
      </c>
      <c r="G21">
        <v>0</v>
      </c>
      <c r="H21">
        <v>15</v>
      </c>
      <c r="I21">
        <v>45</v>
      </c>
      <c r="J21">
        <v>3</v>
      </c>
      <c r="K21" t="s">
        <v>220</v>
      </c>
      <c r="L21" t="s">
        <v>220</v>
      </c>
      <c r="M21" t="b">
        <v>0</v>
      </c>
      <c r="N21" t="s">
        <v>220</v>
      </c>
      <c r="O21" t="b">
        <v>0</v>
      </c>
      <c r="P21" s="74">
        <v>45861.88958333333</v>
      </c>
      <c r="Q21" t="s">
        <v>220</v>
      </c>
      <c r="R21" t="s">
        <v>220</v>
      </c>
      <c r="S21" t="s">
        <v>220</v>
      </c>
      <c r="T21" t="s">
        <v>220</v>
      </c>
      <c r="U21" t="s">
        <v>220</v>
      </c>
      <c r="V21" t="s">
        <v>220</v>
      </c>
      <c r="W21" t="s">
        <v>220</v>
      </c>
      <c r="X21" t="s">
        <v>220</v>
      </c>
      <c r="Y21" t="s">
        <v>220</v>
      </c>
      <c r="Z21" t="s">
        <v>220</v>
      </c>
      <c r="AA21" t="s">
        <v>220</v>
      </c>
      <c r="AB21" t="s">
        <v>220</v>
      </c>
      <c r="AC21" t="s">
        <v>220</v>
      </c>
      <c r="AD21" t="s">
        <v>220</v>
      </c>
      <c r="AE21" t="s">
        <v>220</v>
      </c>
      <c r="AF21" t="s">
        <v>220</v>
      </c>
      <c r="AG21" t="s">
        <v>220</v>
      </c>
      <c r="AH21" t="s">
        <v>220</v>
      </c>
      <c r="AI21" t="s">
        <v>220</v>
      </c>
      <c r="AJ21" t="s">
        <v>220</v>
      </c>
      <c r="AK21" t="s">
        <v>220</v>
      </c>
      <c r="AL21" t="s">
        <v>220</v>
      </c>
      <c r="AM21" t="s">
        <v>220</v>
      </c>
      <c r="AN21" t="s">
        <v>223</v>
      </c>
      <c r="AO21" t="s">
        <v>220</v>
      </c>
      <c r="AP21" t="s">
        <v>224</v>
      </c>
      <c r="AQ21" t="s">
        <v>225</v>
      </c>
      <c r="AR21" t="s">
        <v>226</v>
      </c>
      <c r="AS21" t="s">
        <v>227</v>
      </c>
      <c r="AT21">
        <v>45</v>
      </c>
      <c r="AU21">
        <v>0</v>
      </c>
      <c r="AV21">
        <v>0</v>
      </c>
      <c r="AW21">
        <v>0</v>
      </c>
      <c r="AX21">
        <v>45</v>
      </c>
      <c r="AY21" t="s">
        <v>220</v>
      </c>
      <c r="AZ21" t="s">
        <v>220</v>
      </c>
      <c r="BA21" t="s">
        <v>220</v>
      </c>
      <c r="BB21" t="s">
        <v>220</v>
      </c>
      <c r="BC21">
        <v>0</v>
      </c>
      <c r="BD21">
        <v>0</v>
      </c>
      <c r="BE21" t="s">
        <v>228</v>
      </c>
      <c r="BF21">
        <v>0</v>
      </c>
      <c r="BG21">
        <v>0</v>
      </c>
      <c r="BH21" t="s">
        <v>220</v>
      </c>
      <c r="BI21" t="s">
        <v>220</v>
      </c>
      <c r="BJ21" t="s">
        <v>220</v>
      </c>
      <c r="BK21" t="s">
        <v>220</v>
      </c>
      <c r="BL21" t="s">
        <v>220</v>
      </c>
      <c r="BM21" t="s">
        <v>229</v>
      </c>
      <c r="BN21" t="s">
        <v>220</v>
      </c>
      <c r="BO21" t="s">
        <v>220</v>
      </c>
      <c r="BP21" t="s">
        <v>220</v>
      </c>
      <c r="BQ21">
        <v>0</v>
      </c>
      <c r="BR21" t="s">
        <v>220</v>
      </c>
      <c r="BS21" t="s">
        <v>220</v>
      </c>
      <c r="BT21" t="s">
        <v>220</v>
      </c>
      <c r="BU21" t="s">
        <v>220</v>
      </c>
      <c r="BV21" t="s">
        <v>220</v>
      </c>
      <c r="BW21" t="s">
        <v>220</v>
      </c>
      <c r="BX21" t="s">
        <v>126</v>
      </c>
      <c r="BY21" t="s">
        <v>253</v>
      </c>
      <c r="BZ21" t="s">
        <v>258</v>
      </c>
      <c r="CA21" t="s">
        <v>232</v>
      </c>
    </row>
    <row r="22" spans="1:79" hidden="1" x14ac:dyDescent="0.3">
      <c r="A22" t="s">
        <v>315</v>
      </c>
      <c r="B22">
        <v>3686</v>
      </c>
      <c r="C22" t="s">
        <v>220</v>
      </c>
      <c r="D22" t="s">
        <v>260</v>
      </c>
      <c r="E22">
        <v>54</v>
      </c>
      <c r="F22" t="s">
        <v>238</v>
      </c>
      <c r="G22">
        <v>0</v>
      </c>
      <c r="H22">
        <v>15</v>
      </c>
      <c r="I22">
        <v>210</v>
      </c>
      <c r="J22">
        <v>14</v>
      </c>
      <c r="K22" t="s">
        <v>220</v>
      </c>
      <c r="L22" t="s">
        <v>220</v>
      </c>
      <c r="M22" t="b">
        <v>0</v>
      </c>
      <c r="N22" t="s">
        <v>220</v>
      </c>
      <c r="O22" t="b">
        <v>0</v>
      </c>
      <c r="P22" s="74">
        <v>45862.47152777778</v>
      </c>
      <c r="Q22" t="s">
        <v>220</v>
      </c>
      <c r="R22" t="s">
        <v>220</v>
      </c>
      <c r="S22" t="s">
        <v>220</v>
      </c>
      <c r="T22" t="s">
        <v>220</v>
      </c>
      <c r="U22" t="s">
        <v>220</v>
      </c>
      <c r="V22" t="s">
        <v>220</v>
      </c>
      <c r="W22" t="s">
        <v>220</v>
      </c>
      <c r="X22" t="s">
        <v>220</v>
      </c>
      <c r="Y22" t="s">
        <v>220</v>
      </c>
      <c r="Z22" t="s">
        <v>220</v>
      </c>
      <c r="AA22" t="s">
        <v>220</v>
      </c>
      <c r="AB22" t="s">
        <v>220</v>
      </c>
      <c r="AC22" t="s">
        <v>220</v>
      </c>
      <c r="AD22" t="s">
        <v>220</v>
      </c>
      <c r="AE22" t="s">
        <v>220</v>
      </c>
      <c r="AF22" t="s">
        <v>220</v>
      </c>
      <c r="AG22" t="s">
        <v>220</v>
      </c>
      <c r="AH22" t="s">
        <v>220</v>
      </c>
      <c r="AI22" t="s">
        <v>220</v>
      </c>
      <c r="AJ22" t="s">
        <v>220</v>
      </c>
      <c r="AK22" t="s">
        <v>220</v>
      </c>
      <c r="AL22" t="s">
        <v>220</v>
      </c>
      <c r="AM22" t="s">
        <v>220</v>
      </c>
      <c r="AN22" t="s">
        <v>223</v>
      </c>
      <c r="AO22" t="s">
        <v>220</v>
      </c>
      <c r="AP22" t="s">
        <v>224</v>
      </c>
      <c r="AQ22" t="s">
        <v>225</v>
      </c>
      <c r="AR22" t="s">
        <v>226</v>
      </c>
      <c r="AS22" t="s">
        <v>227</v>
      </c>
      <c r="AT22">
        <v>210</v>
      </c>
      <c r="AU22">
        <v>0</v>
      </c>
      <c r="AV22">
        <v>0</v>
      </c>
      <c r="AW22">
        <v>0</v>
      </c>
      <c r="AX22">
        <v>210</v>
      </c>
      <c r="AY22" t="s">
        <v>220</v>
      </c>
      <c r="AZ22" t="s">
        <v>220</v>
      </c>
      <c r="BA22" t="s">
        <v>220</v>
      </c>
      <c r="BB22" t="s">
        <v>220</v>
      </c>
      <c r="BC22">
        <v>0</v>
      </c>
      <c r="BD22">
        <v>0</v>
      </c>
      <c r="BE22" t="s">
        <v>228</v>
      </c>
      <c r="BF22">
        <v>0</v>
      </c>
      <c r="BG22">
        <v>0</v>
      </c>
      <c r="BH22" t="s">
        <v>220</v>
      </c>
      <c r="BI22" t="s">
        <v>220</v>
      </c>
      <c r="BJ22" t="s">
        <v>220</v>
      </c>
      <c r="BK22" t="s">
        <v>220</v>
      </c>
      <c r="BL22" t="s">
        <v>220</v>
      </c>
      <c r="BM22" t="s">
        <v>285</v>
      </c>
      <c r="BN22" t="s">
        <v>220</v>
      </c>
      <c r="BO22" t="s">
        <v>220</v>
      </c>
      <c r="BP22" t="s">
        <v>220</v>
      </c>
      <c r="BQ22">
        <v>0</v>
      </c>
      <c r="BR22" t="s">
        <v>220</v>
      </c>
      <c r="BS22" t="s">
        <v>220</v>
      </c>
      <c r="BT22" t="s">
        <v>220</v>
      </c>
      <c r="BU22" t="s">
        <v>220</v>
      </c>
      <c r="BV22" t="s">
        <v>220</v>
      </c>
      <c r="BW22" t="s">
        <v>220</v>
      </c>
      <c r="BX22" t="s">
        <v>121</v>
      </c>
      <c r="BY22" t="s">
        <v>259</v>
      </c>
      <c r="BZ22" t="s">
        <v>261</v>
      </c>
      <c r="CA22" t="s">
        <v>232</v>
      </c>
    </row>
    <row r="23" spans="1:79" hidden="1" x14ac:dyDescent="0.3">
      <c r="A23" t="s">
        <v>316</v>
      </c>
      <c r="B23">
        <v>3687</v>
      </c>
      <c r="C23" t="s">
        <v>220</v>
      </c>
      <c r="D23" t="s">
        <v>284</v>
      </c>
      <c r="E23">
        <v>54</v>
      </c>
      <c r="F23" t="s">
        <v>238</v>
      </c>
      <c r="G23">
        <v>0</v>
      </c>
      <c r="H23">
        <v>15</v>
      </c>
      <c r="I23">
        <v>75</v>
      </c>
      <c r="J23">
        <v>5</v>
      </c>
      <c r="K23" t="s">
        <v>220</v>
      </c>
      <c r="L23" t="s">
        <v>220</v>
      </c>
      <c r="M23" t="b">
        <v>0</v>
      </c>
      <c r="N23" t="s">
        <v>220</v>
      </c>
      <c r="O23" t="b">
        <v>0</v>
      </c>
      <c r="P23" s="74">
        <v>45862.619444444441</v>
      </c>
      <c r="Q23" t="s">
        <v>220</v>
      </c>
      <c r="R23" t="s">
        <v>220</v>
      </c>
      <c r="S23" t="s">
        <v>220</v>
      </c>
      <c r="T23" t="s">
        <v>220</v>
      </c>
      <c r="U23" t="s">
        <v>220</v>
      </c>
      <c r="V23" t="s">
        <v>220</v>
      </c>
      <c r="W23" t="s">
        <v>220</v>
      </c>
      <c r="X23" t="s">
        <v>220</v>
      </c>
      <c r="Y23" t="s">
        <v>220</v>
      </c>
      <c r="Z23" t="s">
        <v>220</v>
      </c>
      <c r="AA23" t="s">
        <v>220</v>
      </c>
      <c r="AB23" t="s">
        <v>220</v>
      </c>
      <c r="AC23" t="s">
        <v>220</v>
      </c>
      <c r="AD23" t="s">
        <v>220</v>
      </c>
      <c r="AE23" t="s">
        <v>220</v>
      </c>
      <c r="AF23" t="s">
        <v>220</v>
      </c>
      <c r="AG23" t="s">
        <v>220</v>
      </c>
      <c r="AH23" t="s">
        <v>220</v>
      </c>
      <c r="AI23" t="s">
        <v>220</v>
      </c>
      <c r="AJ23" t="s">
        <v>220</v>
      </c>
      <c r="AK23" t="s">
        <v>220</v>
      </c>
      <c r="AL23" t="s">
        <v>220</v>
      </c>
      <c r="AM23" t="s">
        <v>220</v>
      </c>
      <c r="AN23" t="s">
        <v>223</v>
      </c>
      <c r="AO23" t="s">
        <v>220</v>
      </c>
      <c r="AP23" t="s">
        <v>224</v>
      </c>
      <c r="AQ23" t="s">
        <v>225</v>
      </c>
      <c r="AR23" t="s">
        <v>226</v>
      </c>
      <c r="AS23" t="s">
        <v>227</v>
      </c>
      <c r="AT23">
        <v>95</v>
      </c>
      <c r="AU23">
        <v>0</v>
      </c>
      <c r="AV23">
        <v>0</v>
      </c>
      <c r="AW23">
        <v>0</v>
      </c>
      <c r="AX23">
        <v>95</v>
      </c>
      <c r="AY23" t="s">
        <v>220</v>
      </c>
      <c r="AZ23" t="s">
        <v>220</v>
      </c>
      <c r="BA23" t="s">
        <v>220</v>
      </c>
      <c r="BB23" t="s">
        <v>220</v>
      </c>
      <c r="BC23">
        <v>0</v>
      </c>
      <c r="BD23">
        <v>0</v>
      </c>
      <c r="BE23" t="s">
        <v>228</v>
      </c>
      <c r="BF23">
        <v>0</v>
      </c>
      <c r="BG23">
        <v>0</v>
      </c>
      <c r="BH23" t="s">
        <v>220</v>
      </c>
      <c r="BI23" t="s">
        <v>220</v>
      </c>
      <c r="BJ23" t="s">
        <v>220</v>
      </c>
      <c r="BK23" t="s">
        <v>220</v>
      </c>
      <c r="BL23" t="s">
        <v>220</v>
      </c>
      <c r="BM23" t="s">
        <v>272</v>
      </c>
      <c r="BN23" t="s">
        <v>220</v>
      </c>
      <c r="BO23" t="s">
        <v>220</v>
      </c>
      <c r="BP23" t="s">
        <v>220</v>
      </c>
      <c r="BQ23">
        <v>0</v>
      </c>
      <c r="BR23" t="s">
        <v>220</v>
      </c>
      <c r="BS23" t="s">
        <v>220</v>
      </c>
      <c r="BT23" t="s">
        <v>220</v>
      </c>
      <c r="BU23" t="s">
        <v>220</v>
      </c>
      <c r="BV23" t="s">
        <v>220</v>
      </c>
      <c r="BW23" t="s">
        <v>220</v>
      </c>
      <c r="BX23" t="s">
        <v>254</v>
      </c>
      <c r="BY23" t="s">
        <v>259</v>
      </c>
      <c r="BZ23" t="s">
        <v>317</v>
      </c>
      <c r="CA23" t="s">
        <v>232</v>
      </c>
    </row>
    <row r="24" spans="1:79" hidden="1" x14ac:dyDescent="0.3">
      <c r="A24" t="s">
        <v>316</v>
      </c>
      <c r="B24">
        <v>3687</v>
      </c>
      <c r="C24" t="s">
        <v>220</v>
      </c>
      <c r="D24" t="s">
        <v>284</v>
      </c>
      <c r="E24">
        <v>3</v>
      </c>
      <c r="F24" t="s">
        <v>255</v>
      </c>
      <c r="G24">
        <v>0</v>
      </c>
      <c r="H24">
        <v>4</v>
      </c>
      <c r="I24">
        <v>20</v>
      </c>
      <c r="J24">
        <v>5</v>
      </c>
      <c r="K24" t="s">
        <v>220</v>
      </c>
      <c r="L24" t="s">
        <v>220</v>
      </c>
      <c r="M24" t="b">
        <v>0</v>
      </c>
      <c r="N24" t="s">
        <v>220</v>
      </c>
      <c r="O24" t="b">
        <v>0</v>
      </c>
      <c r="P24" s="74">
        <v>45862.619444444441</v>
      </c>
      <c r="Q24" t="s">
        <v>220</v>
      </c>
      <c r="R24" t="s">
        <v>220</v>
      </c>
      <c r="S24" t="s">
        <v>220</v>
      </c>
      <c r="T24" t="s">
        <v>220</v>
      </c>
      <c r="U24" t="s">
        <v>220</v>
      </c>
      <c r="V24" t="s">
        <v>220</v>
      </c>
      <c r="W24" t="s">
        <v>220</v>
      </c>
      <c r="X24" t="s">
        <v>220</v>
      </c>
      <c r="Y24" t="s">
        <v>220</v>
      </c>
      <c r="Z24" t="s">
        <v>220</v>
      </c>
      <c r="AA24" t="s">
        <v>220</v>
      </c>
      <c r="AB24" t="s">
        <v>220</v>
      </c>
      <c r="AC24" t="s">
        <v>220</v>
      </c>
      <c r="AD24" t="s">
        <v>220</v>
      </c>
      <c r="AE24" t="s">
        <v>220</v>
      </c>
      <c r="AF24" t="s">
        <v>220</v>
      </c>
      <c r="AG24" t="s">
        <v>220</v>
      </c>
      <c r="AH24" t="s">
        <v>220</v>
      </c>
      <c r="AI24" t="s">
        <v>220</v>
      </c>
      <c r="AJ24" t="s">
        <v>220</v>
      </c>
      <c r="AK24" t="s">
        <v>220</v>
      </c>
      <c r="AL24" t="s">
        <v>220</v>
      </c>
      <c r="AM24" t="s">
        <v>220</v>
      </c>
      <c r="AN24" t="s">
        <v>223</v>
      </c>
      <c r="AO24" t="s">
        <v>220</v>
      </c>
      <c r="AP24" t="s">
        <v>224</v>
      </c>
      <c r="AQ24" t="s">
        <v>225</v>
      </c>
      <c r="AR24" t="s">
        <v>226</v>
      </c>
      <c r="AS24" t="s">
        <v>227</v>
      </c>
      <c r="AT24">
        <v>95</v>
      </c>
      <c r="AU24">
        <v>0</v>
      </c>
      <c r="AV24">
        <v>0</v>
      </c>
      <c r="AW24">
        <v>0</v>
      </c>
      <c r="AX24">
        <v>95</v>
      </c>
      <c r="AY24" t="s">
        <v>220</v>
      </c>
      <c r="AZ24" t="s">
        <v>220</v>
      </c>
      <c r="BA24" t="s">
        <v>220</v>
      </c>
      <c r="BB24" t="s">
        <v>220</v>
      </c>
      <c r="BC24">
        <v>0</v>
      </c>
      <c r="BD24">
        <v>0</v>
      </c>
      <c r="BE24" t="s">
        <v>228</v>
      </c>
      <c r="BF24">
        <v>0</v>
      </c>
      <c r="BG24">
        <v>0</v>
      </c>
      <c r="BH24" t="s">
        <v>220</v>
      </c>
      <c r="BI24" t="s">
        <v>220</v>
      </c>
      <c r="BJ24" t="s">
        <v>220</v>
      </c>
      <c r="BK24" t="s">
        <v>220</v>
      </c>
      <c r="BL24" t="s">
        <v>220</v>
      </c>
      <c r="BM24" t="s">
        <v>272</v>
      </c>
      <c r="BN24" t="s">
        <v>220</v>
      </c>
      <c r="BO24" t="s">
        <v>220</v>
      </c>
      <c r="BP24" t="s">
        <v>220</v>
      </c>
      <c r="BQ24">
        <v>0</v>
      </c>
      <c r="BR24" t="s">
        <v>220</v>
      </c>
      <c r="BS24" t="s">
        <v>220</v>
      </c>
      <c r="BT24" t="s">
        <v>220</v>
      </c>
      <c r="BU24" t="s">
        <v>220</v>
      </c>
      <c r="BV24" t="s">
        <v>220</v>
      </c>
      <c r="BW24" t="s">
        <v>220</v>
      </c>
      <c r="BX24" t="s">
        <v>254</v>
      </c>
      <c r="BY24" t="s">
        <v>259</v>
      </c>
      <c r="BZ24" t="s">
        <v>317</v>
      </c>
      <c r="CA24" t="s">
        <v>232</v>
      </c>
    </row>
    <row r="25" spans="1:79" hidden="1" x14ac:dyDescent="0.3">
      <c r="A25" t="s">
        <v>318</v>
      </c>
      <c r="B25">
        <v>3690</v>
      </c>
      <c r="C25" t="s">
        <v>220</v>
      </c>
      <c r="D25" t="s">
        <v>270</v>
      </c>
      <c r="E25">
        <v>54</v>
      </c>
      <c r="F25" t="s">
        <v>238</v>
      </c>
      <c r="G25">
        <v>0</v>
      </c>
      <c r="H25">
        <v>15</v>
      </c>
      <c r="I25">
        <v>210</v>
      </c>
      <c r="J25">
        <v>14</v>
      </c>
      <c r="K25" t="s">
        <v>220</v>
      </c>
      <c r="L25" t="s">
        <v>220</v>
      </c>
      <c r="M25" t="b">
        <v>0</v>
      </c>
      <c r="N25" t="s">
        <v>220</v>
      </c>
      <c r="O25" t="b">
        <v>0</v>
      </c>
      <c r="P25" s="74">
        <v>45862.646527777775</v>
      </c>
      <c r="Q25" t="s">
        <v>220</v>
      </c>
      <c r="R25" t="s">
        <v>220</v>
      </c>
      <c r="S25" t="s">
        <v>220</v>
      </c>
      <c r="T25" t="s">
        <v>220</v>
      </c>
      <c r="U25" t="s">
        <v>220</v>
      </c>
      <c r="V25" t="s">
        <v>220</v>
      </c>
      <c r="W25" t="s">
        <v>220</v>
      </c>
      <c r="X25" t="s">
        <v>220</v>
      </c>
      <c r="Y25" t="s">
        <v>220</v>
      </c>
      <c r="Z25" t="s">
        <v>220</v>
      </c>
      <c r="AA25" t="s">
        <v>220</v>
      </c>
      <c r="AB25" t="s">
        <v>220</v>
      </c>
      <c r="AC25" t="s">
        <v>220</v>
      </c>
      <c r="AD25" t="s">
        <v>220</v>
      </c>
      <c r="AE25" t="s">
        <v>220</v>
      </c>
      <c r="AF25" t="s">
        <v>220</v>
      </c>
      <c r="AG25" t="s">
        <v>220</v>
      </c>
      <c r="AH25" t="s">
        <v>220</v>
      </c>
      <c r="AI25" t="s">
        <v>220</v>
      </c>
      <c r="AJ25" t="s">
        <v>220</v>
      </c>
      <c r="AK25" t="s">
        <v>220</v>
      </c>
      <c r="AL25" t="s">
        <v>220</v>
      </c>
      <c r="AM25" t="s">
        <v>220</v>
      </c>
      <c r="AN25" t="s">
        <v>223</v>
      </c>
      <c r="AO25" t="s">
        <v>220</v>
      </c>
      <c r="AP25" t="s">
        <v>262</v>
      </c>
      <c r="AQ25" t="s">
        <v>263</v>
      </c>
      <c r="AR25" t="s">
        <v>264</v>
      </c>
      <c r="AS25" t="s">
        <v>265</v>
      </c>
      <c r="AT25">
        <v>210</v>
      </c>
      <c r="AU25">
        <v>0</v>
      </c>
      <c r="AV25">
        <v>0</v>
      </c>
      <c r="AW25">
        <v>0</v>
      </c>
      <c r="AX25">
        <v>210</v>
      </c>
      <c r="AY25" t="s">
        <v>220</v>
      </c>
      <c r="AZ25" t="s">
        <v>220</v>
      </c>
      <c r="BA25" t="s">
        <v>220</v>
      </c>
      <c r="BB25" t="s">
        <v>220</v>
      </c>
      <c r="BC25">
        <v>0</v>
      </c>
      <c r="BD25">
        <v>0</v>
      </c>
      <c r="BE25" t="s">
        <v>228</v>
      </c>
      <c r="BF25">
        <v>0</v>
      </c>
      <c r="BG25">
        <v>0</v>
      </c>
      <c r="BH25" t="s">
        <v>220</v>
      </c>
      <c r="BI25" t="s">
        <v>220</v>
      </c>
      <c r="BJ25" t="s">
        <v>220</v>
      </c>
      <c r="BK25" t="s">
        <v>220</v>
      </c>
      <c r="BL25" t="s">
        <v>220</v>
      </c>
      <c r="BM25" t="s">
        <v>319</v>
      </c>
      <c r="BN25" t="s">
        <v>220</v>
      </c>
      <c r="BO25" t="s">
        <v>220</v>
      </c>
      <c r="BP25" t="s">
        <v>220</v>
      </c>
      <c r="BQ25">
        <v>0</v>
      </c>
      <c r="BR25" t="s">
        <v>220</v>
      </c>
      <c r="BS25" t="s">
        <v>220</v>
      </c>
      <c r="BT25" t="s">
        <v>220</v>
      </c>
      <c r="BU25" t="s">
        <v>220</v>
      </c>
      <c r="BV25" t="s">
        <v>220</v>
      </c>
      <c r="BW25" t="s">
        <v>220</v>
      </c>
      <c r="BX25" t="s">
        <v>121</v>
      </c>
      <c r="BY25" t="s">
        <v>259</v>
      </c>
      <c r="BZ25" t="s">
        <v>271</v>
      </c>
      <c r="CA25" t="s">
        <v>232</v>
      </c>
    </row>
    <row r="26" spans="1:79" hidden="1" x14ac:dyDescent="0.3">
      <c r="A26" t="s">
        <v>320</v>
      </c>
      <c r="B26">
        <v>3688</v>
      </c>
      <c r="C26" t="s">
        <v>220</v>
      </c>
      <c r="D26" t="s">
        <v>251</v>
      </c>
      <c r="E26">
        <v>54</v>
      </c>
      <c r="F26" t="s">
        <v>238</v>
      </c>
      <c r="G26">
        <v>0</v>
      </c>
      <c r="H26">
        <v>15</v>
      </c>
      <c r="I26">
        <v>90</v>
      </c>
      <c r="J26">
        <v>6</v>
      </c>
      <c r="K26" t="s">
        <v>220</v>
      </c>
      <c r="L26" t="s">
        <v>220</v>
      </c>
      <c r="M26" t="b">
        <v>0</v>
      </c>
      <c r="N26" t="s">
        <v>220</v>
      </c>
      <c r="O26" t="b">
        <v>0</v>
      </c>
      <c r="P26" s="74">
        <v>45862.621527777781</v>
      </c>
      <c r="Q26" t="s">
        <v>220</v>
      </c>
      <c r="R26" t="s">
        <v>220</v>
      </c>
      <c r="S26" t="s">
        <v>220</v>
      </c>
      <c r="T26" t="s">
        <v>220</v>
      </c>
      <c r="U26" t="s">
        <v>220</v>
      </c>
      <c r="V26" t="s">
        <v>220</v>
      </c>
      <c r="W26" t="s">
        <v>220</v>
      </c>
      <c r="X26" t="s">
        <v>220</v>
      </c>
      <c r="Y26" t="s">
        <v>220</v>
      </c>
      <c r="Z26" t="s">
        <v>220</v>
      </c>
      <c r="AA26" t="s">
        <v>220</v>
      </c>
      <c r="AB26" t="s">
        <v>220</v>
      </c>
      <c r="AC26" t="s">
        <v>220</v>
      </c>
      <c r="AD26" t="s">
        <v>220</v>
      </c>
      <c r="AE26" t="s">
        <v>220</v>
      </c>
      <c r="AF26" t="s">
        <v>220</v>
      </c>
      <c r="AG26" t="s">
        <v>220</v>
      </c>
      <c r="AH26" t="s">
        <v>220</v>
      </c>
      <c r="AI26" t="s">
        <v>220</v>
      </c>
      <c r="AJ26" t="s">
        <v>220</v>
      </c>
      <c r="AK26" t="s">
        <v>220</v>
      </c>
      <c r="AL26" t="s">
        <v>220</v>
      </c>
      <c r="AM26" t="s">
        <v>220</v>
      </c>
      <c r="AN26" t="s">
        <v>223</v>
      </c>
      <c r="AO26" t="s">
        <v>220</v>
      </c>
      <c r="AP26" t="s">
        <v>224</v>
      </c>
      <c r="AQ26" t="s">
        <v>225</v>
      </c>
      <c r="AR26" t="s">
        <v>226</v>
      </c>
      <c r="AS26" t="s">
        <v>227</v>
      </c>
      <c r="AT26">
        <v>90</v>
      </c>
      <c r="AU26">
        <v>0</v>
      </c>
      <c r="AV26">
        <v>0</v>
      </c>
      <c r="AW26">
        <v>0</v>
      </c>
      <c r="AX26">
        <v>90</v>
      </c>
      <c r="AY26" t="s">
        <v>220</v>
      </c>
      <c r="AZ26" t="s">
        <v>220</v>
      </c>
      <c r="BA26" t="s">
        <v>220</v>
      </c>
      <c r="BB26" t="s">
        <v>220</v>
      </c>
      <c r="BC26">
        <v>0</v>
      </c>
      <c r="BD26">
        <v>0</v>
      </c>
      <c r="BE26" t="s">
        <v>228</v>
      </c>
      <c r="BF26">
        <v>0</v>
      </c>
      <c r="BG26">
        <v>0</v>
      </c>
      <c r="BH26" t="s">
        <v>220</v>
      </c>
      <c r="BI26" t="s">
        <v>220</v>
      </c>
      <c r="BJ26" t="s">
        <v>220</v>
      </c>
      <c r="BK26" t="s">
        <v>220</v>
      </c>
      <c r="BL26" t="s">
        <v>220</v>
      </c>
      <c r="BM26" t="s">
        <v>252</v>
      </c>
      <c r="BN26" t="s">
        <v>220</v>
      </c>
      <c r="BO26" t="s">
        <v>220</v>
      </c>
      <c r="BP26" t="s">
        <v>220</v>
      </c>
      <c r="BQ26">
        <v>0</v>
      </c>
      <c r="BR26" t="s">
        <v>220</v>
      </c>
      <c r="BS26" t="s">
        <v>220</v>
      </c>
      <c r="BT26" t="s">
        <v>220</v>
      </c>
      <c r="BU26" t="s">
        <v>220</v>
      </c>
      <c r="BV26" t="s">
        <v>220</v>
      </c>
      <c r="BW26" t="s">
        <v>220</v>
      </c>
      <c r="BX26" t="s">
        <v>124</v>
      </c>
      <c r="BY26" t="s">
        <v>259</v>
      </c>
      <c r="BZ26" t="s">
        <v>321</v>
      </c>
      <c r="CA26" t="s">
        <v>232</v>
      </c>
    </row>
    <row r="27" spans="1:79" hidden="1" x14ac:dyDescent="0.3">
      <c r="A27" t="s">
        <v>322</v>
      </c>
      <c r="B27">
        <v>3689</v>
      </c>
      <c r="C27" t="s">
        <v>220</v>
      </c>
      <c r="D27" t="s">
        <v>249</v>
      </c>
      <c r="E27">
        <v>54</v>
      </c>
      <c r="F27" t="s">
        <v>238</v>
      </c>
      <c r="G27">
        <v>0</v>
      </c>
      <c r="H27">
        <v>15</v>
      </c>
      <c r="I27">
        <v>150</v>
      </c>
      <c r="J27">
        <v>10</v>
      </c>
      <c r="K27" t="s">
        <v>220</v>
      </c>
      <c r="L27" t="s">
        <v>220</v>
      </c>
      <c r="M27" t="b">
        <v>0</v>
      </c>
      <c r="N27" t="s">
        <v>220</v>
      </c>
      <c r="O27" t="b">
        <v>0</v>
      </c>
      <c r="P27" s="74">
        <v>45862.646527777775</v>
      </c>
      <c r="Q27" t="s">
        <v>220</v>
      </c>
      <c r="R27" t="s">
        <v>220</v>
      </c>
      <c r="S27" t="s">
        <v>220</v>
      </c>
      <c r="T27" t="s">
        <v>220</v>
      </c>
      <c r="U27" t="s">
        <v>220</v>
      </c>
      <c r="V27" t="s">
        <v>220</v>
      </c>
      <c r="W27" t="s">
        <v>220</v>
      </c>
      <c r="X27" t="s">
        <v>220</v>
      </c>
      <c r="Y27" t="s">
        <v>220</v>
      </c>
      <c r="Z27" t="s">
        <v>220</v>
      </c>
      <c r="AA27" t="s">
        <v>220</v>
      </c>
      <c r="AB27" t="s">
        <v>220</v>
      </c>
      <c r="AC27" t="s">
        <v>220</v>
      </c>
      <c r="AD27" t="s">
        <v>220</v>
      </c>
      <c r="AE27" t="s">
        <v>220</v>
      </c>
      <c r="AF27" t="s">
        <v>220</v>
      </c>
      <c r="AG27" t="s">
        <v>220</v>
      </c>
      <c r="AH27" t="s">
        <v>220</v>
      </c>
      <c r="AI27" t="s">
        <v>220</v>
      </c>
      <c r="AJ27" t="s">
        <v>220</v>
      </c>
      <c r="AK27" t="s">
        <v>220</v>
      </c>
      <c r="AL27" t="s">
        <v>220</v>
      </c>
      <c r="AM27" t="s">
        <v>220</v>
      </c>
      <c r="AN27" t="s">
        <v>223</v>
      </c>
      <c r="AO27" t="s">
        <v>220</v>
      </c>
      <c r="AP27" t="s">
        <v>224</v>
      </c>
      <c r="AQ27" t="s">
        <v>225</v>
      </c>
      <c r="AR27" t="s">
        <v>226</v>
      </c>
      <c r="AS27" t="s">
        <v>227</v>
      </c>
      <c r="AT27">
        <v>150</v>
      </c>
      <c r="AU27">
        <v>0</v>
      </c>
      <c r="AV27">
        <v>0</v>
      </c>
      <c r="AW27">
        <v>0</v>
      </c>
      <c r="AX27">
        <v>150</v>
      </c>
      <c r="AY27" t="s">
        <v>220</v>
      </c>
      <c r="AZ27" t="s">
        <v>220</v>
      </c>
      <c r="BA27" t="s">
        <v>220</v>
      </c>
      <c r="BB27" t="s">
        <v>220</v>
      </c>
      <c r="BC27">
        <v>0</v>
      </c>
      <c r="BD27">
        <v>0</v>
      </c>
      <c r="BE27" t="s">
        <v>228</v>
      </c>
      <c r="BF27">
        <v>0</v>
      </c>
      <c r="BG27">
        <v>0</v>
      </c>
      <c r="BH27" t="s">
        <v>220</v>
      </c>
      <c r="BI27" t="s">
        <v>220</v>
      </c>
      <c r="BJ27" t="s">
        <v>220</v>
      </c>
      <c r="BK27" t="s">
        <v>220</v>
      </c>
      <c r="BL27" t="s">
        <v>220</v>
      </c>
      <c r="BM27" t="s">
        <v>323</v>
      </c>
      <c r="BN27" t="s">
        <v>220</v>
      </c>
      <c r="BO27" t="s">
        <v>220</v>
      </c>
      <c r="BP27" t="s">
        <v>220</v>
      </c>
      <c r="BQ27">
        <v>0</v>
      </c>
      <c r="BR27" t="s">
        <v>220</v>
      </c>
      <c r="BS27" t="s">
        <v>220</v>
      </c>
      <c r="BT27" t="s">
        <v>220</v>
      </c>
      <c r="BU27" t="s">
        <v>220</v>
      </c>
      <c r="BV27" t="s">
        <v>220</v>
      </c>
      <c r="BW27" t="s">
        <v>220</v>
      </c>
      <c r="BX27" t="s">
        <v>122</v>
      </c>
      <c r="BY27" t="s">
        <v>267</v>
      </c>
      <c r="BZ27" t="s">
        <v>220</v>
      </c>
      <c r="CA27" t="s">
        <v>232</v>
      </c>
    </row>
    <row r="28" spans="1:79" hidden="1" x14ac:dyDescent="0.3">
      <c r="A28" t="s">
        <v>324</v>
      </c>
      <c r="B28">
        <v>3691</v>
      </c>
      <c r="C28" t="s">
        <v>220</v>
      </c>
      <c r="D28" t="s">
        <v>245</v>
      </c>
      <c r="E28">
        <v>0</v>
      </c>
      <c r="F28" t="s">
        <v>246</v>
      </c>
      <c r="G28">
        <v>0</v>
      </c>
      <c r="H28">
        <v>8</v>
      </c>
      <c r="I28">
        <v>400</v>
      </c>
      <c r="J28">
        <v>50</v>
      </c>
      <c r="K28" t="s">
        <v>220</v>
      </c>
      <c r="L28" t="s">
        <v>220</v>
      </c>
      <c r="M28" t="b">
        <v>0</v>
      </c>
      <c r="N28" t="s">
        <v>220</v>
      </c>
      <c r="O28" t="b">
        <v>0</v>
      </c>
      <c r="P28" s="74">
        <v>45862.883333333331</v>
      </c>
      <c r="Q28" t="s">
        <v>220</v>
      </c>
      <c r="R28" t="s">
        <v>220</v>
      </c>
      <c r="S28" t="s">
        <v>220</v>
      </c>
      <c r="T28" t="s">
        <v>220</v>
      </c>
      <c r="U28" t="s">
        <v>220</v>
      </c>
      <c r="V28" t="s">
        <v>220</v>
      </c>
      <c r="W28" t="s">
        <v>220</v>
      </c>
      <c r="X28" t="s">
        <v>220</v>
      </c>
      <c r="Y28" t="s">
        <v>220</v>
      </c>
      <c r="Z28" t="s">
        <v>220</v>
      </c>
      <c r="AA28" t="s">
        <v>220</v>
      </c>
      <c r="AB28" t="s">
        <v>220</v>
      </c>
      <c r="AC28" t="s">
        <v>220</v>
      </c>
      <c r="AD28" t="s">
        <v>220</v>
      </c>
      <c r="AE28" t="s">
        <v>220</v>
      </c>
      <c r="AF28" t="s">
        <v>220</v>
      </c>
      <c r="AG28" t="s">
        <v>220</v>
      </c>
      <c r="AH28" t="s">
        <v>220</v>
      </c>
      <c r="AI28" t="s">
        <v>220</v>
      </c>
      <c r="AJ28" t="s">
        <v>220</v>
      </c>
      <c r="AK28" t="s">
        <v>220</v>
      </c>
      <c r="AL28" t="s">
        <v>220</v>
      </c>
      <c r="AM28" t="s">
        <v>220</v>
      </c>
      <c r="AN28" t="s">
        <v>223</v>
      </c>
      <c r="AO28" t="s">
        <v>220</v>
      </c>
      <c r="AP28" t="s">
        <v>224</v>
      </c>
      <c r="AQ28" t="s">
        <v>225</v>
      </c>
      <c r="AR28" t="s">
        <v>226</v>
      </c>
      <c r="AS28" t="s">
        <v>227</v>
      </c>
      <c r="AT28">
        <v>400</v>
      </c>
      <c r="AU28">
        <v>0</v>
      </c>
      <c r="AV28">
        <v>0</v>
      </c>
      <c r="AW28">
        <v>0</v>
      </c>
      <c r="AX28">
        <v>400</v>
      </c>
      <c r="AY28" t="s">
        <v>220</v>
      </c>
      <c r="AZ28" t="s">
        <v>220</v>
      </c>
      <c r="BA28" t="s">
        <v>220</v>
      </c>
      <c r="BB28" t="s">
        <v>220</v>
      </c>
      <c r="BC28">
        <v>0</v>
      </c>
      <c r="BD28">
        <v>0</v>
      </c>
      <c r="BE28" t="s">
        <v>228</v>
      </c>
      <c r="BF28">
        <v>0</v>
      </c>
      <c r="BG28">
        <v>0</v>
      </c>
      <c r="BH28" t="s">
        <v>220</v>
      </c>
      <c r="BI28" t="s">
        <v>220</v>
      </c>
      <c r="BJ28" t="s">
        <v>220</v>
      </c>
      <c r="BK28" t="s">
        <v>220</v>
      </c>
      <c r="BL28" t="s">
        <v>220</v>
      </c>
      <c r="BM28" t="s">
        <v>247</v>
      </c>
      <c r="BN28" t="s">
        <v>220</v>
      </c>
      <c r="BO28" t="s">
        <v>220</v>
      </c>
      <c r="BP28" t="s">
        <v>220</v>
      </c>
      <c r="BQ28">
        <v>0</v>
      </c>
      <c r="BR28" t="s">
        <v>220</v>
      </c>
      <c r="BS28" t="s">
        <v>220</v>
      </c>
      <c r="BT28" t="s">
        <v>220</v>
      </c>
      <c r="BU28" t="s">
        <v>220</v>
      </c>
      <c r="BV28" t="s">
        <v>220</v>
      </c>
      <c r="BW28" t="s">
        <v>220</v>
      </c>
      <c r="BX28" t="s">
        <v>4</v>
      </c>
      <c r="BY28" t="s">
        <v>259</v>
      </c>
      <c r="BZ28" t="s">
        <v>248</v>
      </c>
      <c r="CA28" t="s">
        <v>232</v>
      </c>
    </row>
    <row r="29" spans="1:79" hidden="1" x14ac:dyDescent="0.3">
      <c r="A29" t="s">
        <v>325</v>
      </c>
      <c r="B29">
        <v>3692</v>
      </c>
      <c r="C29" t="s">
        <v>220</v>
      </c>
      <c r="D29" t="s">
        <v>257</v>
      </c>
      <c r="E29">
        <v>54</v>
      </c>
      <c r="F29" t="s">
        <v>238</v>
      </c>
      <c r="G29">
        <v>0</v>
      </c>
      <c r="H29">
        <v>15</v>
      </c>
      <c r="I29">
        <v>60</v>
      </c>
      <c r="J29">
        <v>4</v>
      </c>
      <c r="K29" t="s">
        <v>220</v>
      </c>
      <c r="L29" t="s">
        <v>220</v>
      </c>
      <c r="M29" t="b">
        <v>0</v>
      </c>
      <c r="N29" t="s">
        <v>220</v>
      </c>
      <c r="O29" t="b">
        <v>0</v>
      </c>
      <c r="P29" s="74">
        <v>45862.895833333336</v>
      </c>
      <c r="Q29" t="s">
        <v>220</v>
      </c>
      <c r="R29" t="s">
        <v>220</v>
      </c>
      <c r="S29" t="s">
        <v>220</v>
      </c>
      <c r="T29" t="s">
        <v>220</v>
      </c>
      <c r="U29" t="s">
        <v>220</v>
      </c>
      <c r="V29" t="s">
        <v>220</v>
      </c>
      <c r="W29" t="s">
        <v>220</v>
      </c>
      <c r="X29" t="s">
        <v>220</v>
      </c>
      <c r="Y29" t="s">
        <v>220</v>
      </c>
      <c r="Z29" t="s">
        <v>220</v>
      </c>
      <c r="AA29" t="s">
        <v>220</v>
      </c>
      <c r="AB29" t="s">
        <v>220</v>
      </c>
      <c r="AC29" t="s">
        <v>220</v>
      </c>
      <c r="AD29" t="s">
        <v>220</v>
      </c>
      <c r="AE29" t="s">
        <v>220</v>
      </c>
      <c r="AF29" t="s">
        <v>220</v>
      </c>
      <c r="AG29" t="s">
        <v>220</v>
      </c>
      <c r="AH29" t="s">
        <v>220</v>
      </c>
      <c r="AI29" t="s">
        <v>220</v>
      </c>
      <c r="AJ29" t="s">
        <v>220</v>
      </c>
      <c r="AK29" t="s">
        <v>220</v>
      </c>
      <c r="AL29" t="s">
        <v>220</v>
      </c>
      <c r="AM29" t="s">
        <v>220</v>
      </c>
      <c r="AN29" t="s">
        <v>223</v>
      </c>
      <c r="AO29" t="s">
        <v>220</v>
      </c>
      <c r="AP29" t="s">
        <v>224</v>
      </c>
      <c r="AQ29" t="s">
        <v>225</v>
      </c>
      <c r="AR29" t="s">
        <v>226</v>
      </c>
      <c r="AS29" t="s">
        <v>227</v>
      </c>
      <c r="AT29">
        <v>60</v>
      </c>
      <c r="AU29">
        <v>0</v>
      </c>
      <c r="AV29">
        <v>0</v>
      </c>
      <c r="AW29">
        <v>0</v>
      </c>
      <c r="AX29">
        <v>60</v>
      </c>
      <c r="AY29" t="s">
        <v>220</v>
      </c>
      <c r="AZ29" t="s">
        <v>220</v>
      </c>
      <c r="BA29" t="s">
        <v>220</v>
      </c>
      <c r="BB29" t="s">
        <v>220</v>
      </c>
      <c r="BC29">
        <v>0</v>
      </c>
      <c r="BD29">
        <v>0</v>
      </c>
      <c r="BE29" t="s">
        <v>228</v>
      </c>
      <c r="BF29">
        <v>0</v>
      </c>
      <c r="BG29">
        <v>0</v>
      </c>
      <c r="BH29" t="s">
        <v>220</v>
      </c>
      <c r="BI29" t="s">
        <v>220</v>
      </c>
      <c r="BJ29" t="s">
        <v>220</v>
      </c>
      <c r="BK29" t="s">
        <v>220</v>
      </c>
      <c r="BL29" t="s">
        <v>220</v>
      </c>
      <c r="BM29" t="s">
        <v>229</v>
      </c>
      <c r="BN29" t="s">
        <v>220</v>
      </c>
      <c r="BO29" t="s">
        <v>220</v>
      </c>
      <c r="BP29" t="s">
        <v>220</v>
      </c>
      <c r="BQ29">
        <v>0</v>
      </c>
      <c r="BR29" t="s">
        <v>220</v>
      </c>
      <c r="BS29" t="s">
        <v>220</v>
      </c>
      <c r="BT29" t="s">
        <v>220</v>
      </c>
      <c r="BU29" t="s">
        <v>220</v>
      </c>
      <c r="BV29" t="s">
        <v>220</v>
      </c>
      <c r="BW29" t="s">
        <v>220</v>
      </c>
      <c r="BX29" t="s">
        <v>126</v>
      </c>
      <c r="BY29" t="s">
        <v>259</v>
      </c>
      <c r="BZ29" t="s">
        <v>258</v>
      </c>
      <c r="CA29" t="s">
        <v>232</v>
      </c>
    </row>
    <row r="30" spans="1:79" hidden="1" x14ac:dyDescent="0.3">
      <c r="A30" t="s">
        <v>326</v>
      </c>
      <c r="B30">
        <v>3693</v>
      </c>
      <c r="C30" t="s">
        <v>220</v>
      </c>
      <c r="D30" t="s">
        <v>327</v>
      </c>
      <c r="E30">
        <v>3</v>
      </c>
      <c r="F30" t="s">
        <v>255</v>
      </c>
      <c r="G30">
        <v>0</v>
      </c>
      <c r="H30">
        <v>4</v>
      </c>
      <c r="I30">
        <v>24</v>
      </c>
      <c r="J30">
        <v>6</v>
      </c>
      <c r="K30" t="s">
        <v>220</v>
      </c>
      <c r="L30" t="s">
        <v>220</v>
      </c>
      <c r="M30" t="b">
        <v>0</v>
      </c>
      <c r="N30" t="s">
        <v>220</v>
      </c>
      <c r="O30" t="b">
        <v>0</v>
      </c>
      <c r="P30" s="74">
        <v>45862.897916666669</v>
      </c>
      <c r="Q30" t="s">
        <v>220</v>
      </c>
      <c r="R30" t="s">
        <v>220</v>
      </c>
      <c r="S30" t="s">
        <v>220</v>
      </c>
      <c r="T30" t="s">
        <v>220</v>
      </c>
      <c r="U30" t="s">
        <v>220</v>
      </c>
      <c r="V30" t="s">
        <v>220</v>
      </c>
      <c r="W30" t="s">
        <v>220</v>
      </c>
      <c r="X30" t="s">
        <v>220</v>
      </c>
      <c r="Y30" t="s">
        <v>220</v>
      </c>
      <c r="Z30" t="s">
        <v>220</v>
      </c>
      <c r="AA30" t="s">
        <v>220</v>
      </c>
      <c r="AB30" t="s">
        <v>220</v>
      </c>
      <c r="AC30" t="s">
        <v>220</v>
      </c>
      <c r="AD30" t="s">
        <v>220</v>
      </c>
      <c r="AE30" t="s">
        <v>220</v>
      </c>
      <c r="AF30" t="s">
        <v>220</v>
      </c>
      <c r="AG30" t="s">
        <v>220</v>
      </c>
      <c r="AH30" t="s">
        <v>220</v>
      </c>
      <c r="AI30" t="s">
        <v>220</v>
      </c>
      <c r="AJ30" t="s">
        <v>220</v>
      </c>
      <c r="AK30" t="s">
        <v>220</v>
      </c>
      <c r="AL30" t="s">
        <v>220</v>
      </c>
      <c r="AM30" t="s">
        <v>220</v>
      </c>
      <c r="AN30" t="s">
        <v>223</v>
      </c>
      <c r="AO30" t="s">
        <v>220</v>
      </c>
      <c r="AP30" t="s">
        <v>224</v>
      </c>
      <c r="AQ30" t="s">
        <v>225</v>
      </c>
      <c r="AR30" t="s">
        <v>226</v>
      </c>
      <c r="AS30" t="s">
        <v>227</v>
      </c>
      <c r="AT30">
        <v>24</v>
      </c>
      <c r="AU30">
        <v>0</v>
      </c>
      <c r="AV30">
        <v>0</v>
      </c>
      <c r="AW30">
        <v>0</v>
      </c>
      <c r="AX30">
        <v>24</v>
      </c>
      <c r="AY30" t="s">
        <v>220</v>
      </c>
      <c r="AZ30" t="s">
        <v>220</v>
      </c>
      <c r="BA30" t="s">
        <v>220</v>
      </c>
      <c r="BB30" t="s">
        <v>220</v>
      </c>
      <c r="BC30">
        <v>0</v>
      </c>
      <c r="BD30">
        <v>0</v>
      </c>
      <c r="BE30" t="s">
        <v>228</v>
      </c>
      <c r="BF30">
        <v>0</v>
      </c>
      <c r="BG30">
        <v>0</v>
      </c>
      <c r="BH30" t="s">
        <v>220</v>
      </c>
      <c r="BI30" t="s">
        <v>220</v>
      </c>
      <c r="BJ30" t="s">
        <v>220</v>
      </c>
      <c r="BK30" t="s">
        <v>220</v>
      </c>
      <c r="BL30" t="s">
        <v>220</v>
      </c>
      <c r="BM30" t="s">
        <v>280</v>
      </c>
      <c r="BN30" t="s">
        <v>220</v>
      </c>
      <c r="BO30" t="s">
        <v>220</v>
      </c>
      <c r="BP30" t="s">
        <v>220</v>
      </c>
      <c r="BQ30">
        <v>0</v>
      </c>
      <c r="BR30" t="s">
        <v>220</v>
      </c>
      <c r="BS30" t="s">
        <v>220</v>
      </c>
      <c r="BT30" t="s">
        <v>220</v>
      </c>
      <c r="BU30" t="s">
        <v>220</v>
      </c>
      <c r="BV30" t="s">
        <v>220</v>
      </c>
      <c r="BW30" t="s">
        <v>220</v>
      </c>
      <c r="BX30" t="s">
        <v>122</v>
      </c>
      <c r="BY30" t="s">
        <v>259</v>
      </c>
      <c r="BZ30" t="s">
        <v>328</v>
      </c>
      <c r="CA30" t="s">
        <v>232</v>
      </c>
    </row>
    <row r="31" spans="1:79" hidden="1" x14ac:dyDescent="0.3">
      <c r="A31" t="s">
        <v>329</v>
      </c>
      <c r="B31">
        <v>3694</v>
      </c>
      <c r="C31" t="s">
        <v>220</v>
      </c>
      <c r="D31" t="s">
        <v>266</v>
      </c>
      <c r="E31">
        <v>54</v>
      </c>
      <c r="F31" t="s">
        <v>238</v>
      </c>
      <c r="G31">
        <v>0</v>
      </c>
      <c r="H31">
        <v>15</v>
      </c>
      <c r="I31">
        <v>105</v>
      </c>
      <c r="J31">
        <v>7</v>
      </c>
      <c r="K31" t="s">
        <v>220</v>
      </c>
      <c r="L31" t="s">
        <v>220</v>
      </c>
      <c r="M31" t="b">
        <v>0</v>
      </c>
      <c r="N31" t="s">
        <v>220</v>
      </c>
      <c r="O31" t="b">
        <v>0</v>
      </c>
      <c r="P31" s="74">
        <v>45863.760416666664</v>
      </c>
      <c r="Q31" t="s">
        <v>220</v>
      </c>
      <c r="R31" t="s">
        <v>220</v>
      </c>
      <c r="S31" t="s">
        <v>220</v>
      </c>
      <c r="T31" t="s">
        <v>220</v>
      </c>
      <c r="U31" t="s">
        <v>220</v>
      </c>
      <c r="V31" t="s">
        <v>220</v>
      </c>
      <c r="W31" t="s">
        <v>220</v>
      </c>
      <c r="X31" t="s">
        <v>220</v>
      </c>
      <c r="Y31" t="s">
        <v>220</v>
      </c>
      <c r="Z31" t="s">
        <v>220</v>
      </c>
      <c r="AA31" t="s">
        <v>220</v>
      </c>
      <c r="AB31" t="s">
        <v>220</v>
      </c>
      <c r="AC31" t="s">
        <v>220</v>
      </c>
      <c r="AD31" t="s">
        <v>220</v>
      </c>
      <c r="AE31" t="s">
        <v>220</v>
      </c>
      <c r="AF31" t="s">
        <v>220</v>
      </c>
      <c r="AG31" t="s">
        <v>220</v>
      </c>
      <c r="AH31" t="s">
        <v>220</v>
      </c>
      <c r="AI31" t="s">
        <v>220</v>
      </c>
      <c r="AJ31" t="s">
        <v>220</v>
      </c>
      <c r="AK31" t="s">
        <v>220</v>
      </c>
      <c r="AL31" t="s">
        <v>220</v>
      </c>
      <c r="AM31" t="s">
        <v>220</v>
      </c>
      <c r="AN31" t="s">
        <v>223</v>
      </c>
      <c r="AO31" t="s">
        <v>220</v>
      </c>
      <c r="AP31" t="s">
        <v>224</v>
      </c>
      <c r="AQ31" t="s">
        <v>225</v>
      </c>
      <c r="AR31" t="s">
        <v>226</v>
      </c>
      <c r="AS31" t="s">
        <v>227</v>
      </c>
      <c r="AT31">
        <v>105</v>
      </c>
      <c r="AU31">
        <v>0</v>
      </c>
      <c r="AV31">
        <v>0</v>
      </c>
      <c r="AW31">
        <v>0</v>
      </c>
      <c r="AX31">
        <v>105</v>
      </c>
      <c r="AY31" t="s">
        <v>220</v>
      </c>
      <c r="AZ31" t="s">
        <v>220</v>
      </c>
      <c r="BA31" t="s">
        <v>220</v>
      </c>
      <c r="BB31" t="s">
        <v>220</v>
      </c>
      <c r="BC31">
        <v>0</v>
      </c>
      <c r="BD31">
        <v>0</v>
      </c>
      <c r="BE31" t="s">
        <v>228</v>
      </c>
      <c r="BF31">
        <v>0</v>
      </c>
      <c r="BG31">
        <v>0</v>
      </c>
      <c r="BH31" t="s">
        <v>220</v>
      </c>
      <c r="BI31" t="s">
        <v>220</v>
      </c>
      <c r="BJ31" t="s">
        <v>220</v>
      </c>
      <c r="BK31" t="s">
        <v>220</v>
      </c>
      <c r="BL31" t="s">
        <v>220</v>
      </c>
      <c r="BM31" t="s">
        <v>234</v>
      </c>
      <c r="BN31" t="s">
        <v>220</v>
      </c>
      <c r="BO31" t="s">
        <v>220</v>
      </c>
      <c r="BP31" t="s">
        <v>220</v>
      </c>
      <c r="BQ31">
        <v>0</v>
      </c>
      <c r="BR31" t="s">
        <v>220</v>
      </c>
      <c r="BS31" t="s">
        <v>220</v>
      </c>
      <c r="BT31" t="s">
        <v>220</v>
      </c>
      <c r="BU31" t="s">
        <v>220</v>
      </c>
      <c r="BV31" t="s">
        <v>220</v>
      </c>
      <c r="BW31" t="s">
        <v>220</v>
      </c>
      <c r="BX31" t="s">
        <v>125</v>
      </c>
      <c r="BY31" t="s">
        <v>267</v>
      </c>
      <c r="BZ31" t="s">
        <v>330</v>
      </c>
      <c r="CA31" t="s">
        <v>232</v>
      </c>
    </row>
    <row r="32" spans="1:79" hidden="1" x14ac:dyDescent="0.3">
      <c r="A32" t="s">
        <v>331</v>
      </c>
      <c r="B32">
        <v>3696</v>
      </c>
      <c r="C32" t="s">
        <v>220</v>
      </c>
      <c r="D32" t="s">
        <v>237</v>
      </c>
      <c r="E32">
        <v>54</v>
      </c>
      <c r="F32" t="s">
        <v>238</v>
      </c>
      <c r="G32">
        <v>0</v>
      </c>
      <c r="H32">
        <v>15</v>
      </c>
      <c r="I32">
        <v>45</v>
      </c>
      <c r="J32">
        <v>3</v>
      </c>
      <c r="K32" t="s">
        <v>220</v>
      </c>
      <c r="L32" t="s">
        <v>220</v>
      </c>
      <c r="M32" t="b">
        <v>0</v>
      </c>
      <c r="N32" t="s">
        <v>220</v>
      </c>
      <c r="O32" t="b">
        <v>0</v>
      </c>
      <c r="P32" s="74">
        <v>45863.892361111109</v>
      </c>
      <c r="Q32" t="s">
        <v>220</v>
      </c>
      <c r="R32" t="s">
        <v>220</v>
      </c>
      <c r="S32" t="s">
        <v>220</v>
      </c>
      <c r="T32" t="s">
        <v>220</v>
      </c>
      <c r="U32" t="s">
        <v>220</v>
      </c>
      <c r="V32" t="s">
        <v>220</v>
      </c>
      <c r="W32" t="s">
        <v>220</v>
      </c>
      <c r="X32" t="s">
        <v>220</v>
      </c>
      <c r="Y32" t="s">
        <v>220</v>
      </c>
      <c r="Z32" t="s">
        <v>220</v>
      </c>
      <c r="AA32" t="s">
        <v>220</v>
      </c>
      <c r="AB32" t="s">
        <v>220</v>
      </c>
      <c r="AC32" t="s">
        <v>220</v>
      </c>
      <c r="AD32" t="s">
        <v>220</v>
      </c>
      <c r="AE32" t="s">
        <v>220</v>
      </c>
      <c r="AF32" t="s">
        <v>220</v>
      </c>
      <c r="AG32" t="s">
        <v>220</v>
      </c>
      <c r="AH32" t="s">
        <v>220</v>
      </c>
      <c r="AI32" t="s">
        <v>220</v>
      </c>
      <c r="AJ32" t="s">
        <v>220</v>
      </c>
      <c r="AK32" t="s">
        <v>220</v>
      </c>
      <c r="AL32" t="s">
        <v>220</v>
      </c>
      <c r="AM32" t="s">
        <v>220</v>
      </c>
      <c r="AN32" t="s">
        <v>223</v>
      </c>
      <c r="AO32" t="s">
        <v>220</v>
      </c>
      <c r="AP32" t="s">
        <v>224</v>
      </c>
      <c r="AQ32" t="s">
        <v>225</v>
      </c>
      <c r="AR32" t="s">
        <v>226</v>
      </c>
      <c r="AS32" t="s">
        <v>227</v>
      </c>
      <c r="AT32">
        <v>45</v>
      </c>
      <c r="AU32">
        <v>0</v>
      </c>
      <c r="AV32">
        <v>0</v>
      </c>
      <c r="AW32">
        <v>0</v>
      </c>
      <c r="AX32">
        <v>45</v>
      </c>
      <c r="AY32" t="s">
        <v>220</v>
      </c>
      <c r="AZ32" t="s">
        <v>220</v>
      </c>
      <c r="BA32" t="s">
        <v>220</v>
      </c>
      <c r="BB32" t="s">
        <v>220</v>
      </c>
      <c r="BC32">
        <v>0</v>
      </c>
      <c r="BD32">
        <v>0</v>
      </c>
      <c r="BE32" t="s">
        <v>228</v>
      </c>
      <c r="BF32">
        <v>0</v>
      </c>
      <c r="BG32">
        <v>0</v>
      </c>
      <c r="BH32" t="s">
        <v>220</v>
      </c>
      <c r="BI32" t="s">
        <v>220</v>
      </c>
      <c r="BJ32" t="s">
        <v>220</v>
      </c>
      <c r="BK32" t="s">
        <v>220</v>
      </c>
      <c r="BL32" t="s">
        <v>220</v>
      </c>
      <c r="BM32" t="s">
        <v>229</v>
      </c>
      <c r="BN32" t="s">
        <v>220</v>
      </c>
      <c r="BO32" t="s">
        <v>220</v>
      </c>
      <c r="BP32" t="s">
        <v>220</v>
      </c>
      <c r="BQ32">
        <v>0</v>
      </c>
      <c r="BR32" t="s">
        <v>220</v>
      </c>
      <c r="BS32" t="s">
        <v>220</v>
      </c>
      <c r="BT32" t="s">
        <v>220</v>
      </c>
      <c r="BU32" t="s">
        <v>220</v>
      </c>
      <c r="BV32" t="s">
        <v>220</v>
      </c>
      <c r="BW32" t="s">
        <v>220</v>
      </c>
      <c r="BX32" t="s">
        <v>126</v>
      </c>
      <c r="BY32" t="s">
        <v>267</v>
      </c>
      <c r="BZ32" t="s">
        <v>332</v>
      </c>
      <c r="CA32" t="s">
        <v>232</v>
      </c>
    </row>
    <row r="33" spans="1:79" hidden="1" x14ac:dyDescent="0.3">
      <c r="A33" t="s">
        <v>333</v>
      </c>
      <c r="B33">
        <v>3697</v>
      </c>
      <c r="C33" t="s">
        <v>220</v>
      </c>
      <c r="D33" t="s">
        <v>334</v>
      </c>
      <c r="E33">
        <v>54</v>
      </c>
      <c r="F33" t="s">
        <v>238</v>
      </c>
      <c r="G33">
        <v>0</v>
      </c>
      <c r="H33">
        <v>15</v>
      </c>
      <c r="I33">
        <v>90</v>
      </c>
      <c r="J33">
        <v>6</v>
      </c>
      <c r="K33" t="s">
        <v>220</v>
      </c>
      <c r="L33" t="s">
        <v>220</v>
      </c>
      <c r="M33" t="b">
        <v>0</v>
      </c>
      <c r="N33" t="s">
        <v>220</v>
      </c>
      <c r="O33" t="b">
        <v>0</v>
      </c>
      <c r="P33" s="74">
        <v>45863.9</v>
      </c>
      <c r="Q33" t="s">
        <v>220</v>
      </c>
      <c r="R33" t="s">
        <v>220</v>
      </c>
      <c r="S33" t="s">
        <v>220</v>
      </c>
      <c r="T33" t="s">
        <v>220</v>
      </c>
      <c r="U33" t="s">
        <v>220</v>
      </c>
      <c r="V33" t="s">
        <v>220</v>
      </c>
      <c r="W33" t="s">
        <v>220</v>
      </c>
      <c r="X33" t="s">
        <v>220</v>
      </c>
      <c r="Y33" t="s">
        <v>220</v>
      </c>
      <c r="Z33" t="s">
        <v>220</v>
      </c>
      <c r="AA33" t="s">
        <v>220</v>
      </c>
      <c r="AB33" t="s">
        <v>220</v>
      </c>
      <c r="AC33" t="s">
        <v>220</v>
      </c>
      <c r="AD33" t="s">
        <v>220</v>
      </c>
      <c r="AE33" t="s">
        <v>220</v>
      </c>
      <c r="AF33" t="s">
        <v>220</v>
      </c>
      <c r="AG33" t="s">
        <v>220</v>
      </c>
      <c r="AH33" t="s">
        <v>220</v>
      </c>
      <c r="AI33" t="s">
        <v>220</v>
      </c>
      <c r="AJ33" t="s">
        <v>220</v>
      </c>
      <c r="AK33" t="s">
        <v>220</v>
      </c>
      <c r="AL33" t="s">
        <v>220</v>
      </c>
      <c r="AM33" t="s">
        <v>220</v>
      </c>
      <c r="AN33" t="s">
        <v>223</v>
      </c>
      <c r="AO33" t="s">
        <v>220</v>
      </c>
      <c r="AP33" t="s">
        <v>224</v>
      </c>
      <c r="AQ33" t="s">
        <v>225</v>
      </c>
      <c r="AR33" t="s">
        <v>226</v>
      </c>
      <c r="AS33" t="s">
        <v>227</v>
      </c>
      <c r="AT33">
        <v>90</v>
      </c>
      <c r="AU33">
        <v>0</v>
      </c>
      <c r="AV33">
        <v>0</v>
      </c>
      <c r="AW33">
        <v>0</v>
      </c>
      <c r="AX33">
        <v>90</v>
      </c>
      <c r="AY33" t="s">
        <v>220</v>
      </c>
      <c r="AZ33" t="s">
        <v>220</v>
      </c>
      <c r="BA33" t="s">
        <v>220</v>
      </c>
      <c r="BB33" t="s">
        <v>220</v>
      </c>
      <c r="BC33">
        <v>0</v>
      </c>
      <c r="BD33">
        <v>0</v>
      </c>
      <c r="BE33" t="s">
        <v>228</v>
      </c>
      <c r="BF33">
        <v>0</v>
      </c>
      <c r="BG33">
        <v>0</v>
      </c>
      <c r="BH33" t="s">
        <v>220</v>
      </c>
      <c r="BI33" t="s">
        <v>220</v>
      </c>
      <c r="BJ33" t="s">
        <v>220</v>
      </c>
      <c r="BK33" t="s">
        <v>220</v>
      </c>
      <c r="BL33" t="s">
        <v>220</v>
      </c>
      <c r="BM33" t="s">
        <v>335</v>
      </c>
      <c r="BN33" t="s">
        <v>220</v>
      </c>
      <c r="BO33" t="s">
        <v>220</v>
      </c>
      <c r="BP33" t="s">
        <v>220</v>
      </c>
      <c r="BQ33">
        <v>0</v>
      </c>
      <c r="BR33" t="s">
        <v>220</v>
      </c>
      <c r="BS33" t="s">
        <v>220</v>
      </c>
      <c r="BT33" t="s">
        <v>220</v>
      </c>
      <c r="BU33" t="s">
        <v>220</v>
      </c>
      <c r="BV33" t="s">
        <v>220</v>
      </c>
      <c r="BW33" t="s">
        <v>220</v>
      </c>
      <c r="BX33" t="s">
        <v>123</v>
      </c>
      <c r="BY33" t="s">
        <v>267</v>
      </c>
      <c r="BZ33" t="s">
        <v>336</v>
      </c>
      <c r="CA33" t="s">
        <v>232</v>
      </c>
    </row>
    <row r="34" spans="1:79" hidden="1" x14ac:dyDescent="0.3">
      <c r="A34" t="s">
        <v>337</v>
      </c>
      <c r="B34">
        <v>3698</v>
      </c>
      <c r="C34" t="s">
        <v>220</v>
      </c>
      <c r="D34" t="s">
        <v>284</v>
      </c>
      <c r="E34">
        <v>54</v>
      </c>
      <c r="F34" t="s">
        <v>238</v>
      </c>
      <c r="G34">
        <v>0</v>
      </c>
      <c r="H34">
        <v>15</v>
      </c>
      <c r="I34">
        <v>75</v>
      </c>
      <c r="J34">
        <v>5</v>
      </c>
      <c r="K34" t="s">
        <v>220</v>
      </c>
      <c r="L34" t="s">
        <v>220</v>
      </c>
      <c r="M34" t="b">
        <v>0</v>
      </c>
      <c r="N34" t="s">
        <v>220</v>
      </c>
      <c r="O34" t="b">
        <v>0</v>
      </c>
      <c r="P34" s="74">
        <v>45863.902083333334</v>
      </c>
      <c r="Q34" t="s">
        <v>220</v>
      </c>
      <c r="R34" t="s">
        <v>220</v>
      </c>
      <c r="S34" t="s">
        <v>220</v>
      </c>
      <c r="T34" t="s">
        <v>220</v>
      </c>
      <c r="U34" t="s">
        <v>220</v>
      </c>
      <c r="V34" t="s">
        <v>220</v>
      </c>
      <c r="W34" t="s">
        <v>220</v>
      </c>
      <c r="X34" t="s">
        <v>220</v>
      </c>
      <c r="Y34" t="s">
        <v>220</v>
      </c>
      <c r="Z34" t="s">
        <v>220</v>
      </c>
      <c r="AA34" t="s">
        <v>220</v>
      </c>
      <c r="AB34" t="s">
        <v>220</v>
      </c>
      <c r="AC34" t="s">
        <v>220</v>
      </c>
      <c r="AD34" t="s">
        <v>220</v>
      </c>
      <c r="AE34" t="s">
        <v>220</v>
      </c>
      <c r="AF34" t="s">
        <v>220</v>
      </c>
      <c r="AG34" t="s">
        <v>220</v>
      </c>
      <c r="AH34" t="s">
        <v>220</v>
      </c>
      <c r="AI34" t="s">
        <v>220</v>
      </c>
      <c r="AJ34" t="s">
        <v>220</v>
      </c>
      <c r="AK34" t="s">
        <v>220</v>
      </c>
      <c r="AL34" t="s">
        <v>220</v>
      </c>
      <c r="AM34" t="s">
        <v>220</v>
      </c>
      <c r="AN34" t="s">
        <v>223</v>
      </c>
      <c r="AO34" t="s">
        <v>220</v>
      </c>
      <c r="AP34" t="s">
        <v>224</v>
      </c>
      <c r="AQ34" t="s">
        <v>225</v>
      </c>
      <c r="AR34" t="s">
        <v>226</v>
      </c>
      <c r="AS34" t="s">
        <v>227</v>
      </c>
      <c r="AT34">
        <v>95</v>
      </c>
      <c r="AU34">
        <v>0</v>
      </c>
      <c r="AV34">
        <v>0</v>
      </c>
      <c r="AW34">
        <v>0</v>
      </c>
      <c r="AX34">
        <v>95</v>
      </c>
      <c r="AY34" t="s">
        <v>220</v>
      </c>
      <c r="AZ34" t="s">
        <v>220</v>
      </c>
      <c r="BA34" t="s">
        <v>220</v>
      </c>
      <c r="BB34" t="s">
        <v>220</v>
      </c>
      <c r="BC34">
        <v>0</v>
      </c>
      <c r="BD34">
        <v>0</v>
      </c>
      <c r="BE34" t="s">
        <v>228</v>
      </c>
      <c r="BF34">
        <v>0</v>
      </c>
      <c r="BG34">
        <v>0</v>
      </c>
      <c r="BH34" t="s">
        <v>220</v>
      </c>
      <c r="BI34" t="s">
        <v>220</v>
      </c>
      <c r="BJ34" t="s">
        <v>220</v>
      </c>
      <c r="BK34" t="s">
        <v>220</v>
      </c>
      <c r="BL34" t="s">
        <v>220</v>
      </c>
      <c r="BM34" t="s">
        <v>272</v>
      </c>
      <c r="BN34" t="s">
        <v>220</v>
      </c>
      <c r="BO34" t="s">
        <v>220</v>
      </c>
      <c r="BP34" t="s">
        <v>220</v>
      </c>
      <c r="BQ34">
        <v>0</v>
      </c>
      <c r="BR34" t="s">
        <v>220</v>
      </c>
      <c r="BS34" t="s">
        <v>220</v>
      </c>
      <c r="BT34" t="s">
        <v>220</v>
      </c>
      <c r="BU34" t="s">
        <v>220</v>
      </c>
      <c r="BV34" t="s">
        <v>220</v>
      </c>
      <c r="BW34" t="s">
        <v>220</v>
      </c>
      <c r="BX34" t="s">
        <v>254</v>
      </c>
      <c r="BY34" t="s">
        <v>267</v>
      </c>
      <c r="BZ34" t="s">
        <v>338</v>
      </c>
      <c r="CA34" t="s">
        <v>232</v>
      </c>
    </row>
    <row r="35" spans="1:79" hidden="1" x14ac:dyDescent="0.3">
      <c r="A35" t="s">
        <v>337</v>
      </c>
      <c r="B35">
        <v>3698</v>
      </c>
      <c r="C35" t="s">
        <v>220</v>
      </c>
      <c r="D35" t="s">
        <v>284</v>
      </c>
      <c r="E35">
        <v>3</v>
      </c>
      <c r="F35" t="s">
        <v>255</v>
      </c>
      <c r="G35">
        <v>0</v>
      </c>
      <c r="H35">
        <v>4</v>
      </c>
      <c r="I35">
        <v>20</v>
      </c>
      <c r="J35">
        <v>5</v>
      </c>
      <c r="K35" t="s">
        <v>220</v>
      </c>
      <c r="L35" t="s">
        <v>220</v>
      </c>
      <c r="M35" t="b">
        <v>0</v>
      </c>
      <c r="N35" t="s">
        <v>220</v>
      </c>
      <c r="O35" t="b">
        <v>0</v>
      </c>
      <c r="P35" s="74">
        <v>45863.902083333334</v>
      </c>
      <c r="Q35" t="s">
        <v>220</v>
      </c>
      <c r="R35" t="s">
        <v>220</v>
      </c>
      <c r="S35" t="s">
        <v>220</v>
      </c>
      <c r="T35" t="s">
        <v>220</v>
      </c>
      <c r="U35" t="s">
        <v>220</v>
      </c>
      <c r="V35" t="s">
        <v>220</v>
      </c>
      <c r="W35" t="s">
        <v>220</v>
      </c>
      <c r="X35" t="s">
        <v>220</v>
      </c>
      <c r="Y35" t="s">
        <v>220</v>
      </c>
      <c r="Z35" t="s">
        <v>220</v>
      </c>
      <c r="AA35" t="s">
        <v>220</v>
      </c>
      <c r="AB35" t="s">
        <v>220</v>
      </c>
      <c r="AC35" t="s">
        <v>220</v>
      </c>
      <c r="AD35" t="s">
        <v>220</v>
      </c>
      <c r="AE35" t="s">
        <v>220</v>
      </c>
      <c r="AF35" t="s">
        <v>220</v>
      </c>
      <c r="AG35" t="s">
        <v>220</v>
      </c>
      <c r="AH35" t="s">
        <v>220</v>
      </c>
      <c r="AI35" t="s">
        <v>220</v>
      </c>
      <c r="AJ35" t="s">
        <v>220</v>
      </c>
      <c r="AK35" t="s">
        <v>220</v>
      </c>
      <c r="AL35" t="s">
        <v>220</v>
      </c>
      <c r="AM35" t="s">
        <v>220</v>
      </c>
      <c r="AN35" t="s">
        <v>223</v>
      </c>
      <c r="AO35" t="s">
        <v>220</v>
      </c>
      <c r="AP35" t="s">
        <v>224</v>
      </c>
      <c r="AQ35" t="s">
        <v>225</v>
      </c>
      <c r="AR35" t="s">
        <v>226</v>
      </c>
      <c r="AS35" t="s">
        <v>227</v>
      </c>
      <c r="AT35">
        <v>95</v>
      </c>
      <c r="AU35">
        <v>0</v>
      </c>
      <c r="AV35">
        <v>0</v>
      </c>
      <c r="AW35">
        <v>0</v>
      </c>
      <c r="AX35">
        <v>95</v>
      </c>
      <c r="AY35" t="s">
        <v>220</v>
      </c>
      <c r="AZ35" t="s">
        <v>220</v>
      </c>
      <c r="BA35" t="s">
        <v>220</v>
      </c>
      <c r="BB35" t="s">
        <v>220</v>
      </c>
      <c r="BC35">
        <v>0</v>
      </c>
      <c r="BD35">
        <v>0</v>
      </c>
      <c r="BE35" t="s">
        <v>228</v>
      </c>
      <c r="BF35">
        <v>0</v>
      </c>
      <c r="BG35">
        <v>0</v>
      </c>
      <c r="BH35" t="s">
        <v>220</v>
      </c>
      <c r="BI35" t="s">
        <v>220</v>
      </c>
      <c r="BJ35" t="s">
        <v>220</v>
      </c>
      <c r="BK35" t="s">
        <v>220</v>
      </c>
      <c r="BL35" t="s">
        <v>220</v>
      </c>
      <c r="BM35" t="s">
        <v>272</v>
      </c>
      <c r="BN35" t="s">
        <v>220</v>
      </c>
      <c r="BO35" t="s">
        <v>220</v>
      </c>
      <c r="BP35" t="s">
        <v>220</v>
      </c>
      <c r="BQ35">
        <v>0</v>
      </c>
      <c r="BR35" t="s">
        <v>220</v>
      </c>
      <c r="BS35" t="s">
        <v>220</v>
      </c>
      <c r="BT35" t="s">
        <v>220</v>
      </c>
      <c r="BU35" t="s">
        <v>220</v>
      </c>
      <c r="BV35" t="s">
        <v>220</v>
      </c>
      <c r="BW35" t="s">
        <v>220</v>
      </c>
      <c r="BX35" t="s">
        <v>254</v>
      </c>
      <c r="BY35" t="s">
        <v>267</v>
      </c>
      <c r="BZ35" t="s">
        <v>338</v>
      </c>
      <c r="CA35" t="s">
        <v>232</v>
      </c>
    </row>
    <row r="36" spans="1:79" hidden="1" x14ac:dyDescent="0.3">
      <c r="A36" t="s">
        <v>339</v>
      </c>
      <c r="B36">
        <v>3695</v>
      </c>
      <c r="C36" t="s">
        <v>220</v>
      </c>
      <c r="D36" t="s">
        <v>245</v>
      </c>
      <c r="E36">
        <v>0</v>
      </c>
      <c r="F36" t="s">
        <v>246</v>
      </c>
      <c r="G36">
        <v>0</v>
      </c>
      <c r="H36">
        <v>8</v>
      </c>
      <c r="I36">
        <v>160</v>
      </c>
      <c r="J36">
        <v>20</v>
      </c>
      <c r="K36" t="s">
        <v>220</v>
      </c>
      <c r="L36" t="s">
        <v>220</v>
      </c>
      <c r="M36" t="b">
        <v>0</v>
      </c>
      <c r="N36" t="s">
        <v>220</v>
      </c>
      <c r="O36" t="b">
        <v>0</v>
      </c>
      <c r="P36" s="74">
        <v>45863.890972222223</v>
      </c>
      <c r="Q36" t="s">
        <v>220</v>
      </c>
      <c r="R36" t="s">
        <v>220</v>
      </c>
      <c r="S36" t="s">
        <v>220</v>
      </c>
      <c r="T36" t="s">
        <v>220</v>
      </c>
      <c r="U36" t="s">
        <v>220</v>
      </c>
      <c r="V36" t="s">
        <v>220</v>
      </c>
      <c r="W36" t="s">
        <v>220</v>
      </c>
      <c r="X36" t="s">
        <v>220</v>
      </c>
      <c r="Y36" t="s">
        <v>220</v>
      </c>
      <c r="Z36" t="s">
        <v>220</v>
      </c>
      <c r="AA36" t="s">
        <v>220</v>
      </c>
      <c r="AB36" t="s">
        <v>220</v>
      </c>
      <c r="AC36" t="s">
        <v>220</v>
      </c>
      <c r="AD36" t="s">
        <v>220</v>
      </c>
      <c r="AE36" t="s">
        <v>220</v>
      </c>
      <c r="AF36" t="s">
        <v>220</v>
      </c>
      <c r="AG36" t="s">
        <v>220</v>
      </c>
      <c r="AH36" t="s">
        <v>220</v>
      </c>
      <c r="AI36" t="s">
        <v>220</v>
      </c>
      <c r="AJ36" t="s">
        <v>220</v>
      </c>
      <c r="AK36" t="s">
        <v>220</v>
      </c>
      <c r="AL36" t="s">
        <v>220</v>
      </c>
      <c r="AM36" t="s">
        <v>220</v>
      </c>
      <c r="AN36" t="s">
        <v>223</v>
      </c>
      <c r="AO36" t="s">
        <v>220</v>
      </c>
      <c r="AP36" t="s">
        <v>224</v>
      </c>
      <c r="AQ36" t="s">
        <v>225</v>
      </c>
      <c r="AR36" t="s">
        <v>226</v>
      </c>
      <c r="AS36" t="s">
        <v>227</v>
      </c>
      <c r="AT36">
        <v>160</v>
      </c>
      <c r="AU36">
        <v>0</v>
      </c>
      <c r="AV36">
        <v>0</v>
      </c>
      <c r="AW36">
        <v>0</v>
      </c>
      <c r="AX36">
        <v>160</v>
      </c>
      <c r="AY36" t="s">
        <v>220</v>
      </c>
      <c r="AZ36" t="s">
        <v>220</v>
      </c>
      <c r="BA36" t="s">
        <v>220</v>
      </c>
      <c r="BB36" t="s">
        <v>220</v>
      </c>
      <c r="BC36">
        <v>0</v>
      </c>
      <c r="BD36">
        <v>0</v>
      </c>
      <c r="BE36" t="s">
        <v>228</v>
      </c>
      <c r="BF36">
        <v>0</v>
      </c>
      <c r="BG36">
        <v>0</v>
      </c>
      <c r="BH36" t="s">
        <v>220</v>
      </c>
      <c r="BI36" t="s">
        <v>220</v>
      </c>
      <c r="BJ36" t="s">
        <v>220</v>
      </c>
      <c r="BK36" t="s">
        <v>220</v>
      </c>
      <c r="BL36" t="s">
        <v>220</v>
      </c>
      <c r="BM36" t="s">
        <v>247</v>
      </c>
      <c r="BN36" t="s">
        <v>220</v>
      </c>
      <c r="BO36" t="s">
        <v>220</v>
      </c>
      <c r="BP36" t="s">
        <v>220</v>
      </c>
      <c r="BQ36">
        <v>0</v>
      </c>
      <c r="BR36" t="s">
        <v>220</v>
      </c>
      <c r="BS36" t="s">
        <v>220</v>
      </c>
      <c r="BT36" t="s">
        <v>220</v>
      </c>
      <c r="BU36" t="s">
        <v>220</v>
      </c>
      <c r="BV36" t="s">
        <v>220</v>
      </c>
      <c r="BW36" t="s">
        <v>220</v>
      </c>
      <c r="BX36" t="s">
        <v>4</v>
      </c>
      <c r="BY36" t="s">
        <v>267</v>
      </c>
      <c r="BZ36" t="s">
        <v>248</v>
      </c>
      <c r="CA36" t="s">
        <v>232</v>
      </c>
    </row>
    <row r="37" spans="1:79" hidden="1" x14ac:dyDescent="0.3">
      <c r="A37" t="s">
        <v>340</v>
      </c>
      <c r="B37">
        <v>3699</v>
      </c>
      <c r="C37" t="s">
        <v>220</v>
      </c>
      <c r="D37" t="s">
        <v>249</v>
      </c>
      <c r="E37">
        <v>8</v>
      </c>
      <c r="F37" t="s">
        <v>240</v>
      </c>
      <c r="G37">
        <v>0</v>
      </c>
      <c r="H37">
        <v>68.12</v>
      </c>
      <c r="I37">
        <v>68.12</v>
      </c>
      <c r="J37">
        <v>1</v>
      </c>
      <c r="K37" t="s">
        <v>220</v>
      </c>
      <c r="L37" t="s">
        <v>220</v>
      </c>
      <c r="M37" t="b">
        <v>0</v>
      </c>
      <c r="N37" t="s">
        <v>220</v>
      </c>
      <c r="O37" t="b">
        <v>0</v>
      </c>
      <c r="P37" s="74">
        <v>45863.929166666669</v>
      </c>
      <c r="Q37" t="s">
        <v>220</v>
      </c>
      <c r="R37" t="s">
        <v>220</v>
      </c>
      <c r="S37" t="s">
        <v>220</v>
      </c>
      <c r="T37" t="s">
        <v>220</v>
      </c>
      <c r="U37" t="s">
        <v>220</v>
      </c>
      <c r="V37" t="s">
        <v>220</v>
      </c>
      <c r="W37" t="s">
        <v>220</v>
      </c>
      <c r="X37" t="s">
        <v>220</v>
      </c>
      <c r="Y37" t="s">
        <v>220</v>
      </c>
      <c r="Z37" t="s">
        <v>220</v>
      </c>
      <c r="AA37" t="s">
        <v>220</v>
      </c>
      <c r="AB37" t="s">
        <v>220</v>
      </c>
      <c r="AC37" t="s">
        <v>220</v>
      </c>
      <c r="AD37" t="s">
        <v>220</v>
      </c>
      <c r="AE37" t="s">
        <v>220</v>
      </c>
      <c r="AF37" t="s">
        <v>220</v>
      </c>
      <c r="AG37" t="s">
        <v>220</v>
      </c>
      <c r="AH37" t="s">
        <v>220</v>
      </c>
      <c r="AI37" t="s">
        <v>220</v>
      </c>
      <c r="AJ37" t="s">
        <v>220</v>
      </c>
      <c r="AK37" t="s">
        <v>220</v>
      </c>
      <c r="AL37" t="s">
        <v>220</v>
      </c>
      <c r="AM37" t="s">
        <v>220</v>
      </c>
      <c r="AN37" t="s">
        <v>223</v>
      </c>
      <c r="AO37" t="s">
        <v>220</v>
      </c>
      <c r="AP37" t="s">
        <v>224</v>
      </c>
      <c r="AQ37" t="s">
        <v>225</v>
      </c>
      <c r="AR37" t="s">
        <v>226</v>
      </c>
      <c r="AS37" t="s">
        <v>227</v>
      </c>
      <c r="AT37">
        <v>87.01</v>
      </c>
      <c r="AU37">
        <v>0</v>
      </c>
      <c r="AV37">
        <v>0</v>
      </c>
      <c r="AW37">
        <v>0</v>
      </c>
      <c r="AX37">
        <v>87.01</v>
      </c>
      <c r="AY37" t="s">
        <v>220</v>
      </c>
      <c r="AZ37" t="s">
        <v>220</v>
      </c>
      <c r="BA37" t="s">
        <v>220</v>
      </c>
      <c r="BB37" t="s">
        <v>220</v>
      </c>
      <c r="BC37">
        <v>0</v>
      </c>
      <c r="BD37">
        <v>0</v>
      </c>
      <c r="BE37" t="s">
        <v>228</v>
      </c>
      <c r="BF37">
        <v>0</v>
      </c>
      <c r="BG37">
        <v>0</v>
      </c>
      <c r="BH37" t="s">
        <v>220</v>
      </c>
      <c r="BI37" t="s">
        <v>220</v>
      </c>
      <c r="BJ37" t="s">
        <v>220</v>
      </c>
      <c r="BK37" t="s">
        <v>220</v>
      </c>
      <c r="BL37" t="s">
        <v>220</v>
      </c>
      <c r="BM37" t="s">
        <v>341</v>
      </c>
      <c r="BN37" t="s">
        <v>220</v>
      </c>
      <c r="BO37" t="s">
        <v>220</v>
      </c>
      <c r="BP37" t="s">
        <v>220</v>
      </c>
      <c r="BQ37">
        <v>0</v>
      </c>
      <c r="BR37" t="s">
        <v>220</v>
      </c>
      <c r="BS37" t="s">
        <v>220</v>
      </c>
      <c r="BT37" t="s">
        <v>220</v>
      </c>
      <c r="BU37" t="s">
        <v>220</v>
      </c>
      <c r="BV37" t="s">
        <v>220</v>
      </c>
      <c r="BW37" t="s">
        <v>220</v>
      </c>
      <c r="BX37" t="s">
        <v>122</v>
      </c>
      <c r="BY37" t="s">
        <v>267</v>
      </c>
      <c r="BZ37" t="s">
        <v>220</v>
      </c>
      <c r="CA37" t="s">
        <v>232</v>
      </c>
    </row>
    <row r="38" spans="1:79" hidden="1" x14ac:dyDescent="0.3">
      <c r="A38" t="s">
        <v>340</v>
      </c>
      <c r="B38">
        <v>3699</v>
      </c>
      <c r="C38" t="s">
        <v>220</v>
      </c>
      <c r="D38" t="s">
        <v>249</v>
      </c>
      <c r="E38">
        <v>69</v>
      </c>
      <c r="F38" t="s">
        <v>269</v>
      </c>
      <c r="G38">
        <v>0</v>
      </c>
      <c r="H38">
        <v>2.89</v>
      </c>
      <c r="I38">
        <v>2.89</v>
      </c>
      <c r="J38">
        <v>1</v>
      </c>
      <c r="K38" t="s">
        <v>220</v>
      </c>
      <c r="L38" t="s">
        <v>220</v>
      </c>
      <c r="M38" t="b">
        <v>0</v>
      </c>
      <c r="N38" t="s">
        <v>220</v>
      </c>
      <c r="O38" t="b">
        <v>0</v>
      </c>
      <c r="P38" s="74">
        <v>45863.929166666669</v>
      </c>
      <c r="Q38" t="s">
        <v>220</v>
      </c>
      <c r="R38" t="s">
        <v>220</v>
      </c>
      <c r="S38" t="s">
        <v>220</v>
      </c>
      <c r="T38" t="s">
        <v>220</v>
      </c>
      <c r="U38" t="s">
        <v>220</v>
      </c>
      <c r="V38" t="s">
        <v>220</v>
      </c>
      <c r="W38" t="s">
        <v>220</v>
      </c>
      <c r="X38" t="s">
        <v>220</v>
      </c>
      <c r="Y38" t="s">
        <v>220</v>
      </c>
      <c r="Z38" t="s">
        <v>220</v>
      </c>
      <c r="AA38" t="s">
        <v>220</v>
      </c>
      <c r="AB38" t="s">
        <v>220</v>
      </c>
      <c r="AC38" t="s">
        <v>220</v>
      </c>
      <c r="AD38" t="s">
        <v>220</v>
      </c>
      <c r="AE38" t="s">
        <v>220</v>
      </c>
      <c r="AF38" t="s">
        <v>220</v>
      </c>
      <c r="AG38" t="s">
        <v>220</v>
      </c>
      <c r="AH38" t="s">
        <v>220</v>
      </c>
      <c r="AI38" t="s">
        <v>220</v>
      </c>
      <c r="AJ38" t="s">
        <v>220</v>
      </c>
      <c r="AK38" t="s">
        <v>220</v>
      </c>
      <c r="AL38" t="s">
        <v>220</v>
      </c>
      <c r="AM38" t="s">
        <v>220</v>
      </c>
      <c r="AN38" t="s">
        <v>223</v>
      </c>
      <c r="AO38" t="s">
        <v>220</v>
      </c>
      <c r="AP38" t="s">
        <v>224</v>
      </c>
      <c r="AQ38" t="s">
        <v>225</v>
      </c>
      <c r="AR38" t="s">
        <v>226</v>
      </c>
      <c r="AS38" t="s">
        <v>227</v>
      </c>
      <c r="AT38">
        <v>87.01</v>
      </c>
      <c r="AU38">
        <v>0</v>
      </c>
      <c r="AV38">
        <v>0</v>
      </c>
      <c r="AW38">
        <v>0</v>
      </c>
      <c r="AX38">
        <v>87.01</v>
      </c>
      <c r="AY38" t="s">
        <v>220</v>
      </c>
      <c r="AZ38" t="s">
        <v>220</v>
      </c>
      <c r="BA38" t="s">
        <v>220</v>
      </c>
      <c r="BB38" t="s">
        <v>220</v>
      </c>
      <c r="BC38">
        <v>0</v>
      </c>
      <c r="BD38">
        <v>0</v>
      </c>
      <c r="BE38" t="s">
        <v>228</v>
      </c>
      <c r="BF38">
        <v>0</v>
      </c>
      <c r="BG38">
        <v>0</v>
      </c>
      <c r="BH38" t="s">
        <v>220</v>
      </c>
      <c r="BI38" t="s">
        <v>220</v>
      </c>
      <c r="BJ38" t="s">
        <v>220</v>
      </c>
      <c r="BK38" t="s">
        <v>220</v>
      </c>
      <c r="BL38" t="s">
        <v>220</v>
      </c>
      <c r="BM38" t="s">
        <v>341</v>
      </c>
      <c r="BN38" t="s">
        <v>220</v>
      </c>
      <c r="BO38" t="s">
        <v>220</v>
      </c>
      <c r="BP38" t="s">
        <v>220</v>
      </c>
      <c r="BQ38">
        <v>0</v>
      </c>
      <c r="BR38" t="s">
        <v>220</v>
      </c>
      <c r="BS38" t="s">
        <v>220</v>
      </c>
      <c r="BT38" t="s">
        <v>220</v>
      </c>
      <c r="BU38" t="s">
        <v>220</v>
      </c>
      <c r="BV38" t="s">
        <v>220</v>
      </c>
      <c r="BW38" t="s">
        <v>220</v>
      </c>
      <c r="BX38" t="s">
        <v>122</v>
      </c>
      <c r="BY38" t="s">
        <v>267</v>
      </c>
      <c r="BZ38" t="s">
        <v>220</v>
      </c>
      <c r="CA38" t="s">
        <v>232</v>
      </c>
    </row>
    <row r="39" spans="1:79" hidden="1" x14ac:dyDescent="0.3">
      <c r="A39" t="s">
        <v>340</v>
      </c>
      <c r="B39">
        <v>3699</v>
      </c>
      <c r="C39" t="s">
        <v>220</v>
      </c>
      <c r="D39" t="s">
        <v>249</v>
      </c>
      <c r="E39">
        <v>40</v>
      </c>
      <c r="F39" t="s">
        <v>241</v>
      </c>
      <c r="G39">
        <v>0</v>
      </c>
      <c r="H39">
        <v>16</v>
      </c>
      <c r="I39">
        <v>16</v>
      </c>
      <c r="J39">
        <v>1</v>
      </c>
      <c r="K39" t="s">
        <v>220</v>
      </c>
      <c r="L39" t="s">
        <v>220</v>
      </c>
      <c r="M39" t="b">
        <v>0</v>
      </c>
      <c r="N39" t="s">
        <v>220</v>
      </c>
      <c r="O39" t="b">
        <v>0</v>
      </c>
      <c r="P39" s="74">
        <v>45863.929166666669</v>
      </c>
      <c r="Q39" t="s">
        <v>220</v>
      </c>
      <c r="R39" t="s">
        <v>220</v>
      </c>
      <c r="S39" t="s">
        <v>220</v>
      </c>
      <c r="T39" t="s">
        <v>220</v>
      </c>
      <c r="U39" t="s">
        <v>220</v>
      </c>
      <c r="V39" t="s">
        <v>220</v>
      </c>
      <c r="W39" t="s">
        <v>220</v>
      </c>
      <c r="X39" t="s">
        <v>220</v>
      </c>
      <c r="Y39" t="s">
        <v>220</v>
      </c>
      <c r="Z39" t="s">
        <v>220</v>
      </c>
      <c r="AA39" t="s">
        <v>220</v>
      </c>
      <c r="AB39" t="s">
        <v>220</v>
      </c>
      <c r="AC39" t="s">
        <v>220</v>
      </c>
      <c r="AD39" t="s">
        <v>220</v>
      </c>
      <c r="AE39" t="s">
        <v>220</v>
      </c>
      <c r="AF39" t="s">
        <v>220</v>
      </c>
      <c r="AG39" t="s">
        <v>220</v>
      </c>
      <c r="AH39" t="s">
        <v>220</v>
      </c>
      <c r="AI39" t="s">
        <v>220</v>
      </c>
      <c r="AJ39" t="s">
        <v>220</v>
      </c>
      <c r="AK39" t="s">
        <v>220</v>
      </c>
      <c r="AL39" t="s">
        <v>220</v>
      </c>
      <c r="AM39" t="s">
        <v>220</v>
      </c>
      <c r="AN39" t="s">
        <v>223</v>
      </c>
      <c r="AO39" t="s">
        <v>220</v>
      </c>
      <c r="AP39" t="s">
        <v>224</v>
      </c>
      <c r="AQ39" t="s">
        <v>225</v>
      </c>
      <c r="AR39" t="s">
        <v>226</v>
      </c>
      <c r="AS39" t="s">
        <v>227</v>
      </c>
      <c r="AT39">
        <v>87.01</v>
      </c>
      <c r="AU39">
        <v>0</v>
      </c>
      <c r="AV39">
        <v>0</v>
      </c>
      <c r="AW39">
        <v>0</v>
      </c>
      <c r="AX39">
        <v>87.01</v>
      </c>
      <c r="AY39" t="s">
        <v>220</v>
      </c>
      <c r="AZ39" t="s">
        <v>220</v>
      </c>
      <c r="BA39" t="s">
        <v>220</v>
      </c>
      <c r="BB39" t="s">
        <v>220</v>
      </c>
      <c r="BC39">
        <v>0</v>
      </c>
      <c r="BD39">
        <v>0</v>
      </c>
      <c r="BE39" t="s">
        <v>228</v>
      </c>
      <c r="BF39">
        <v>0</v>
      </c>
      <c r="BG39">
        <v>0</v>
      </c>
      <c r="BH39" t="s">
        <v>220</v>
      </c>
      <c r="BI39" t="s">
        <v>220</v>
      </c>
      <c r="BJ39" t="s">
        <v>220</v>
      </c>
      <c r="BK39" t="s">
        <v>220</v>
      </c>
      <c r="BL39" t="s">
        <v>220</v>
      </c>
      <c r="BM39" t="s">
        <v>341</v>
      </c>
      <c r="BN39" t="s">
        <v>220</v>
      </c>
      <c r="BO39" t="s">
        <v>220</v>
      </c>
      <c r="BP39" t="s">
        <v>220</v>
      </c>
      <c r="BQ39">
        <v>0</v>
      </c>
      <c r="BR39" t="s">
        <v>220</v>
      </c>
      <c r="BS39" t="s">
        <v>220</v>
      </c>
      <c r="BT39" t="s">
        <v>220</v>
      </c>
      <c r="BU39" t="s">
        <v>220</v>
      </c>
      <c r="BV39" t="s">
        <v>220</v>
      </c>
      <c r="BW39" t="s">
        <v>220</v>
      </c>
      <c r="BX39" t="s">
        <v>122</v>
      </c>
      <c r="BY39" t="s">
        <v>267</v>
      </c>
      <c r="BZ39" t="s">
        <v>220</v>
      </c>
      <c r="CA39" t="s">
        <v>232</v>
      </c>
    </row>
    <row r="40" spans="1:79" hidden="1" x14ac:dyDescent="0.3">
      <c r="A40" t="s">
        <v>342</v>
      </c>
      <c r="B40">
        <v>3700</v>
      </c>
      <c r="C40" t="s">
        <v>220</v>
      </c>
      <c r="D40" t="s">
        <v>343</v>
      </c>
      <c r="E40">
        <v>54</v>
      </c>
      <c r="F40" t="s">
        <v>238</v>
      </c>
      <c r="G40">
        <v>0</v>
      </c>
      <c r="H40">
        <v>15</v>
      </c>
      <c r="I40">
        <v>30</v>
      </c>
      <c r="J40">
        <v>2</v>
      </c>
      <c r="K40" t="s">
        <v>220</v>
      </c>
      <c r="L40" t="s">
        <v>220</v>
      </c>
      <c r="M40" t="b">
        <v>0</v>
      </c>
      <c r="N40" t="s">
        <v>220</v>
      </c>
      <c r="O40" t="b">
        <v>0</v>
      </c>
      <c r="P40" s="74">
        <v>45864.783333333333</v>
      </c>
      <c r="Q40" t="s">
        <v>220</v>
      </c>
      <c r="R40" t="s">
        <v>220</v>
      </c>
      <c r="S40" t="s">
        <v>220</v>
      </c>
      <c r="T40" t="s">
        <v>220</v>
      </c>
      <c r="U40" t="s">
        <v>220</v>
      </c>
      <c r="V40" t="s">
        <v>220</v>
      </c>
      <c r="W40" t="s">
        <v>220</v>
      </c>
      <c r="X40" t="s">
        <v>220</v>
      </c>
      <c r="Y40" t="s">
        <v>220</v>
      </c>
      <c r="Z40" t="s">
        <v>220</v>
      </c>
      <c r="AA40" t="s">
        <v>220</v>
      </c>
      <c r="AB40" t="s">
        <v>220</v>
      </c>
      <c r="AC40" t="s">
        <v>220</v>
      </c>
      <c r="AD40" t="s">
        <v>220</v>
      </c>
      <c r="AE40" t="s">
        <v>220</v>
      </c>
      <c r="AF40" t="s">
        <v>220</v>
      </c>
      <c r="AG40" t="s">
        <v>220</v>
      </c>
      <c r="AH40" t="s">
        <v>220</v>
      </c>
      <c r="AI40" t="s">
        <v>220</v>
      </c>
      <c r="AJ40" t="s">
        <v>220</v>
      </c>
      <c r="AK40" t="s">
        <v>220</v>
      </c>
      <c r="AL40" t="s">
        <v>220</v>
      </c>
      <c r="AM40" t="s">
        <v>220</v>
      </c>
      <c r="AN40" t="s">
        <v>223</v>
      </c>
      <c r="AO40" t="s">
        <v>220</v>
      </c>
      <c r="AP40" t="s">
        <v>224</v>
      </c>
      <c r="AQ40" t="s">
        <v>225</v>
      </c>
      <c r="AR40" t="s">
        <v>226</v>
      </c>
      <c r="AS40" t="s">
        <v>227</v>
      </c>
      <c r="AT40">
        <v>30</v>
      </c>
      <c r="AU40">
        <v>0</v>
      </c>
      <c r="AV40">
        <v>0</v>
      </c>
      <c r="AW40">
        <v>0</v>
      </c>
      <c r="AX40">
        <v>30</v>
      </c>
      <c r="AY40" t="s">
        <v>220</v>
      </c>
      <c r="AZ40" t="s">
        <v>220</v>
      </c>
      <c r="BA40" t="s">
        <v>220</v>
      </c>
      <c r="BB40" t="s">
        <v>220</v>
      </c>
      <c r="BC40">
        <v>0</v>
      </c>
      <c r="BD40">
        <v>0</v>
      </c>
      <c r="BE40" t="s">
        <v>228</v>
      </c>
      <c r="BF40">
        <v>0</v>
      </c>
      <c r="BG40">
        <v>0</v>
      </c>
      <c r="BH40" t="s">
        <v>220</v>
      </c>
      <c r="BI40" t="s">
        <v>220</v>
      </c>
      <c r="BJ40" t="s">
        <v>220</v>
      </c>
      <c r="BK40" t="s">
        <v>220</v>
      </c>
      <c r="BL40" t="s">
        <v>220</v>
      </c>
      <c r="BM40" t="s">
        <v>252</v>
      </c>
      <c r="BN40" t="s">
        <v>220</v>
      </c>
      <c r="BO40" t="s">
        <v>220</v>
      </c>
      <c r="BP40" t="s">
        <v>220</v>
      </c>
      <c r="BQ40">
        <v>0</v>
      </c>
      <c r="BR40" t="s">
        <v>220</v>
      </c>
      <c r="BS40" t="s">
        <v>220</v>
      </c>
      <c r="BT40" t="s">
        <v>220</v>
      </c>
      <c r="BU40" t="s">
        <v>220</v>
      </c>
      <c r="BV40" t="s">
        <v>220</v>
      </c>
      <c r="BW40" t="s">
        <v>220</v>
      </c>
      <c r="BX40" t="s">
        <v>124</v>
      </c>
      <c r="BY40" t="s">
        <v>273</v>
      </c>
      <c r="BZ40" t="s">
        <v>344</v>
      </c>
      <c r="CA40" t="s">
        <v>232</v>
      </c>
    </row>
    <row r="41" spans="1:79" hidden="1" x14ac:dyDescent="0.3">
      <c r="A41" t="s">
        <v>345</v>
      </c>
      <c r="B41">
        <v>3702</v>
      </c>
      <c r="C41" t="s">
        <v>220</v>
      </c>
      <c r="D41" t="s">
        <v>334</v>
      </c>
      <c r="E41">
        <v>8</v>
      </c>
      <c r="F41" t="s">
        <v>240</v>
      </c>
      <c r="G41">
        <v>0</v>
      </c>
      <c r="H41">
        <v>68.12</v>
      </c>
      <c r="I41">
        <v>68.12</v>
      </c>
      <c r="J41">
        <v>1</v>
      </c>
      <c r="K41" t="s">
        <v>220</v>
      </c>
      <c r="L41" t="s">
        <v>220</v>
      </c>
      <c r="M41" t="b">
        <v>0</v>
      </c>
      <c r="N41" t="s">
        <v>220</v>
      </c>
      <c r="O41" t="b">
        <v>0</v>
      </c>
      <c r="P41" s="74">
        <v>45864.88958333333</v>
      </c>
      <c r="Q41" t="s">
        <v>220</v>
      </c>
      <c r="R41" t="s">
        <v>220</v>
      </c>
      <c r="S41" t="s">
        <v>220</v>
      </c>
      <c r="T41" t="s">
        <v>220</v>
      </c>
      <c r="U41" t="s">
        <v>220</v>
      </c>
      <c r="V41" t="s">
        <v>220</v>
      </c>
      <c r="W41" t="s">
        <v>220</v>
      </c>
      <c r="X41" t="s">
        <v>220</v>
      </c>
      <c r="Y41" t="s">
        <v>220</v>
      </c>
      <c r="Z41" t="s">
        <v>220</v>
      </c>
      <c r="AA41" t="s">
        <v>220</v>
      </c>
      <c r="AB41" t="s">
        <v>220</v>
      </c>
      <c r="AC41" t="s">
        <v>220</v>
      </c>
      <c r="AD41" t="s">
        <v>220</v>
      </c>
      <c r="AE41" t="s">
        <v>220</v>
      </c>
      <c r="AF41" t="s">
        <v>220</v>
      </c>
      <c r="AG41" t="s">
        <v>220</v>
      </c>
      <c r="AH41" t="s">
        <v>220</v>
      </c>
      <c r="AI41" t="s">
        <v>220</v>
      </c>
      <c r="AJ41" t="s">
        <v>220</v>
      </c>
      <c r="AK41" t="s">
        <v>220</v>
      </c>
      <c r="AL41" t="s">
        <v>220</v>
      </c>
      <c r="AM41" t="s">
        <v>220</v>
      </c>
      <c r="AN41" t="s">
        <v>223</v>
      </c>
      <c r="AO41" t="s">
        <v>220</v>
      </c>
      <c r="AP41" t="s">
        <v>224</v>
      </c>
      <c r="AQ41" t="s">
        <v>225</v>
      </c>
      <c r="AR41" t="s">
        <v>226</v>
      </c>
      <c r="AS41" t="s">
        <v>227</v>
      </c>
      <c r="AT41">
        <v>173.12</v>
      </c>
      <c r="AU41">
        <v>0</v>
      </c>
      <c r="AV41">
        <v>0</v>
      </c>
      <c r="AW41">
        <v>0</v>
      </c>
      <c r="AX41">
        <v>173.12</v>
      </c>
      <c r="AY41" t="s">
        <v>220</v>
      </c>
      <c r="AZ41" t="s">
        <v>220</v>
      </c>
      <c r="BA41" t="s">
        <v>220</v>
      </c>
      <c r="BB41" t="s">
        <v>220</v>
      </c>
      <c r="BC41">
        <v>0</v>
      </c>
      <c r="BD41">
        <v>0</v>
      </c>
      <c r="BE41" t="s">
        <v>228</v>
      </c>
      <c r="BF41">
        <v>0</v>
      </c>
      <c r="BG41">
        <v>0</v>
      </c>
      <c r="BH41" t="s">
        <v>220</v>
      </c>
      <c r="BI41" t="s">
        <v>220</v>
      </c>
      <c r="BJ41" t="s">
        <v>220</v>
      </c>
      <c r="BK41" t="s">
        <v>220</v>
      </c>
      <c r="BL41" t="s">
        <v>220</v>
      </c>
      <c r="BM41" t="s">
        <v>346</v>
      </c>
      <c r="BN41" t="s">
        <v>220</v>
      </c>
      <c r="BO41" t="s">
        <v>220</v>
      </c>
      <c r="BP41" t="s">
        <v>220</v>
      </c>
      <c r="BQ41">
        <v>0</v>
      </c>
      <c r="BR41" t="s">
        <v>220</v>
      </c>
      <c r="BS41" t="s">
        <v>220</v>
      </c>
      <c r="BT41" t="s">
        <v>220</v>
      </c>
      <c r="BU41" t="s">
        <v>220</v>
      </c>
      <c r="BV41" t="s">
        <v>220</v>
      </c>
      <c r="BW41" t="s">
        <v>220</v>
      </c>
      <c r="BX41" t="s">
        <v>123</v>
      </c>
      <c r="BY41" t="s">
        <v>273</v>
      </c>
      <c r="BZ41" t="s">
        <v>336</v>
      </c>
      <c r="CA41" t="s">
        <v>232</v>
      </c>
    </row>
    <row r="42" spans="1:79" hidden="1" x14ac:dyDescent="0.3">
      <c r="A42" t="s">
        <v>345</v>
      </c>
      <c r="B42">
        <v>3702</v>
      </c>
      <c r="C42" t="s">
        <v>220</v>
      </c>
      <c r="D42" t="s">
        <v>334</v>
      </c>
      <c r="E42">
        <v>54</v>
      </c>
      <c r="F42" t="s">
        <v>238</v>
      </c>
      <c r="G42">
        <v>0</v>
      </c>
      <c r="H42">
        <v>15</v>
      </c>
      <c r="I42">
        <v>105</v>
      </c>
      <c r="J42">
        <v>7</v>
      </c>
      <c r="K42" t="s">
        <v>220</v>
      </c>
      <c r="L42" t="s">
        <v>220</v>
      </c>
      <c r="M42" t="b">
        <v>0</v>
      </c>
      <c r="N42" t="s">
        <v>220</v>
      </c>
      <c r="O42" t="b">
        <v>0</v>
      </c>
      <c r="P42" s="74">
        <v>45864.88958333333</v>
      </c>
      <c r="Q42" t="s">
        <v>220</v>
      </c>
      <c r="R42" t="s">
        <v>220</v>
      </c>
      <c r="S42" t="s">
        <v>220</v>
      </c>
      <c r="T42" t="s">
        <v>220</v>
      </c>
      <c r="U42" t="s">
        <v>220</v>
      </c>
      <c r="V42" t="s">
        <v>220</v>
      </c>
      <c r="W42" t="s">
        <v>220</v>
      </c>
      <c r="X42" t="s">
        <v>220</v>
      </c>
      <c r="Y42" t="s">
        <v>220</v>
      </c>
      <c r="Z42" t="s">
        <v>220</v>
      </c>
      <c r="AA42" t="s">
        <v>220</v>
      </c>
      <c r="AB42" t="s">
        <v>220</v>
      </c>
      <c r="AC42" t="s">
        <v>220</v>
      </c>
      <c r="AD42" t="s">
        <v>220</v>
      </c>
      <c r="AE42" t="s">
        <v>220</v>
      </c>
      <c r="AF42" t="s">
        <v>220</v>
      </c>
      <c r="AG42" t="s">
        <v>220</v>
      </c>
      <c r="AH42" t="s">
        <v>220</v>
      </c>
      <c r="AI42" t="s">
        <v>220</v>
      </c>
      <c r="AJ42" t="s">
        <v>220</v>
      </c>
      <c r="AK42" t="s">
        <v>220</v>
      </c>
      <c r="AL42" t="s">
        <v>220</v>
      </c>
      <c r="AM42" t="s">
        <v>220</v>
      </c>
      <c r="AN42" t="s">
        <v>223</v>
      </c>
      <c r="AO42" t="s">
        <v>220</v>
      </c>
      <c r="AP42" t="s">
        <v>224</v>
      </c>
      <c r="AQ42" t="s">
        <v>225</v>
      </c>
      <c r="AR42" t="s">
        <v>226</v>
      </c>
      <c r="AS42" t="s">
        <v>227</v>
      </c>
      <c r="AT42">
        <v>173.12</v>
      </c>
      <c r="AU42">
        <v>0</v>
      </c>
      <c r="AV42">
        <v>0</v>
      </c>
      <c r="AW42">
        <v>0</v>
      </c>
      <c r="AX42">
        <v>173.12</v>
      </c>
      <c r="AY42" t="s">
        <v>220</v>
      </c>
      <c r="AZ42" t="s">
        <v>220</v>
      </c>
      <c r="BA42" t="s">
        <v>220</v>
      </c>
      <c r="BB42" t="s">
        <v>220</v>
      </c>
      <c r="BC42">
        <v>0</v>
      </c>
      <c r="BD42">
        <v>0</v>
      </c>
      <c r="BE42" t="s">
        <v>228</v>
      </c>
      <c r="BF42">
        <v>0</v>
      </c>
      <c r="BG42">
        <v>0</v>
      </c>
      <c r="BH42" t="s">
        <v>220</v>
      </c>
      <c r="BI42" t="s">
        <v>220</v>
      </c>
      <c r="BJ42" t="s">
        <v>220</v>
      </c>
      <c r="BK42" t="s">
        <v>220</v>
      </c>
      <c r="BL42" t="s">
        <v>220</v>
      </c>
      <c r="BM42" t="s">
        <v>346</v>
      </c>
      <c r="BN42" t="s">
        <v>220</v>
      </c>
      <c r="BO42" t="s">
        <v>220</v>
      </c>
      <c r="BP42" t="s">
        <v>220</v>
      </c>
      <c r="BQ42">
        <v>0</v>
      </c>
      <c r="BR42" t="s">
        <v>220</v>
      </c>
      <c r="BS42" t="s">
        <v>220</v>
      </c>
      <c r="BT42" t="s">
        <v>220</v>
      </c>
      <c r="BU42" t="s">
        <v>220</v>
      </c>
      <c r="BV42" t="s">
        <v>220</v>
      </c>
      <c r="BW42" t="s">
        <v>220</v>
      </c>
      <c r="BX42" t="s">
        <v>123</v>
      </c>
      <c r="BY42" t="s">
        <v>273</v>
      </c>
      <c r="BZ42" t="s">
        <v>336</v>
      </c>
      <c r="CA42" t="s">
        <v>232</v>
      </c>
    </row>
    <row r="43" spans="1:79" hidden="1" x14ac:dyDescent="0.3">
      <c r="A43" t="s">
        <v>347</v>
      </c>
      <c r="B43">
        <v>3703</v>
      </c>
      <c r="C43" t="s">
        <v>220</v>
      </c>
      <c r="D43" t="s">
        <v>291</v>
      </c>
      <c r="E43">
        <v>8</v>
      </c>
      <c r="F43" t="s">
        <v>240</v>
      </c>
      <c r="G43">
        <v>0</v>
      </c>
      <c r="H43">
        <v>68.12</v>
      </c>
      <c r="I43">
        <v>68.12</v>
      </c>
      <c r="J43">
        <v>1</v>
      </c>
      <c r="K43" t="s">
        <v>220</v>
      </c>
      <c r="L43" t="s">
        <v>220</v>
      </c>
      <c r="M43" t="b">
        <v>0</v>
      </c>
      <c r="N43" t="s">
        <v>220</v>
      </c>
      <c r="O43" t="b">
        <v>0</v>
      </c>
      <c r="P43" s="74">
        <v>45864.890972222223</v>
      </c>
      <c r="Q43" t="s">
        <v>220</v>
      </c>
      <c r="R43" t="s">
        <v>220</v>
      </c>
      <c r="S43" t="s">
        <v>220</v>
      </c>
      <c r="T43" t="s">
        <v>220</v>
      </c>
      <c r="U43" t="s">
        <v>220</v>
      </c>
      <c r="V43" t="s">
        <v>220</v>
      </c>
      <c r="W43" t="s">
        <v>220</v>
      </c>
      <c r="X43" t="s">
        <v>220</v>
      </c>
      <c r="Y43" t="s">
        <v>220</v>
      </c>
      <c r="Z43" t="s">
        <v>220</v>
      </c>
      <c r="AA43" t="s">
        <v>220</v>
      </c>
      <c r="AB43" t="s">
        <v>220</v>
      </c>
      <c r="AC43" t="s">
        <v>220</v>
      </c>
      <c r="AD43" t="s">
        <v>220</v>
      </c>
      <c r="AE43" t="s">
        <v>220</v>
      </c>
      <c r="AF43" t="s">
        <v>220</v>
      </c>
      <c r="AG43" t="s">
        <v>220</v>
      </c>
      <c r="AH43" t="s">
        <v>220</v>
      </c>
      <c r="AI43" t="s">
        <v>220</v>
      </c>
      <c r="AJ43" t="s">
        <v>220</v>
      </c>
      <c r="AK43" t="s">
        <v>220</v>
      </c>
      <c r="AL43" t="s">
        <v>220</v>
      </c>
      <c r="AM43" t="s">
        <v>220</v>
      </c>
      <c r="AN43" t="s">
        <v>223</v>
      </c>
      <c r="AO43" t="s">
        <v>220</v>
      </c>
      <c r="AP43" t="s">
        <v>224</v>
      </c>
      <c r="AQ43" t="s">
        <v>225</v>
      </c>
      <c r="AR43" t="s">
        <v>226</v>
      </c>
      <c r="AS43" t="s">
        <v>227</v>
      </c>
      <c r="AT43">
        <v>68.12</v>
      </c>
      <c r="AU43">
        <v>0</v>
      </c>
      <c r="AV43">
        <v>0</v>
      </c>
      <c r="AW43">
        <v>0</v>
      </c>
      <c r="AX43">
        <v>68.12</v>
      </c>
      <c r="AY43" t="s">
        <v>220</v>
      </c>
      <c r="AZ43" t="s">
        <v>220</v>
      </c>
      <c r="BA43" t="s">
        <v>220</v>
      </c>
      <c r="BB43" t="s">
        <v>220</v>
      </c>
      <c r="BC43">
        <v>0</v>
      </c>
      <c r="BD43">
        <v>0</v>
      </c>
      <c r="BE43" t="s">
        <v>228</v>
      </c>
      <c r="BF43">
        <v>0</v>
      </c>
      <c r="BG43">
        <v>0</v>
      </c>
      <c r="BH43" t="s">
        <v>220</v>
      </c>
      <c r="BI43" t="s">
        <v>220</v>
      </c>
      <c r="BJ43" t="s">
        <v>220</v>
      </c>
      <c r="BK43" t="s">
        <v>220</v>
      </c>
      <c r="BL43" t="s">
        <v>220</v>
      </c>
      <c r="BM43" t="s">
        <v>348</v>
      </c>
      <c r="BN43" t="s">
        <v>220</v>
      </c>
      <c r="BO43" t="s">
        <v>220</v>
      </c>
      <c r="BP43" t="s">
        <v>220</v>
      </c>
      <c r="BQ43">
        <v>0</v>
      </c>
      <c r="BR43" t="s">
        <v>220</v>
      </c>
      <c r="BS43" t="s">
        <v>220</v>
      </c>
      <c r="BT43" t="s">
        <v>220</v>
      </c>
      <c r="BU43" t="s">
        <v>220</v>
      </c>
      <c r="BV43" t="s">
        <v>220</v>
      </c>
      <c r="BW43" t="s">
        <v>220</v>
      </c>
      <c r="BX43" t="s">
        <v>120</v>
      </c>
      <c r="BY43" t="s">
        <v>273</v>
      </c>
      <c r="BZ43" t="s">
        <v>294</v>
      </c>
      <c r="CA43" t="s">
        <v>232</v>
      </c>
    </row>
    <row r="44" spans="1:79" hidden="1" x14ac:dyDescent="0.3">
      <c r="A44" t="s">
        <v>349</v>
      </c>
      <c r="B44">
        <v>3701</v>
      </c>
      <c r="C44" t="s">
        <v>220</v>
      </c>
      <c r="D44" t="s">
        <v>245</v>
      </c>
      <c r="E44">
        <v>0</v>
      </c>
      <c r="F44" t="s">
        <v>246</v>
      </c>
      <c r="G44">
        <v>0</v>
      </c>
      <c r="H44">
        <v>8</v>
      </c>
      <c r="I44">
        <v>168</v>
      </c>
      <c r="J44">
        <v>21</v>
      </c>
      <c r="K44" t="s">
        <v>220</v>
      </c>
      <c r="L44" t="s">
        <v>220</v>
      </c>
      <c r="M44" t="b">
        <v>0</v>
      </c>
      <c r="N44" t="s">
        <v>220</v>
      </c>
      <c r="O44" t="b">
        <v>0</v>
      </c>
      <c r="P44" s="74">
        <v>45864.877083333333</v>
      </c>
      <c r="Q44" t="s">
        <v>220</v>
      </c>
      <c r="R44" t="s">
        <v>220</v>
      </c>
      <c r="S44" t="s">
        <v>220</v>
      </c>
      <c r="T44" t="s">
        <v>220</v>
      </c>
      <c r="U44" t="s">
        <v>220</v>
      </c>
      <c r="V44" t="s">
        <v>220</v>
      </c>
      <c r="W44" t="s">
        <v>220</v>
      </c>
      <c r="X44" t="s">
        <v>220</v>
      </c>
      <c r="Y44" t="s">
        <v>220</v>
      </c>
      <c r="Z44" t="s">
        <v>220</v>
      </c>
      <c r="AA44" t="s">
        <v>220</v>
      </c>
      <c r="AB44" t="s">
        <v>220</v>
      </c>
      <c r="AC44" t="s">
        <v>220</v>
      </c>
      <c r="AD44" t="s">
        <v>220</v>
      </c>
      <c r="AE44" t="s">
        <v>220</v>
      </c>
      <c r="AF44" t="s">
        <v>220</v>
      </c>
      <c r="AG44" t="s">
        <v>220</v>
      </c>
      <c r="AH44" t="s">
        <v>220</v>
      </c>
      <c r="AI44" t="s">
        <v>220</v>
      </c>
      <c r="AJ44" t="s">
        <v>220</v>
      </c>
      <c r="AK44" t="s">
        <v>220</v>
      </c>
      <c r="AL44" t="s">
        <v>220</v>
      </c>
      <c r="AM44" t="s">
        <v>220</v>
      </c>
      <c r="AN44" t="s">
        <v>223</v>
      </c>
      <c r="AO44" t="s">
        <v>220</v>
      </c>
      <c r="AP44" t="s">
        <v>224</v>
      </c>
      <c r="AQ44" t="s">
        <v>225</v>
      </c>
      <c r="AR44" t="s">
        <v>226</v>
      </c>
      <c r="AS44" t="s">
        <v>227</v>
      </c>
      <c r="AT44">
        <v>236.12</v>
      </c>
      <c r="AU44">
        <v>0</v>
      </c>
      <c r="AV44">
        <v>0</v>
      </c>
      <c r="AW44">
        <v>0</v>
      </c>
      <c r="AX44">
        <v>236.12</v>
      </c>
      <c r="AY44" t="s">
        <v>220</v>
      </c>
      <c r="AZ44" t="s">
        <v>220</v>
      </c>
      <c r="BA44" t="s">
        <v>220</v>
      </c>
      <c r="BB44" t="s">
        <v>220</v>
      </c>
      <c r="BC44">
        <v>0</v>
      </c>
      <c r="BD44">
        <v>0</v>
      </c>
      <c r="BE44" t="s">
        <v>228</v>
      </c>
      <c r="BF44">
        <v>0</v>
      </c>
      <c r="BG44">
        <v>0</v>
      </c>
      <c r="BH44" t="s">
        <v>220</v>
      </c>
      <c r="BI44" t="s">
        <v>220</v>
      </c>
      <c r="BJ44" t="s">
        <v>220</v>
      </c>
      <c r="BK44" t="s">
        <v>220</v>
      </c>
      <c r="BL44" t="s">
        <v>220</v>
      </c>
      <c r="BM44" t="s">
        <v>247</v>
      </c>
      <c r="BN44" t="s">
        <v>220</v>
      </c>
      <c r="BO44" t="s">
        <v>220</v>
      </c>
      <c r="BP44" t="s">
        <v>220</v>
      </c>
      <c r="BQ44">
        <v>0</v>
      </c>
      <c r="BR44" t="s">
        <v>220</v>
      </c>
      <c r="BS44" t="s">
        <v>220</v>
      </c>
      <c r="BT44" t="s">
        <v>220</v>
      </c>
      <c r="BU44" t="s">
        <v>220</v>
      </c>
      <c r="BV44" t="s">
        <v>220</v>
      </c>
      <c r="BW44" t="s">
        <v>220</v>
      </c>
      <c r="BX44" t="s">
        <v>4</v>
      </c>
      <c r="BY44" t="s">
        <v>273</v>
      </c>
      <c r="BZ44" t="s">
        <v>248</v>
      </c>
      <c r="CA44" t="s">
        <v>232</v>
      </c>
    </row>
    <row r="45" spans="1:79" hidden="1" x14ac:dyDescent="0.3">
      <c r="A45" t="s">
        <v>349</v>
      </c>
      <c r="B45">
        <v>3701</v>
      </c>
      <c r="C45" t="s">
        <v>220</v>
      </c>
      <c r="D45" t="s">
        <v>245</v>
      </c>
      <c r="E45">
        <v>8</v>
      </c>
      <c r="F45" t="s">
        <v>240</v>
      </c>
      <c r="G45">
        <v>0</v>
      </c>
      <c r="H45">
        <v>68.12</v>
      </c>
      <c r="I45">
        <v>68.12</v>
      </c>
      <c r="J45">
        <v>1</v>
      </c>
      <c r="K45" t="s">
        <v>220</v>
      </c>
      <c r="L45" t="s">
        <v>220</v>
      </c>
      <c r="M45" t="b">
        <v>0</v>
      </c>
      <c r="N45" t="s">
        <v>220</v>
      </c>
      <c r="O45" t="b">
        <v>0</v>
      </c>
      <c r="P45" s="74">
        <v>45864.877083333333</v>
      </c>
      <c r="Q45" t="s">
        <v>220</v>
      </c>
      <c r="R45" t="s">
        <v>220</v>
      </c>
      <c r="S45" t="s">
        <v>220</v>
      </c>
      <c r="T45" t="s">
        <v>220</v>
      </c>
      <c r="U45" t="s">
        <v>220</v>
      </c>
      <c r="V45" t="s">
        <v>220</v>
      </c>
      <c r="W45" t="s">
        <v>220</v>
      </c>
      <c r="X45" t="s">
        <v>220</v>
      </c>
      <c r="Y45" t="s">
        <v>220</v>
      </c>
      <c r="Z45" t="s">
        <v>220</v>
      </c>
      <c r="AA45" t="s">
        <v>220</v>
      </c>
      <c r="AB45" t="s">
        <v>220</v>
      </c>
      <c r="AC45" t="s">
        <v>220</v>
      </c>
      <c r="AD45" t="s">
        <v>220</v>
      </c>
      <c r="AE45" t="s">
        <v>220</v>
      </c>
      <c r="AF45" t="s">
        <v>220</v>
      </c>
      <c r="AG45" t="s">
        <v>220</v>
      </c>
      <c r="AH45" t="s">
        <v>220</v>
      </c>
      <c r="AI45" t="s">
        <v>220</v>
      </c>
      <c r="AJ45" t="s">
        <v>220</v>
      </c>
      <c r="AK45" t="s">
        <v>220</v>
      </c>
      <c r="AL45" t="s">
        <v>220</v>
      </c>
      <c r="AM45" t="s">
        <v>220</v>
      </c>
      <c r="AN45" t="s">
        <v>223</v>
      </c>
      <c r="AO45" t="s">
        <v>220</v>
      </c>
      <c r="AP45" t="s">
        <v>224</v>
      </c>
      <c r="AQ45" t="s">
        <v>225</v>
      </c>
      <c r="AR45" t="s">
        <v>226</v>
      </c>
      <c r="AS45" t="s">
        <v>227</v>
      </c>
      <c r="AT45">
        <v>236.12</v>
      </c>
      <c r="AU45">
        <v>0</v>
      </c>
      <c r="AV45">
        <v>0</v>
      </c>
      <c r="AW45">
        <v>0</v>
      </c>
      <c r="AX45">
        <v>236.12</v>
      </c>
      <c r="AY45" t="s">
        <v>220</v>
      </c>
      <c r="AZ45" t="s">
        <v>220</v>
      </c>
      <c r="BA45" t="s">
        <v>220</v>
      </c>
      <c r="BB45" t="s">
        <v>220</v>
      </c>
      <c r="BC45">
        <v>0</v>
      </c>
      <c r="BD45">
        <v>0</v>
      </c>
      <c r="BE45" t="s">
        <v>228</v>
      </c>
      <c r="BF45">
        <v>0</v>
      </c>
      <c r="BG45">
        <v>0</v>
      </c>
      <c r="BH45" t="s">
        <v>220</v>
      </c>
      <c r="BI45" t="s">
        <v>220</v>
      </c>
      <c r="BJ45" t="s">
        <v>220</v>
      </c>
      <c r="BK45" t="s">
        <v>220</v>
      </c>
      <c r="BL45" t="s">
        <v>220</v>
      </c>
      <c r="BM45" t="s">
        <v>247</v>
      </c>
      <c r="BN45" t="s">
        <v>220</v>
      </c>
      <c r="BO45" t="s">
        <v>220</v>
      </c>
      <c r="BP45" t="s">
        <v>220</v>
      </c>
      <c r="BQ45">
        <v>0</v>
      </c>
      <c r="BR45" t="s">
        <v>220</v>
      </c>
      <c r="BS45" t="s">
        <v>220</v>
      </c>
      <c r="BT45" t="s">
        <v>220</v>
      </c>
      <c r="BU45" t="s">
        <v>220</v>
      </c>
      <c r="BV45" t="s">
        <v>220</v>
      </c>
      <c r="BW45" t="s">
        <v>220</v>
      </c>
      <c r="BX45" t="s">
        <v>4</v>
      </c>
      <c r="BY45" t="s">
        <v>273</v>
      </c>
      <c r="BZ45" t="s">
        <v>248</v>
      </c>
      <c r="CA45" t="s">
        <v>232</v>
      </c>
    </row>
    <row r="46" spans="1:79" hidden="1" x14ac:dyDescent="0.3">
      <c r="A46" t="s">
        <v>350</v>
      </c>
      <c r="B46">
        <v>3704</v>
      </c>
      <c r="C46" t="s">
        <v>220</v>
      </c>
      <c r="D46" t="s">
        <v>242</v>
      </c>
      <c r="E46">
        <v>40</v>
      </c>
      <c r="F46" t="s">
        <v>241</v>
      </c>
      <c r="G46">
        <v>0</v>
      </c>
      <c r="H46">
        <v>16</v>
      </c>
      <c r="I46">
        <v>16</v>
      </c>
      <c r="J46">
        <v>1</v>
      </c>
      <c r="K46" t="s">
        <v>220</v>
      </c>
      <c r="L46" t="s">
        <v>220</v>
      </c>
      <c r="M46" t="b">
        <v>0</v>
      </c>
      <c r="N46" t="s">
        <v>220</v>
      </c>
      <c r="O46" t="b">
        <v>0</v>
      </c>
      <c r="P46" s="74">
        <v>45865.468055555553</v>
      </c>
      <c r="Q46" t="s">
        <v>220</v>
      </c>
      <c r="R46" t="s">
        <v>220</v>
      </c>
      <c r="S46" t="s">
        <v>220</v>
      </c>
      <c r="T46" t="s">
        <v>220</v>
      </c>
      <c r="U46" t="s">
        <v>220</v>
      </c>
      <c r="V46" t="s">
        <v>220</v>
      </c>
      <c r="W46" t="s">
        <v>220</v>
      </c>
      <c r="X46" t="s">
        <v>220</v>
      </c>
      <c r="Y46" t="s">
        <v>220</v>
      </c>
      <c r="Z46" t="s">
        <v>220</v>
      </c>
      <c r="AA46" t="s">
        <v>220</v>
      </c>
      <c r="AB46" t="s">
        <v>220</v>
      </c>
      <c r="AC46" t="s">
        <v>220</v>
      </c>
      <c r="AD46" t="s">
        <v>220</v>
      </c>
      <c r="AE46" t="s">
        <v>220</v>
      </c>
      <c r="AF46" t="s">
        <v>220</v>
      </c>
      <c r="AG46" t="s">
        <v>220</v>
      </c>
      <c r="AH46" t="s">
        <v>220</v>
      </c>
      <c r="AI46" t="s">
        <v>220</v>
      </c>
      <c r="AJ46" t="s">
        <v>220</v>
      </c>
      <c r="AK46" t="s">
        <v>220</v>
      </c>
      <c r="AL46" t="s">
        <v>220</v>
      </c>
      <c r="AM46" t="s">
        <v>220</v>
      </c>
      <c r="AN46" t="s">
        <v>223</v>
      </c>
      <c r="AO46" t="s">
        <v>220</v>
      </c>
      <c r="AP46" t="s">
        <v>224</v>
      </c>
      <c r="AQ46" t="s">
        <v>225</v>
      </c>
      <c r="AR46" t="s">
        <v>226</v>
      </c>
      <c r="AS46" t="s">
        <v>227</v>
      </c>
      <c r="AT46">
        <v>16</v>
      </c>
      <c r="AU46">
        <v>0</v>
      </c>
      <c r="AV46">
        <v>0</v>
      </c>
      <c r="AW46">
        <v>0</v>
      </c>
      <c r="AX46">
        <v>16</v>
      </c>
      <c r="AY46" t="s">
        <v>220</v>
      </c>
      <c r="AZ46" t="s">
        <v>220</v>
      </c>
      <c r="BA46" t="s">
        <v>220</v>
      </c>
      <c r="BB46" t="s">
        <v>220</v>
      </c>
      <c r="BC46">
        <v>0</v>
      </c>
      <c r="BD46">
        <v>0</v>
      </c>
      <c r="BE46" t="s">
        <v>228</v>
      </c>
      <c r="BF46">
        <v>0</v>
      </c>
      <c r="BG46">
        <v>0</v>
      </c>
      <c r="BH46" t="s">
        <v>220</v>
      </c>
      <c r="BI46" t="s">
        <v>220</v>
      </c>
      <c r="BJ46" t="s">
        <v>220</v>
      </c>
      <c r="BK46" t="s">
        <v>220</v>
      </c>
      <c r="BL46" t="s">
        <v>220</v>
      </c>
      <c r="BM46" t="s">
        <v>346</v>
      </c>
      <c r="BN46" t="s">
        <v>220</v>
      </c>
      <c r="BO46" t="s">
        <v>220</v>
      </c>
      <c r="BP46" t="s">
        <v>220</v>
      </c>
      <c r="BQ46">
        <v>0</v>
      </c>
      <c r="BR46" t="s">
        <v>220</v>
      </c>
      <c r="BS46" t="s">
        <v>220</v>
      </c>
      <c r="BT46" t="s">
        <v>220</v>
      </c>
      <c r="BU46" t="s">
        <v>220</v>
      </c>
      <c r="BV46" t="s">
        <v>220</v>
      </c>
      <c r="BW46" t="s">
        <v>220</v>
      </c>
      <c r="BX46" t="s">
        <v>123</v>
      </c>
      <c r="BY46" t="s">
        <v>274</v>
      </c>
      <c r="BZ46" t="s">
        <v>243</v>
      </c>
      <c r="CA46" t="s">
        <v>232</v>
      </c>
    </row>
    <row r="47" spans="1:79" hidden="1" x14ac:dyDescent="0.3">
      <c r="A47" t="s">
        <v>351</v>
      </c>
      <c r="B47">
        <v>3705</v>
      </c>
      <c r="C47" t="s">
        <v>220</v>
      </c>
      <c r="D47" t="s">
        <v>281</v>
      </c>
      <c r="E47">
        <v>33</v>
      </c>
      <c r="F47" t="s">
        <v>279</v>
      </c>
      <c r="G47">
        <v>0</v>
      </c>
      <c r="H47">
        <v>21</v>
      </c>
      <c r="I47">
        <v>21</v>
      </c>
      <c r="J47">
        <v>1</v>
      </c>
      <c r="K47" t="s">
        <v>220</v>
      </c>
      <c r="L47" t="s">
        <v>220</v>
      </c>
      <c r="M47" t="b">
        <v>0</v>
      </c>
      <c r="N47" t="s">
        <v>220</v>
      </c>
      <c r="O47" t="b">
        <v>0</v>
      </c>
      <c r="P47" s="74">
        <v>45865.540972222225</v>
      </c>
      <c r="Q47" t="s">
        <v>220</v>
      </c>
      <c r="R47" t="s">
        <v>220</v>
      </c>
      <c r="S47" t="s">
        <v>220</v>
      </c>
      <c r="T47" t="s">
        <v>220</v>
      </c>
      <c r="U47" t="s">
        <v>220</v>
      </c>
      <c r="V47" t="s">
        <v>220</v>
      </c>
      <c r="W47" t="s">
        <v>220</v>
      </c>
      <c r="X47" t="s">
        <v>220</v>
      </c>
      <c r="Y47" t="s">
        <v>220</v>
      </c>
      <c r="Z47" t="s">
        <v>220</v>
      </c>
      <c r="AA47" t="s">
        <v>220</v>
      </c>
      <c r="AB47" t="s">
        <v>220</v>
      </c>
      <c r="AC47" t="s">
        <v>220</v>
      </c>
      <c r="AD47" t="s">
        <v>220</v>
      </c>
      <c r="AE47" t="s">
        <v>220</v>
      </c>
      <c r="AF47" t="s">
        <v>220</v>
      </c>
      <c r="AG47" t="s">
        <v>220</v>
      </c>
      <c r="AH47" t="s">
        <v>220</v>
      </c>
      <c r="AI47" t="s">
        <v>220</v>
      </c>
      <c r="AJ47" t="s">
        <v>220</v>
      </c>
      <c r="AK47" t="s">
        <v>220</v>
      </c>
      <c r="AL47" t="s">
        <v>220</v>
      </c>
      <c r="AM47" t="s">
        <v>220</v>
      </c>
      <c r="AN47" t="s">
        <v>223</v>
      </c>
      <c r="AO47" t="s">
        <v>220</v>
      </c>
      <c r="AP47" t="s">
        <v>224</v>
      </c>
      <c r="AQ47" t="s">
        <v>225</v>
      </c>
      <c r="AR47" t="s">
        <v>226</v>
      </c>
      <c r="AS47" t="s">
        <v>227</v>
      </c>
      <c r="AT47">
        <v>127.86</v>
      </c>
      <c r="AU47">
        <v>0</v>
      </c>
      <c r="AV47">
        <v>0</v>
      </c>
      <c r="AW47">
        <v>0</v>
      </c>
      <c r="AX47">
        <v>127.86</v>
      </c>
      <c r="AY47" t="s">
        <v>220</v>
      </c>
      <c r="AZ47" t="s">
        <v>220</v>
      </c>
      <c r="BA47" t="s">
        <v>220</v>
      </c>
      <c r="BB47" t="s">
        <v>220</v>
      </c>
      <c r="BC47">
        <v>0</v>
      </c>
      <c r="BD47">
        <v>0</v>
      </c>
      <c r="BE47" t="s">
        <v>228</v>
      </c>
      <c r="BF47">
        <v>0</v>
      </c>
      <c r="BG47">
        <v>0</v>
      </c>
      <c r="BH47" t="s">
        <v>220</v>
      </c>
      <c r="BI47" t="s">
        <v>220</v>
      </c>
      <c r="BJ47" t="s">
        <v>220</v>
      </c>
      <c r="BK47" t="s">
        <v>220</v>
      </c>
      <c r="BL47" t="s">
        <v>220</v>
      </c>
      <c r="BM47" t="s">
        <v>280</v>
      </c>
      <c r="BN47" t="s">
        <v>220</v>
      </c>
      <c r="BO47" t="s">
        <v>220</v>
      </c>
      <c r="BP47" t="s">
        <v>220</v>
      </c>
      <c r="BQ47">
        <v>0</v>
      </c>
      <c r="BR47" t="s">
        <v>220</v>
      </c>
      <c r="BS47" t="s">
        <v>220</v>
      </c>
      <c r="BT47" t="s">
        <v>220</v>
      </c>
      <c r="BU47" t="s">
        <v>220</v>
      </c>
      <c r="BV47" t="s">
        <v>220</v>
      </c>
      <c r="BW47" t="s">
        <v>220</v>
      </c>
      <c r="BX47" t="s">
        <v>122</v>
      </c>
      <c r="BY47" t="s">
        <v>274</v>
      </c>
      <c r="BZ47" t="s">
        <v>352</v>
      </c>
      <c r="CA47" t="s">
        <v>232</v>
      </c>
    </row>
    <row r="48" spans="1:79" hidden="1" x14ac:dyDescent="0.3">
      <c r="A48" t="s">
        <v>351</v>
      </c>
      <c r="B48">
        <v>3705</v>
      </c>
      <c r="C48" t="s">
        <v>220</v>
      </c>
      <c r="D48" t="s">
        <v>281</v>
      </c>
      <c r="E48">
        <v>37</v>
      </c>
      <c r="F48" t="s">
        <v>222</v>
      </c>
      <c r="G48">
        <v>0</v>
      </c>
      <c r="H48">
        <v>6.5</v>
      </c>
      <c r="I48">
        <v>13</v>
      </c>
      <c r="J48">
        <v>2</v>
      </c>
      <c r="K48" t="s">
        <v>220</v>
      </c>
      <c r="L48" t="s">
        <v>220</v>
      </c>
      <c r="M48" t="b">
        <v>0</v>
      </c>
      <c r="N48" t="s">
        <v>220</v>
      </c>
      <c r="O48" t="b">
        <v>0</v>
      </c>
      <c r="P48" s="74">
        <v>45865.540972222225</v>
      </c>
      <c r="Q48" t="s">
        <v>220</v>
      </c>
      <c r="R48" t="s">
        <v>220</v>
      </c>
      <c r="S48" t="s">
        <v>220</v>
      </c>
      <c r="T48" t="s">
        <v>220</v>
      </c>
      <c r="U48" t="s">
        <v>220</v>
      </c>
      <c r="V48" t="s">
        <v>220</v>
      </c>
      <c r="W48" t="s">
        <v>220</v>
      </c>
      <c r="X48" t="s">
        <v>220</v>
      </c>
      <c r="Y48" t="s">
        <v>220</v>
      </c>
      <c r="Z48" t="s">
        <v>220</v>
      </c>
      <c r="AA48" t="s">
        <v>220</v>
      </c>
      <c r="AB48" t="s">
        <v>220</v>
      </c>
      <c r="AC48" t="s">
        <v>220</v>
      </c>
      <c r="AD48" t="s">
        <v>220</v>
      </c>
      <c r="AE48" t="s">
        <v>220</v>
      </c>
      <c r="AF48" t="s">
        <v>220</v>
      </c>
      <c r="AG48" t="s">
        <v>220</v>
      </c>
      <c r="AH48" t="s">
        <v>220</v>
      </c>
      <c r="AI48" t="s">
        <v>220</v>
      </c>
      <c r="AJ48" t="s">
        <v>220</v>
      </c>
      <c r="AK48" t="s">
        <v>220</v>
      </c>
      <c r="AL48" t="s">
        <v>220</v>
      </c>
      <c r="AM48" t="s">
        <v>220</v>
      </c>
      <c r="AN48" t="s">
        <v>223</v>
      </c>
      <c r="AO48" t="s">
        <v>220</v>
      </c>
      <c r="AP48" t="s">
        <v>224</v>
      </c>
      <c r="AQ48" t="s">
        <v>225</v>
      </c>
      <c r="AR48" t="s">
        <v>226</v>
      </c>
      <c r="AS48" t="s">
        <v>227</v>
      </c>
      <c r="AT48">
        <v>127.86</v>
      </c>
      <c r="AU48">
        <v>0</v>
      </c>
      <c r="AV48">
        <v>0</v>
      </c>
      <c r="AW48">
        <v>0</v>
      </c>
      <c r="AX48">
        <v>127.86</v>
      </c>
      <c r="AY48" t="s">
        <v>220</v>
      </c>
      <c r="AZ48" t="s">
        <v>220</v>
      </c>
      <c r="BA48" t="s">
        <v>220</v>
      </c>
      <c r="BB48" t="s">
        <v>220</v>
      </c>
      <c r="BC48">
        <v>0</v>
      </c>
      <c r="BD48">
        <v>0</v>
      </c>
      <c r="BE48" t="s">
        <v>228</v>
      </c>
      <c r="BF48">
        <v>0</v>
      </c>
      <c r="BG48">
        <v>0</v>
      </c>
      <c r="BH48" t="s">
        <v>220</v>
      </c>
      <c r="BI48" t="s">
        <v>220</v>
      </c>
      <c r="BJ48" t="s">
        <v>220</v>
      </c>
      <c r="BK48" t="s">
        <v>220</v>
      </c>
      <c r="BL48" t="s">
        <v>220</v>
      </c>
      <c r="BM48" t="s">
        <v>280</v>
      </c>
      <c r="BN48" t="s">
        <v>220</v>
      </c>
      <c r="BO48" t="s">
        <v>220</v>
      </c>
      <c r="BP48" t="s">
        <v>220</v>
      </c>
      <c r="BQ48">
        <v>0</v>
      </c>
      <c r="BR48" t="s">
        <v>220</v>
      </c>
      <c r="BS48" t="s">
        <v>220</v>
      </c>
      <c r="BT48" t="s">
        <v>220</v>
      </c>
      <c r="BU48" t="s">
        <v>220</v>
      </c>
      <c r="BV48" t="s">
        <v>220</v>
      </c>
      <c r="BW48" t="s">
        <v>220</v>
      </c>
      <c r="BX48" t="s">
        <v>122</v>
      </c>
      <c r="BY48" t="s">
        <v>274</v>
      </c>
      <c r="BZ48" t="s">
        <v>352</v>
      </c>
      <c r="CA48" t="s">
        <v>232</v>
      </c>
    </row>
    <row r="49" spans="1:79" hidden="1" x14ac:dyDescent="0.3">
      <c r="A49" t="s">
        <v>351</v>
      </c>
      <c r="B49">
        <v>3705</v>
      </c>
      <c r="C49" t="s">
        <v>220</v>
      </c>
      <c r="D49" t="s">
        <v>281</v>
      </c>
      <c r="E49">
        <v>40</v>
      </c>
      <c r="F49" t="s">
        <v>241</v>
      </c>
      <c r="G49">
        <v>0</v>
      </c>
      <c r="H49">
        <v>16</v>
      </c>
      <c r="I49">
        <v>16</v>
      </c>
      <c r="J49">
        <v>1</v>
      </c>
      <c r="K49" t="s">
        <v>220</v>
      </c>
      <c r="L49" t="s">
        <v>220</v>
      </c>
      <c r="M49" t="b">
        <v>0</v>
      </c>
      <c r="N49" t="s">
        <v>220</v>
      </c>
      <c r="O49" t="b">
        <v>0</v>
      </c>
      <c r="P49" s="74">
        <v>45865.540972222225</v>
      </c>
      <c r="Q49" t="s">
        <v>220</v>
      </c>
      <c r="R49" t="s">
        <v>220</v>
      </c>
      <c r="S49" t="s">
        <v>220</v>
      </c>
      <c r="T49" t="s">
        <v>220</v>
      </c>
      <c r="U49" t="s">
        <v>220</v>
      </c>
      <c r="V49" t="s">
        <v>220</v>
      </c>
      <c r="W49" t="s">
        <v>220</v>
      </c>
      <c r="X49" t="s">
        <v>220</v>
      </c>
      <c r="Y49" t="s">
        <v>220</v>
      </c>
      <c r="Z49" t="s">
        <v>220</v>
      </c>
      <c r="AA49" t="s">
        <v>220</v>
      </c>
      <c r="AB49" t="s">
        <v>220</v>
      </c>
      <c r="AC49" t="s">
        <v>220</v>
      </c>
      <c r="AD49" t="s">
        <v>220</v>
      </c>
      <c r="AE49" t="s">
        <v>220</v>
      </c>
      <c r="AF49" t="s">
        <v>220</v>
      </c>
      <c r="AG49" t="s">
        <v>220</v>
      </c>
      <c r="AH49" t="s">
        <v>220</v>
      </c>
      <c r="AI49" t="s">
        <v>220</v>
      </c>
      <c r="AJ49" t="s">
        <v>220</v>
      </c>
      <c r="AK49" t="s">
        <v>220</v>
      </c>
      <c r="AL49" t="s">
        <v>220</v>
      </c>
      <c r="AM49" t="s">
        <v>220</v>
      </c>
      <c r="AN49" t="s">
        <v>223</v>
      </c>
      <c r="AO49" t="s">
        <v>220</v>
      </c>
      <c r="AP49" t="s">
        <v>224</v>
      </c>
      <c r="AQ49" t="s">
        <v>225</v>
      </c>
      <c r="AR49" t="s">
        <v>226</v>
      </c>
      <c r="AS49" t="s">
        <v>227</v>
      </c>
      <c r="AT49">
        <v>127.86</v>
      </c>
      <c r="AU49">
        <v>0</v>
      </c>
      <c r="AV49">
        <v>0</v>
      </c>
      <c r="AW49">
        <v>0</v>
      </c>
      <c r="AX49">
        <v>127.86</v>
      </c>
      <c r="AY49" t="s">
        <v>220</v>
      </c>
      <c r="AZ49" t="s">
        <v>220</v>
      </c>
      <c r="BA49" t="s">
        <v>220</v>
      </c>
      <c r="BB49" t="s">
        <v>220</v>
      </c>
      <c r="BC49">
        <v>0</v>
      </c>
      <c r="BD49">
        <v>0</v>
      </c>
      <c r="BE49" t="s">
        <v>228</v>
      </c>
      <c r="BF49">
        <v>0</v>
      </c>
      <c r="BG49">
        <v>0</v>
      </c>
      <c r="BH49" t="s">
        <v>220</v>
      </c>
      <c r="BI49" t="s">
        <v>220</v>
      </c>
      <c r="BJ49" t="s">
        <v>220</v>
      </c>
      <c r="BK49" t="s">
        <v>220</v>
      </c>
      <c r="BL49" t="s">
        <v>220</v>
      </c>
      <c r="BM49" t="s">
        <v>280</v>
      </c>
      <c r="BN49" t="s">
        <v>220</v>
      </c>
      <c r="BO49" t="s">
        <v>220</v>
      </c>
      <c r="BP49" t="s">
        <v>220</v>
      </c>
      <c r="BQ49">
        <v>0</v>
      </c>
      <c r="BR49" t="s">
        <v>220</v>
      </c>
      <c r="BS49" t="s">
        <v>220</v>
      </c>
      <c r="BT49" t="s">
        <v>220</v>
      </c>
      <c r="BU49" t="s">
        <v>220</v>
      </c>
      <c r="BV49" t="s">
        <v>220</v>
      </c>
      <c r="BW49" t="s">
        <v>220</v>
      </c>
      <c r="BX49" t="s">
        <v>122</v>
      </c>
      <c r="BY49" t="s">
        <v>274</v>
      </c>
      <c r="BZ49" t="s">
        <v>352</v>
      </c>
      <c r="CA49" t="s">
        <v>232</v>
      </c>
    </row>
    <row r="50" spans="1:79" hidden="1" x14ac:dyDescent="0.3">
      <c r="A50" t="s">
        <v>351</v>
      </c>
      <c r="B50">
        <v>3705</v>
      </c>
      <c r="C50" t="s">
        <v>220</v>
      </c>
      <c r="D50" t="s">
        <v>281</v>
      </c>
      <c r="E50">
        <v>3013</v>
      </c>
      <c r="F50" t="s">
        <v>268</v>
      </c>
      <c r="G50">
        <v>0</v>
      </c>
      <c r="H50">
        <v>21.2</v>
      </c>
      <c r="I50">
        <v>21.2</v>
      </c>
      <c r="J50">
        <v>1</v>
      </c>
      <c r="K50" t="s">
        <v>220</v>
      </c>
      <c r="L50" t="s">
        <v>220</v>
      </c>
      <c r="M50" t="b">
        <v>0</v>
      </c>
      <c r="N50" t="s">
        <v>220</v>
      </c>
      <c r="O50" t="b">
        <v>0</v>
      </c>
      <c r="P50" s="74">
        <v>45865.540972222225</v>
      </c>
      <c r="Q50" t="s">
        <v>220</v>
      </c>
      <c r="R50" t="s">
        <v>220</v>
      </c>
      <c r="S50" t="s">
        <v>220</v>
      </c>
      <c r="T50" t="s">
        <v>220</v>
      </c>
      <c r="U50" t="s">
        <v>220</v>
      </c>
      <c r="V50" t="s">
        <v>220</v>
      </c>
      <c r="W50" t="s">
        <v>220</v>
      </c>
      <c r="X50" t="s">
        <v>220</v>
      </c>
      <c r="Y50" t="s">
        <v>220</v>
      </c>
      <c r="Z50" t="s">
        <v>220</v>
      </c>
      <c r="AA50" t="s">
        <v>220</v>
      </c>
      <c r="AB50" t="s">
        <v>220</v>
      </c>
      <c r="AC50" t="s">
        <v>220</v>
      </c>
      <c r="AD50" t="s">
        <v>220</v>
      </c>
      <c r="AE50" t="s">
        <v>220</v>
      </c>
      <c r="AF50" t="s">
        <v>220</v>
      </c>
      <c r="AG50" t="s">
        <v>220</v>
      </c>
      <c r="AH50" t="s">
        <v>220</v>
      </c>
      <c r="AI50" t="s">
        <v>220</v>
      </c>
      <c r="AJ50" t="s">
        <v>220</v>
      </c>
      <c r="AK50" t="s">
        <v>220</v>
      </c>
      <c r="AL50" t="s">
        <v>220</v>
      </c>
      <c r="AM50" t="s">
        <v>220</v>
      </c>
      <c r="AN50" t="s">
        <v>223</v>
      </c>
      <c r="AO50" t="s">
        <v>220</v>
      </c>
      <c r="AP50" t="s">
        <v>224</v>
      </c>
      <c r="AQ50" t="s">
        <v>225</v>
      </c>
      <c r="AR50" t="s">
        <v>226</v>
      </c>
      <c r="AS50" t="s">
        <v>227</v>
      </c>
      <c r="AT50">
        <v>127.86</v>
      </c>
      <c r="AU50">
        <v>0</v>
      </c>
      <c r="AV50">
        <v>0</v>
      </c>
      <c r="AW50">
        <v>0</v>
      </c>
      <c r="AX50">
        <v>127.86</v>
      </c>
      <c r="AY50" t="s">
        <v>220</v>
      </c>
      <c r="AZ50" t="s">
        <v>220</v>
      </c>
      <c r="BA50" t="s">
        <v>220</v>
      </c>
      <c r="BB50" t="s">
        <v>220</v>
      </c>
      <c r="BC50">
        <v>0</v>
      </c>
      <c r="BD50">
        <v>0</v>
      </c>
      <c r="BE50" t="s">
        <v>228</v>
      </c>
      <c r="BF50">
        <v>0</v>
      </c>
      <c r="BG50">
        <v>0</v>
      </c>
      <c r="BH50" t="s">
        <v>220</v>
      </c>
      <c r="BI50" t="s">
        <v>220</v>
      </c>
      <c r="BJ50" t="s">
        <v>220</v>
      </c>
      <c r="BK50" t="s">
        <v>220</v>
      </c>
      <c r="BL50" t="s">
        <v>220</v>
      </c>
      <c r="BM50" t="s">
        <v>280</v>
      </c>
      <c r="BN50" t="s">
        <v>220</v>
      </c>
      <c r="BO50" t="s">
        <v>220</v>
      </c>
      <c r="BP50" t="s">
        <v>220</v>
      </c>
      <c r="BQ50">
        <v>0</v>
      </c>
      <c r="BR50" t="s">
        <v>220</v>
      </c>
      <c r="BS50" t="s">
        <v>220</v>
      </c>
      <c r="BT50" t="s">
        <v>220</v>
      </c>
      <c r="BU50" t="s">
        <v>220</v>
      </c>
      <c r="BV50" t="s">
        <v>220</v>
      </c>
      <c r="BW50" t="s">
        <v>220</v>
      </c>
      <c r="BX50" t="s">
        <v>122</v>
      </c>
      <c r="BY50" t="s">
        <v>274</v>
      </c>
      <c r="BZ50" t="s">
        <v>352</v>
      </c>
      <c r="CA50" t="s">
        <v>232</v>
      </c>
    </row>
    <row r="51" spans="1:79" hidden="1" x14ac:dyDescent="0.3">
      <c r="A51" t="s">
        <v>351</v>
      </c>
      <c r="B51">
        <v>3705</v>
      </c>
      <c r="C51" t="s">
        <v>220</v>
      </c>
      <c r="D51" t="s">
        <v>281</v>
      </c>
      <c r="E51">
        <v>56</v>
      </c>
      <c r="F51" t="s">
        <v>282</v>
      </c>
      <c r="G51">
        <v>0</v>
      </c>
      <c r="H51">
        <v>6.66</v>
      </c>
      <c r="I51">
        <v>6.66</v>
      </c>
      <c r="J51">
        <v>1</v>
      </c>
      <c r="K51" t="s">
        <v>220</v>
      </c>
      <c r="L51" t="s">
        <v>220</v>
      </c>
      <c r="M51" t="b">
        <v>0</v>
      </c>
      <c r="N51" t="s">
        <v>220</v>
      </c>
      <c r="O51" t="b">
        <v>0</v>
      </c>
      <c r="P51" s="74">
        <v>45865.540972222225</v>
      </c>
      <c r="Q51" t="s">
        <v>220</v>
      </c>
      <c r="R51" t="s">
        <v>220</v>
      </c>
      <c r="S51" t="s">
        <v>220</v>
      </c>
      <c r="T51" t="s">
        <v>220</v>
      </c>
      <c r="U51" t="s">
        <v>220</v>
      </c>
      <c r="V51" t="s">
        <v>220</v>
      </c>
      <c r="W51" t="s">
        <v>220</v>
      </c>
      <c r="X51" t="s">
        <v>220</v>
      </c>
      <c r="Y51" t="s">
        <v>220</v>
      </c>
      <c r="Z51" t="s">
        <v>220</v>
      </c>
      <c r="AA51" t="s">
        <v>220</v>
      </c>
      <c r="AB51" t="s">
        <v>220</v>
      </c>
      <c r="AC51" t="s">
        <v>220</v>
      </c>
      <c r="AD51" t="s">
        <v>220</v>
      </c>
      <c r="AE51" t="s">
        <v>220</v>
      </c>
      <c r="AF51" t="s">
        <v>220</v>
      </c>
      <c r="AG51" t="s">
        <v>220</v>
      </c>
      <c r="AH51" t="s">
        <v>220</v>
      </c>
      <c r="AI51" t="s">
        <v>220</v>
      </c>
      <c r="AJ51" t="s">
        <v>220</v>
      </c>
      <c r="AK51" t="s">
        <v>220</v>
      </c>
      <c r="AL51" t="s">
        <v>220</v>
      </c>
      <c r="AM51" t="s">
        <v>220</v>
      </c>
      <c r="AN51" t="s">
        <v>223</v>
      </c>
      <c r="AO51" t="s">
        <v>220</v>
      </c>
      <c r="AP51" t="s">
        <v>224</v>
      </c>
      <c r="AQ51" t="s">
        <v>225</v>
      </c>
      <c r="AR51" t="s">
        <v>226</v>
      </c>
      <c r="AS51" t="s">
        <v>227</v>
      </c>
      <c r="AT51">
        <v>127.86</v>
      </c>
      <c r="AU51">
        <v>0</v>
      </c>
      <c r="AV51">
        <v>0</v>
      </c>
      <c r="AW51">
        <v>0</v>
      </c>
      <c r="AX51">
        <v>127.86</v>
      </c>
      <c r="AY51" t="s">
        <v>220</v>
      </c>
      <c r="AZ51" t="s">
        <v>220</v>
      </c>
      <c r="BA51" t="s">
        <v>220</v>
      </c>
      <c r="BB51" t="s">
        <v>220</v>
      </c>
      <c r="BC51">
        <v>0</v>
      </c>
      <c r="BD51">
        <v>0</v>
      </c>
      <c r="BE51" t="s">
        <v>228</v>
      </c>
      <c r="BF51">
        <v>0</v>
      </c>
      <c r="BG51">
        <v>0</v>
      </c>
      <c r="BH51" t="s">
        <v>220</v>
      </c>
      <c r="BI51" t="s">
        <v>220</v>
      </c>
      <c r="BJ51" t="s">
        <v>220</v>
      </c>
      <c r="BK51" t="s">
        <v>220</v>
      </c>
      <c r="BL51" t="s">
        <v>220</v>
      </c>
      <c r="BM51" t="s">
        <v>280</v>
      </c>
      <c r="BN51" t="s">
        <v>220</v>
      </c>
      <c r="BO51" t="s">
        <v>220</v>
      </c>
      <c r="BP51" t="s">
        <v>220</v>
      </c>
      <c r="BQ51">
        <v>0</v>
      </c>
      <c r="BR51" t="s">
        <v>220</v>
      </c>
      <c r="BS51" t="s">
        <v>220</v>
      </c>
      <c r="BT51" t="s">
        <v>220</v>
      </c>
      <c r="BU51" t="s">
        <v>220</v>
      </c>
      <c r="BV51" t="s">
        <v>220</v>
      </c>
      <c r="BW51" t="s">
        <v>220</v>
      </c>
      <c r="BX51" t="s">
        <v>122</v>
      </c>
      <c r="BY51" t="s">
        <v>274</v>
      </c>
      <c r="BZ51" t="s">
        <v>352</v>
      </c>
      <c r="CA51" t="s">
        <v>232</v>
      </c>
    </row>
    <row r="52" spans="1:79" hidden="1" x14ac:dyDescent="0.3">
      <c r="A52" t="s">
        <v>351</v>
      </c>
      <c r="B52">
        <v>3705</v>
      </c>
      <c r="C52" t="s">
        <v>220</v>
      </c>
      <c r="D52" t="s">
        <v>281</v>
      </c>
      <c r="E52">
        <v>29</v>
      </c>
      <c r="F52" t="s">
        <v>353</v>
      </c>
      <c r="G52">
        <v>0</v>
      </c>
      <c r="H52">
        <v>50</v>
      </c>
      <c r="I52">
        <v>50</v>
      </c>
      <c r="J52">
        <v>1</v>
      </c>
      <c r="K52" t="s">
        <v>220</v>
      </c>
      <c r="L52" t="s">
        <v>220</v>
      </c>
      <c r="M52" t="b">
        <v>0</v>
      </c>
      <c r="N52" t="s">
        <v>220</v>
      </c>
      <c r="O52" t="b">
        <v>0</v>
      </c>
      <c r="P52" s="74">
        <v>45865.540972222225</v>
      </c>
      <c r="Q52" t="s">
        <v>220</v>
      </c>
      <c r="R52" t="s">
        <v>220</v>
      </c>
      <c r="S52" t="s">
        <v>220</v>
      </c>
      <c r="T52" t="s">
        <v>220</v>
      </c>
      <c r="U52" t="s">
        <v>220</v>
      </c>
      <c r="V52" t="s">
        <v>220</v>
      </c>
      <c r="W52" t="s">
        <v>220</v>
      </c>
      <c r="X52" t="s">
        <v>220</v>
      </c>
      <c r="Y52" t="s">
        <v>220</v>
      </c>
      <c r="Z52" t="s">
        <v>220</v>
      </c>
      <c r="AA52" t="s">
        <v>220</v>
      </c>
      <c r="AB52" t="s">
        <v>220</v>
      </c>
      <c r="AC52" t="s">
        <v>220</v>
      </c>
      <c r="AD52" t="s">
        <v>220</v>
      </c>
      <c r="AE52" t="s">
        <v>220</v>
      </c>
      <c r="AF52" t="s">
        <v>220</v>
      </c>
      <c r="AG52" t="s">
        <v>220</v>
      </c>
      <c r="AH52" t="s">
        <v>220</v>
      </c>
      <c r="AI52" t="s">
        <v>220</v>
      </c>
      <c r="AJ52" t="s">
        <v>220</v>
      </c>
      <c r="AK52" t="s">
        <v>220</v>
      </c>
      <c r="AL52" t="s">
        <v>220</v>
      </c>
      <c r="AM52" t="s">
        <v>220</v>
      </c>
      <c r="AN52" t="s">
        <v>223</v>
      </c>
      <c r="AO52" t="s">
        <v>220</v>
      </c>
      <c r="AP52" t="s">
        <v>224</v>
      </c>
      <c r="AQ52" t="s">
        <v>225</v>
      </c>
      <c r="AR52" t="s">
        <v>226</v>
      </c>
      <c r="AS52" t="s">
        <v>227</v>
      </c>
      <c r="AT52">
        <v>127.86</v>
      </c>
      <c r="AU52">
        <v>0</v>
      </c>
      <c r="AV52">
        <v>0</v>
      </c>
      <c r="AW52">
        <v>0</v>
      </c>
      <c r="AX52">
        <v>127.86</v>
      </c>
      <c r="AY52" t="s">
        <v>220</v>
      </c>
      <c r="AZ52" t="s">
        <v>220</v>
      </c>
      <c r="BA52" t="s">
        <v>220</v>
      </c>
      <c r="BB52" t="s">
        <v>220</v>
      </c>
      <c r="BC52">
        <v>0</v>
      </c>
      <c r="BD52">
        <v>0</v>
      </c>
      <c r="BE52" t="s">
        <v>228</v>
      </c>
      <c r="BF52">
        <v>0</v>
      </c>
      <c r="BG52">
        <v>0</v>
      </c>
      <c r="BH52" t="s">
        <v>220</v>
      </c>
      <c r="BI52" t="s">
        <v>220</v>
      </c>
      <c r="BJ52" t="s">
        <v>220</v>
      </c>
      <c r="BK52" t="s">
        <v>220</v>
      </c>
      <c r="BL52" t="s">
        <v>220</v>
      </c>
      <c r="BM52" t="s">
        <v>280</v>
      </c>
      <c r="BN52" t="s">
        <v>220</v>
      </c>
      <c r="BO52" t="s">
        <v>220</v>
      </c>
      <c r="BP52" t="s">
        <v>220</v>
      </c>
      <c r="BQ52">
        <v>0</v>
      </c>
      <c r="BR52" t="s">
        <v>220</v>
      </c>
      <c r="BS52" t="s">
        <v>220</v>
      </c>
      <c r="BT52" t="s">
        <v>220</v>
      </c>
      <c r="BU52" t="s">
        <v>220</v>
      </c>
      <c r="BV52" t="s">
        <v>220</v>
      </c>
      <c r="BW52" t="s">
        <v>220</v>
      </c>
      <c r="BX52" t="s">
        <v>122</v>
      </c>
      <c r="BY52" t="s">
        <v>274</v>
      </c>
      <c r="BZ52" t="s">
        <v>352</v>
      </c>
      <c r="CA52" t="s">
        <v>232</v>
      </c>
    </row>
    <row r="53" spans="1:79" hidden="1" x14ac:dyDescent="0.3">
      <c r="A53" t="s">
        <v>354</v>
      </c>
      <c r="B53">
        <v>3706</v>
      </c>
      <c r="C53" t="s">
        <v>220</v>
      </c>
      <c r="D53" t="s">
        <v>343</v>
      </c>
      <c r="E53">
        <v>54</v>
      </c>
      <c r="F53" t="s">
        <v>238</v>
      </c>
      <c r="G53">
        <v>0</v>
      </c>
      <c r="H53">
        <v>15</v>
      </c>
      <c r="I53">
        <v>60</v>
      </c>
      <c r="J53">
        <v>4</v>
      </c>
      <c r="K53" t="s">
        <v>220</v>
      </c>
      <c r="L53" t="s">
        <v>220</v>
      </c>
      <c r="M53" t="b">
        <v>0</v>
      </c>
      <c r="N53" t="s">
        <v>220</v>
      </c>
      <c r="O53" t="b">
        <v>0</v>
      </c>
      <c r="P53" s="74">
        <v>45865.719444444447</v>
      </c>
      <c r="Q53" t="s">
        <v>220</v>
      </c>
      <c r="R53" t="s">
        <v>220</v>
      </c>
      <c r="S53" t="s">
        <v>220</v>
      </c>
      <c r="T53" t="s">
        <v>220</v>
      </c>
      <c r="U53" t="s">
        <v>220</v>
      </c>
      <c r="V53" t="s">
        <v>220</v>
      </c>
      <c r="W53" t="s">
        <v>220</v>
      </c>
      <c r="X53" t="s">
        <v>220</v>
      </c>
      <c r="Y53" t="s">
        <v>220</v>
      </c>
      <c r="Z53" t="s">
        <v>220</v>
      </c>
      <c r="AA53" t="s">
        <v>220</v>
      </c>
      <c r="AB53" t="s">
        <v>220</v>
      </c>
      <c r="AC53" t="s">
        <v>220</v>
      </c>
      <c r="AD53" t="s">
        <v>220</v>
      </c>
      <c r="AE53" t="s">
        <v>220</v>
      </c>
      <c r="AF53" t="s">
        <v>220</v>
      </c>
      <c r="AG53" t="s">
        <v>220</v>
      </c>
      <c r="AH53" t="s">
        <v>220</v>
      </c>
      <c r="AI53" t="s">
        <v>220</v>
      </c>
      <c r="AJ53" t="s">
        <v>220</v>
      </c>
      <c r="AK53" t="s">
        <v>220</v>
      </c>
      <c r="AL53" t="s">
        <v>220</v>
      </c>
      <c r="AM53" t="s">
        <v>220</v>
      </c>
      <c r="AN53" t="s">
        <v>223</v>
      </c>
      <c r="AO53" t="s">
        <v>220</v>
      </c>
      <c r="AP53" t="s">
        <v>224</v>
      </c>
      <c r="AQ53" t="s">
        <v>355</v>
      </c>
      <c r="AR53" t="s">
        <v>226</v>
      </c>
      <c r="AS53" t="s">
        <v>356</v>
      </c>
      <c r="AT53">
        <v>128.12</v>
      </c>
      <c r="AU53">
        <v>0</v>
      </c>
      <c r="AV53">
        <v>0</v>
      </c>
      <c r="AW53">
        <v>0</v>
      </c>
      <c r="AX53">
        <v>128.12</v>
      </c>
      <c r="AY53" t="s">
        <v>220</v>
      </c>
      <c r="AZ53" t="s">
        <v>220</v>
      </c>
      <c r="BA53" t="s">
        <v>220</v>
      </c>
      <c r="BB53" t="s">
        <v>220</v>
      </c>
      <c r="BC53">
        <v>0</v>
      </c>
      <c r="BD53">
        <v>0</v>
      </c>
      <c r="BE53" t="s">
        <v>228</v>
      </c>
      <c r="BF53">
        <v>0</v>
      </c>
      <c r="BG53">
        <v>0</v>
      </c>
      <c r="BH53" t="s">
        <v>220</v>
      </c>
      <c r="BI53" t="s">
        <v>220</v>
      </c>
      <c r="BJ53" t="s">
        <v>220</v>
      </c>
      <c r="BK53" t="s">
        <v>220</v>
      </c>
      <c r="BL53" t="s">
        <v>220</v>
      </c>
      <c r="BM53" t="s">
        <v>252</v>
      </c>
      <c r="BN53" t="s">
        <v>220</v>
      </c>
      <c r="BO53" t="s">
        <v>220</v>
      </c>
      <c r="BP53" t="s">
        <v>220</v>
      </c>
      <c r="BQ53">
        <v>0</v>
      </c>
      <c r="BR53" t="s">
        <v>220</v>
      </c>
      <c r="BS53" t="s">
        <v>220</v>
      </c>
      <c r="BT53" t="s">
        <v>220</v>
      </c>
      <c r="BU53" t="s">
        <v>220</v>
      </c>
      <c r="BV53" t="s">
        <v>220</v>
      </c>
      <c r="BW53" t="s">
        <v>220</v>
      </c>
      <c r="BX53" t="s">
        <v>124</v>
      </c>
      <c r="BY53" t="s">
        <v>274</v>
      </c>
      <c r="BZ53" t="s">
        <v>357</v>
      </c>
      <c r="CA53" t="s">
        <v>232</v>
      </c>
    </row>
    <row r="54" spans="1:79" hidden="1" x14ac:dyDescent="0.3">
      <c r="A54" t="s">
        <v>354</v>
      </c>
      <c r="B54">
        <v>3706</v>
      </c>
      <c r="C54" t="s">
        <v>220</v>
      </c>
      <c r="D54" t="s">
        <v>343</v>
      </c>
      <c r="E54">
        <v>8</v>
      </c>
      <c r="F54" t="s">
        <v>240</v>
      </c>
      <c r="G54">
        <v>0</v>
      </c>
      <c r="H54">
        <v>68.12</v>
      </c>
      <c r="I54">
        <v>68.12</v>
      </c>
      <c r="J54">
        <v>1</v>
      </c>
      <c r="K54" t="s">
        <v>220</v>
      </c>
      <c r="L54" t="s">
        <v>220</v>
      </c>
      <c r="M54" t="b">
        <v>0</v>
      </c>
      <c r="N54" t="s">
        <v>220</v>
      </c>
      <c r="O54" t="b">
        <v>0</v>
      </c>
      <c r="P54" s="74">
        <v>45865.719444444447</v>
      </c>
      <c r="Q54" t="s">
        <v>220</v>
      </c>
      <c r="R54" t="s">
        <v>220</v>
      </c>
      <c r="S54" t="s">
        <v>220</v>
      </c>
      <c r="T54" t="s">
        <v>220</v>
      </c>
      <c r="U54" t="s">
        <v>220</v>
      </c>
      <c r="V54" t="s">
        <v>220</v>
      </c>
      <c r="W54" t="s">
        <v>220</v>
      </c>
      <c r="X54" t="s">
        <v>220</v>
      </c>
      <c r="Y54" t="s">
        <v>220</v>
      </c>
      <c r="Z54" t="s">
        <v>220</v>
      </c>
      <c r="AA54" t="s">
        <v>220</v>
      </c>
      <c r="AB54" t="s">
        <v>220</v>
      </c>
      <c r="AC54" t="s">
        <v>220</v>
      </c>
      <c r="AD54" t="s">
        <v>220</v>
      </c>
      <c r="AE54" t="s">
        <v>220</v>
      </c>
      <c r="AF54" t="s">
        <v>220</v>
      </c>
      <c r="AG54" t="s">
        <v>220</v>
      </c>
      <c r="AH54" t="s">
        <v>220</v>
      </c>
      <c r="AI54" t="s">
        <v>220</v>
      </c>
      <c r="AJ54" t="s">
        <v>220</v>
      </c>
      <c r="AK54" t="s">
        <v>220</v>
      </c>
      <c r="AL54" t="s">
        <v>220</v>
      </c>
      <c r="AM54" t="s">
        <v>220</v>
      </c>
      <c r="AN54" t="s">
        <v>223</v>
      </c>
      <c r="AO54" t="s">
        <v>220</v>
      </c>
      <c r="AP54" t="s">
        <v>224</v>
      </c>
      <c r="AQ54" t="s">
        <v>355</v>
      </c>
      <c r="AR54" t="s">
        <v>226</v>
      </c>
      <c r="AS54" t="s">
        <v>356</v>
      </c>
      <c r="AT54">
        <v>128.12</v>
      </c>
      <c r="AU54">
        <v>0</v>
      </c>
      <c r="AV54">
        <v>0</v>
      </c>
      <c r="AW54">
        <v>0</v>
      </c>
      <c r="AX54">
        <v>128.12</v>
      </c>
      <c r="AY54" t="s">
        <v>220</v>
      </c>
      <c r="AZ54" t="s">
        <v>220</v>
      </c>
      <c r="BA54" t="s">
        <v>220</v>
      </c>
      <c r="BB54" t="s">
        <v>220</v>
      </c>
      <c r="BC54">
        <v>0</v>
      </c>
      <c r="BD54">
        <v>0</v>
      </c>
      <c r="BE54" t="s">
        <v>228</v>
      </c>
      <c r="BF54">
        <v>0</v>
      </c>
      <c r="BG54">
        <v>0</v>
      </c>
      <c r="BH54" t="s">
        <v>220</v>
      </c>
      <c r="BI54" t="s">
        <v>220</v>
      </c>
      <c r="BJ54" t="s">
        <v>220</v>
      </c>
      <c r="BK54" t="s">
        <v>220</v>
      </c>
      <c r="BL54" t="s">
        <v>220</v>
      </c>
      <c r="BM54" t="s">
        <v>252</v>
      </c>
      <c r="BN54" t="s">
        <v>220</v>
      </c>
      <c r="BO54" t="s">
        <v>220</v>
      </c>
      <c r="BP54" t="s">
        <v>220</v>
      </c>
      <c r="BQ54">
        <v>0</v>
      </c>
      <c r="BR54" t="s">
        <v>220</v>
      </c>
      <c r="BS54" t="s">
        <v>220</v>
      </c>
      <c r="BT54" t="s">
        <v>220</v>
      </c>
      <c r="BU54" t="s">
        <v>220</v>
      </c>
      <c r="BV54" t="s">
        <v>220</v>
      </c>
      <c r="BW54" t="s">
        <v>220</v>
      </c>
      <c r="BX54" t="s">
        <v>124</v>
      </c>
      <c r="BY54" t="s">
        <v>274</v>
      </c>
      <c r="BZ54" t="s">
        <v>357</v>
      </c>
      <c r="CA54" t="s">
        <v>232</v>
      </c>
    </row>
    <row r="55" spans="1:79" hidden="1" x14ac:dyDescent="0.3">
      <c r="A55" t="s">
        <v>354</v>
      </c>
      <c r="B55">
        <v>3706</v>
      </c>
      <c r="C55" t="s">
        <v>220</v>
      </c>
      <c r="D55" t="s">
        <v>343</v>
      </c>
      <c r="E55">
        <v>17</v>
      </c>
      <c r="F55" t="s">
        <v>286</v>
      </c>
      <c r="G55">
        <v>0</v>
      </c>
      <c r="H55">
        <v>0</v>
      </c>
      <c r="I55">
        <v>0</v>
      </c>
      <c r="J55">
        <v>1</v>
      </c>
      <c r="K55" t="s">
        <v>220</v>
      </c>
      <c r="L55" t="s">
        <v>220</v>
      </c>
      <c r="M55" t="b">
        <v>0</v>
      </c>
      <c r="N55" t="s">
        <v>220</v>
      </c>
      <c r="O55" t="b">
        <v>0</v>
      </c>
      <c r="P55" s="74">
        <v>45865.719444444447</v>
      </c>
      <c r="Q55" t="s">
        <v>220</v>
      </c>
      <c r="R55" t="s">
        <v>220</v>
      </c>
      <c r="S55" t="s">
        <v>220</v>
      </c>
      <c r="T55" t="s">
        <v>220</v>
      </c>
      <c r="U55" t="s">
        <v>220</v>
      </c>
      <c r="V55" t="s">
        <v>220</v>
      </c>
      <c r="W55" t="s">
        <v>220</v>
      </c>
      <c r="X55" t="s">
        <v>220</v>
      </c>
      <c r="Y55" t="s">
        <v>220</v>
      </c>
      <c r="Z55" t="s">
        <v>220</v>
      </c>
      <c r="AA55" t="s">
        <v>220</v>
      </c>
      <c r="AB55" t="s">
        <v>220</v>
      </c>
      <c r="AC55" t="s">
        <v>220</v>
      </c>
      <c r="AD55" t="s">
        <v>220</v>
      </c>
      <c r="AE55" t="s">
        <v>220</v>
      </c>
      <c r="AF55" t="s">
        <v>220</v>
      </c>
      <c r="AG55" t="s">
        <v>220</v>
      </c>
      <c r="AH55" t="s">
        <v>220</v>
      </c>
      <c r="AI55" t="s">
        <v>220</v>
      </c>
      <c r="AJ55" t="s">
        <v>220</v>
      </c>
      <c r="AK55" t="s">
        <v>220</v>
      </c>
      <c r="AL55" t="s">
        <v>220</v>
      </c>
      <c r="AM55" t="s">
        <v>220</v>
      </c>
      <c r="AN55" t="s">
        <v>223</v>
      </c>
      <c r="AO55" t="s">
        <v>220</v>
      </c>
      <c r="AP55" t="s">
        <v>224</v>
      </c>
      <c r="AQ55" t="s">
        <v>355</v>
      </c>
      <c r="AR55" t="s">
        <v>226</v>
      </c>
      <c r="AS55" t="s">
        <v>356</v>
      </c>
      <c r="AT55">
        <v>128.12</v>
      </c>
      <c r="AU55">
        <v>0</v>
      </c>
      <c r="AV55">
        <v>0</v>
      </c>
      <c r="AW55">
        <v>0</v>
      </c>
      <c r="AX55">
        <v>128.12</v>
      </c>
      <c r="AY55" t="s">
        <v>220</v>
      </c>
      <c r="AZ55" t="s">
        <v>220</v>
      </c>
      <c r="BA55" t="s">
        <v>220</v>
      </c>
      <c r="BB55" t="s">
        <v>220</v>
      </c>
      <c r="BC55">
        <v>0</v>
      </c>
      <c r="BD55">
        <v>0</v>
      </c>
      <c r="BE55" t="s">
        <v>228</v>
      </c>
      <c r="BF55">
        <v>0</v>
      </c>
      <c r="BG55">
        <v>0</v>
      </c>
      <c r="BH55" t="s">
        <v>220</v>
      </c>
      <c r="BI55" t="s">
        <v>220</v>
      </c>
      <c r="BJ55" t="s">
        <v>220</v>
      </c>
      <c r="BK55" t="s">
        <v>220</v>
      </c>
      <c r="BL55" t="s">
        <v>220</v>
      </c>
      <c r="BM55" t="s">
        <v>252</v>
      </c>
      <c r="BN55" t="s">
        <v>220</v>
      </c>
      <c r="BO55" t="s">
        <v>220</v>
      </c>
      <c r="BP55" t="s">
        <v>220</v>
      </c>
      <c r="BQ55">
        <v>0</v>
      </c>
      <c r="BR55" t="s">
        <v>220</v>
      </c>
      <c r="BS55" t="s">
        <v>220</v>
      </c>
      <c r="BT55" t="s">
        <v>220</v>
      </c>
      <c r="BU55" t="s">
        <v>220</v>
      </c>
      <c r="BV55" t="s">
        <v>220</v>
      </c>
      <c r="BW55" t="s">
        <v>220</v>
      </c>
      <c r="BX55" t="s">
        <v>124</v>
      </c>
      <c r="BY55" t="s">
        <v>274</v>
      </c>
      <c r="BZ55" t="s">
        <v>357</v>
      </c>
      <c r="CA55" t="s">
        <v>232</v>
      </c>
    </row>
    <row r="56" spans="1:79" hidden="1" x14ac:dyDescent="0.3">
      <c r="A56" t="s">
        <v>358</v>
      </c>
      <c r="B56">
        <v>3707</v>
      </c>
      <c r="C56" t="s">
        <v>220</v>
      </c>
      <c r="D56" t="s">
        <v>221</v>
      </c>
      <c r="E56">
        <v>37</v>
      </c>
      <c r="F56" t="s">
        <v>222</v>
      </c>
      <c r="G56">
        <v>0</v>
      </c>
      <c r="H56">
        <v>6.5</v>
      </c>
      <c r="I56">
        <v>19.5</v>
      </c>
      <c r="J56">
        <v>3</v>
      </c>
      <c r="K56" t="s">
        <v>220</v>
      </c>
      <c r="L56" t="s">
        <v>220</v>
      </c>
      <c r="M56" t="b">
        <v>0</v>
      </c>
      <c r="N56" t="s">
        <v>220</v>
      </c>
      <c r="O56" t="b">
        <v>0</v>
      </c>
      <c r="P56" s="74">
        <v>45865.727083333331</v>
      </c>
      <c r="Q56" t="s">
        <v>220</v>
      </c>
      <c r="R56" t="s">
        <v>220</v>
      </c>
      <c r="S56" t="s">
        <v>220</v>
      </c>
      <c r="T56" t="s">
        <v>220</v>
      </c>
      <c r="U56" t="s">
        <v>220</v>
      </c>
      <c r="V56" t="s">
        <v>220</v>
      </c>
      <c r="W56" t="s">
        <v>220</v>
      </c>
      <c r="X56" t="s">
        <v>220</v>
      </c>
      <c r="Y56" t="s">
        <v>220</v>
      </c>
      <c r="Z56" t="s">
        <v>220</v>
      </c>
      <c r="AA56" t="s">
        <v>220</v>
      </c>
      <c r="AB56" t="s">
        <v>220</v>
      </c>
      <c r="AC56" t="s">
        <v>220</v>
      </c>
      <c r="AD56" t="s">
        <v>220</v>
      </c>
      <c r="AE56" t="s">
        <v>220</v>
      </c>
      <c r="AF56" t="s">
        <v>220</v>
      </c>
      <c r="AG56" t="s">
        <v>220</v>
      </c>
      <c r="AH56" t="s">
        <v>220</v>
      </c>
      <c r="AI56" t="s">
        <v>220</v>
      </c>
      <c r="AJ56" t="s">
        <v>220</v>
      </c>
      <c r="AK56" t="s">
        <v>220</v>
      </c>
      <c r="AL56" t="s">
        <v>220</v>
      </c>
      <c r="AM56" t="s">
        <v>220</v>
      </c>
      <c r="AN56" t="s">
        <v>223</v>
      </c>
      <c r="AO56" t="s">
        <v>220</v>
      </c>
      <c r="AP56" t="s">
        <v>224</v>
      </c>
      <c r="AQ56" t="s">
        <v>355</v>
      </c>
      <c r="AR56" t="s">
        <v>226</v>
      </c>
      <c r="AS56" t="s">
        <v>356</v>
      </c>
      <c r="AT56">
        <v>19.5</v>
      </c>
      <c r="AU56">
        <v>0</v>
      </c>
      <c r="AV56">
        <v>0</v>
      </c>
      <c r="AW56">
        <v>0</v>
      </c>
      <c r="AX56">
        <v>19.5</v>
      </c>
      <c r="AY56" t="s">
        <v>220</v>
      </c>
      <c r="AZ56" t="s">
        <v>220</v>
      </c>
      <c r="BA56" t="s">
        <v>220</v>
      </c>
      <c r="BB56" t="s">
        <v>220</v>
      </c>
      <c r="BC56">
        <v>0</v>
      </c>
      <c r="BD56">
        <v>0</v>
      </c>
      <c r="BE56" t="s">
        <v>228</v>
      </c>
      <c r="BF56">
        <v>0</v>
      </c>
      <c r="BG56">
        <v>0</v>
      </c>
      <c r="BH56" t="s">
        <v>220</v>
      </c>
      <c r="BI56" t="s">
        <v>220</v>
      </c>
      <c r="BJ56" t="s">
        <v>220</v>
      </c>
      <c r="BK56" t="s">
        <v>220</v>
      </c>
      <c r="BL56" t="s">
        <v>220</v>
      </c>
      <c r="BM56" t="s">
        <v>229</v>
      </c>
      <c r="BN56" t="s">
        <v>220</v>
      </c>
      <c r="BO56" t="s">
        <v>220</v>
      </c>
      <c r="BP56" t="s">
        <v>220</v>
      </c>
      <c r="BQ56">
        <v>0</v>
      </c>
      <c r="BR56" t="s">
        <v>220</v>
      </c>
      <c r="BS56" t="s">
        <v>220</v>
      </c>
      <c r="BT56" t="s">
        <v>220</v>
      </c>
      <c r="BU56" t="s">
        <v>220</v>
      </c>
      <c r="BV56" t="s">
        <v>220</v>
      </c>
      <c r="BW56" t="s">
        <v>220</v>
      </c>
      <c r="BX56" t="s">
        <v>126</v>
      </c>
      <c r="BY56" t="s">
        <v>230</v>
      </c>
      <c r="BZ56" t="s">
        <v>231</v>
      </c>
      <c r="CA56" t="s">
        <v>232</v>
      </c>
    </row>
    <row r="57" spans="1:79" hidden="1" x14ac:dyDescent="0.3">
      <c r="A57" t="s">
        <v>359</v>
      </c>
      <c r="B57">
        <v>3708</v>
      </c>
      <c r="C57" t="s">
        <v>220</v>
      </c>
      <c r="D57" t="s">
        <v>233</v>
      </c>
      <c r="E57">
        <v>54</v>
      </c>
      <c r="F57" t="s">
        <v>238</v>
      </c>
      <c r="G57">
        <v>0</v>
      </c>
      <c r="H57">
        <v>15</v>
      </c>
      <c r="I57">
        <v>75</v>
      </c>
      <c r="J57">
        <v>5</v>
      </c>
      <c r="K57" t="s">
        <v>220</v>
      </c>
      <c r="L57" t="s">
        <v>220</v>
      </c>
      <c r="M57" t="b">
        <v>0</v>
      </c>
      <c r="N57" t="s">
        <v>220</v>
      </c>
      <c r="O57" t="b">
        <v>0</v>
      </c>
      <c r="P57" s="74">
        <v>45865.745833333334</v>
      </c>
      <c r="Q57" t="s">
        <v>220</v>
      </c>
      <c r="R57" t="s">
        <v>220</v>
      </c>
      <c r="S57" t="s">
        <v>220</v>
      </c>
      <c r="T57" t="s">
        <v>220</v>
      </c>
      <c r="U57" t="s">
        <v>220</v>
      </c>
      <c r="V57" t="s">
        <v>220</v>
      </c>
      <c r="W57" t="s">
        <v>220</v>
      </c>
      <c r="X57" t="s">
        <v>220</v>
      </c>
      <c r="Y57" t="s">
        <v>220</v>
      </c>
      <c r="Z57" t="s">
        <v>220</v>
      </c>
      <c r="AA57" t="s">
        <v>220</v>
      </c>
      <c r="AB57" t="s">
        <v>220</v>
      </c>
      <c r="AC57" t="s">
        <v>220</v>
      </c>
      <c r="AD57" t="s">
        <v>220</v>
      </c>
      <c r="AE57" t="s">
        <v>220</v>
      </c>
      <c r="AF57" t="s">
        <v>220</v>
      </c>
      <c r="AG57" t="s">
        <v>220</v>
      </c>
      <c r="AH57" t="s">
        <v>220</v>
      </c>
      <c r="AI57" t="s">
        <v>220</v>
      </c>
      <c r="AJ57" t="s">
        <v>220</v>
      </c>
      <c r="AK57" t="s">
        <v>220</v>
      </c>
      <c r="AL57" t="s">
        <v>220</v>
      </c>
      <c r="AM57" t="s">
        <v>220</v>
      </c>
      <c r="AN57" t="s">
        <v>223</v>
      </c>
      <c r="AO57" t="s">
        <v>220</v>
      </c>
      <c r="AP57" t="s">
        <v>224</v>
      </c>
      <c r="AQ57" t="s">
        <v>355</v>
      </c>
      <c r="AR57" t="s">
        <v>226</v>
      </c>
      <c r="AS57" t="s">
        <v>356</v>
      </c>
      <c r="AT57">
        <v>91</v>
      </c>
      <c r="AU57">
        <v>0</v>
      </c>
      <c r="AV57">
        <v>0</v>
      </c>
      <c r="AW57">
        <v>0</v>
      </c>
      <c r="AX57">
        <v>91</v>
      </c>
      <c r="AY57" t="s">
        <v>220</v>
      </c>
      <c r="AZ57" t="s">
        <v>220</v>
      </c>
      <c r="BA57" t="s">
        <v>220</v>
      </c>
      <c r="BB57" t="s">
        <v>220</v>
      </c>
      <c r="BC57">
        <v>0</v>
      </c>
      <c r="BD57">
        <v>0</v>
      </c>
      <c r="BE57" t="s">
        <v>228</v>
      </c>
      <c r="BF57">
        <v>0</v>
      </c>
      <c r="BG57">
        <v>0</v>
      </c>
      <c r="BH57" t="s">
        <v>220</v>
      </c>
      <c r="BI57" t="s">
        <v>220</v>
      </c>
      <c r="BJ57" t="s">
        <v>220</v>
      </c>
      <c r="BK57" t="s">
        <v>220</v>
      </c>
      <c r="BL57" t="s">
        <v>220</v>
      </c>
      <c r="BM57" t="s">
        <v>360</v>
      </c>
      <c r="BN57" t="s">
        <v>220</v>
      </c>
      <c r="BO57" t="s">
        <v>220</v>
      </c>
      <c r="BP57" t="s">
        <v>220</v>
      </c>
      <c r="BQ57">
        <v>0</v>
      </c>
      <c r="BR57" t="s">
        <v>220</v>
      </c>
      <c r="BS57" t="s">
        <v>220</v>
      </c>
      <c r="BT57" t="s">
        <v>220</v>
      </c>
      <c r="BU57" t="s">
        <v>220</v>
      </c>
      <c r="BV57" t="s">
        <v>220</v>
      </c>
      <c r="BW57" t="s">
        <v>220</v>
      </c>
      <c r="BX57" t="s">
        <v>125</v>
      </c>
      <c r="BY57" t="s">
        <v>274</v>
      </c>
      <c r="BZ57" t="s">
        <v>250</v>
      </c>
      <c r="CA57" t="s">
        <v>232</v>
      </c>
    </row>
    <row r="58" spans="1:79" hidden="1" x14ac:dyDescent="0.3">
      <c r="A58" t="s">
        <v>359</v>
      </c>
      <c r="B58">
        <v>3708</v>
      </c>
      <c r="C58" t="s">
        <v>220</v>
      </c>
      <c r="D58" t="s">
        <v>233</v>
      </c>
      <c r="E58">
        <v>3</v>
      </c>
      <c r="F58" t="s">
        <v>255</v>
      </c>
      <c r="G58">
        <v>0</v>
      </c>
      <c r="H58">
        <v>4</v>
      </c>
      <c r="I58">
        <v>16</v>
      </c>
      <c r="J58">
        <v>4</v>
      </c>
      <c r="K58" t="s">
        <v>220</v>
      </c>
      <c r="L58" t="s">
        <v>220</v>
      </c>
      <c r="M58" t="b">
        <v>0</v>
      </c>
      <c r="N58" t="s">
        <v>220</v>
      </c>
      <c r="O58" t="b">
        <v>0</v>
      </c>
      <c r="P58" s="74">
        <v>45865.745833333334</v>
      </c>
      <c r="Q58" t="s">
        <v>220</v>
      </c>
      <c r="R58" t="s">
        <v>220</v>
      </c>
      <c r="S58" t="s">
        <v>220</v>
      </c>
      <c r="T58" t="s">
        <v>220</v>
      </c>
      <c r="U58" t="s">
        <v>220</v>
      </c>
      <c r="V58" t="s">
        <v>220</v>
      </c>
      <c r="W58" t="s">
        <v>220</v>
      </c>
      <c r="X58" t="s">
        <v>220</v>
      </c>
      <c r="Y58" t="s">
        <v>220</v>
      </c>
      <c r="Z58" t="s">
        <v>220</v>
      </c>
      <c r="AA58" t="s">
        <v>220</v>
      </c>
      <c r="AB58" t="s">
        <v>220</v>
      </c>
      <c r="AC58" t="s">
        <v>220</v>
      </c>
      <c r="AD58" t="s">
        <v>220</v>
      </c>
      <c r="AE58" t="s">
        <v>220</v>
      </c>
      <c r="AF58" t="s">
        <v>220</v>
      </c>
      <c r="AG58" t="s">
        <v>220</v>
      </c>
      <c r="AH58" t="s">
        <v>220</v>
      </c>
      <c r="AI58" t="s">
        <v>220</v>
      </c>
      <c r="AJ58" t="s">
        <v>220</v>
      </c>
      <c r="AK58" t="s">
        <v>220</v>
      </c>
      <c r="AL58" t="s">
        <v>220</v>
      </c>
      <c r="AM58" t="s">
        <v>220</v>
      </c>
      <c r="AN58" t="s">
        <v>223</v>
      </c>
      <c r="AO58" t="s">
        <v>220</v>
      </c>
      <c r="AP58" t="s">
        <v>224</v>
      </c>
      <c r="AQ58" t="s">
        <v>355</v>
      </c>
      <c r="AR58" t="s">
        <v>226</v>
      </c>
      <c r="AS58" t="s">
        <v>356</v>
      </c>
      <c r="AT58">
        <v>91</v>
      </c>
      <c r="AU58">
        <v>0</v>
      </c>
      <c r="AV58">
        <v>0</v>
      </c>
      <c r="AW58">
        <v>0</v>
      </c>
      <c r="AX58">
        <v>91</v>
      </c>
      <c r="AY58" t="s">
        <v>220</v>
      </c>
      <c r="AZ58" t="s">
        <v>220</v>
      </c>
      <c r="BA58" t="s">
        <v>220</v>
      </c>
      <c r="BB58" t="s">
        <v>220</v>
      </c>
      <c r="BC58">
        <v>0</v>
      </c>
      <c r="BD58">
        <v>0</v>
      </c>
      <c r="BE58" t="s">
        <v>228</v>
      </c>
      <c r="BF58">
        <v>0</v>
      </c>
      <c r="BG58">
        <v>0</v>
      </c>
      <c r="BH58" t="s">
        <v>220</v>
      </c>
      <c r="BI58" t="s">
        <v>220</v>
      </c>
      <c r="BJ58" t="s">
        <v>220</v>
      </c>
      <c r="BK58" t="s">
        <v>220</v>
      </c>
      <c r="BL58" t="s">
        <v>220</v>
      </c>
      <c r="BM58" t="s">
        <v>360</v>
      </c>
      <c r="BN58" t="s">
        <v>220</v>
      </c>
      <c r="BO58" t="s">
        <v>220</v>
      </c>
      <c r="BP58" t="s">
        <v>220</v>
      </c>
      <c r="BQ58">
        <v>0</v>
      </c>
      <c r="BR58" t="s">
        <v>220</v>
      </c>
      <c r="BS58" t="s">
        <v>220</v>
      </c>
      <c r="BT58" t="s">
        <v>220</v>
      </c>
      <c r="BU58" t="s">
        <v>220</v>
      </c>
      <c r="BV58" t="s">
        <v>220</v>
      </c>
      <c r="BW58" t="s">
        <v>220</v>
      </c>
      <c r="BX58" t="s">
        <v>125</v>
      </c>
      <c r="BY58" t="s">
        <v>274</v>
      </c>
      <c r="BZ58" t="s">
        <v>250</v>
      </c>
      <c r="CA58" t="s">
        <v>232</v>
      </c>
    </row>
    <row r="59" spans="1:79" hidden="1" x14ac:dyDescent="0.3">
      <c r="A59" t="s">
        <v>361</v>
      </c>
      <c r="B59">
        <v>3710</v>
      </c>
      <c r="C59" t="s">
        <v>220</v>
      </c>
      <c r="D59" t="s">
        <v>245</v>
      </c>
      <c r="E59">
        <v>0</v>
      </c>
      <c r="F59" t="s">
        <v>246</v>
      </c>
      <c r="G59">
        <v>0</v>
      </c>
      <c r="H59">
        <v>8</v>
      </c>
      <c r="I59">
        <v>208</v>
      </c>
      <c r="J59">
        <v>26</v>
      </c>
      <c r="K59" t="s">
        <v>220</v>
      </c>
      <c r="L59" t="s">
        <v>220</v>
      </c>
      <c r="M59" t="b">
        <v>0</v>
      </c>
      <c r="N59" t="s">
        <v>220</v>
      </c>
      <c r="O59" t="b">
        <v>0</v>
      </c>
      <c r="P59" s="74">
        <v>45865.882638888892</v>
      </c>
      <c r="Q59" t="s">
        <v>220</v>
      </c>
      <c r="R59" t="s">
        <v>220</v>
      </c>
      <c r="S59" t="s">
        <v>220</v>
      </c>
      <c r="T59" t="s">
        <v>220</v>
      </c>
      <c r="U59" t="s">
        <v>220</v>
      </c>
      <c r="V59" t="s">
        <v>220</v>
      </c>
      <c r="W59" t="s">
        <v>220</v>
      </c>
      <c r="X59" t="s">
        <v>220</v>
      </c>
      <c r="Y59" t="s">
        <v>220</v>
      </c>
      <c r="Z59" t="s">
        <v>220</v>
      </c>
      <c r="AA59" t="s">
        <v>220</v>
      </c>
      <c r="AB59" t="s">
        <v>220</v>
      </c>
      <c r="AC59" t="s">
        <v>220</v>
      </c>
      <c r="AD59" t="s">
        <v>220</v>
      </c>
      <c r="AE59" t="s">
        <v>220</v>
      </c>
      <c r="AF59" t="s">
        <v>220</v>
      </c>
      <c r="AG59" t="s">
        <v>220</v>
      </c>
      <c r="AH59" t="s">
        <v>220</v>
      </c>
      <c r="AI59" t="s">
        <v>220</v>
      </c>
      <c r="AJ59" t="s">
        <v>220</v>
      </c>
      <c r="AK59" t="s">
        <v>220</v>
      </c>
      <c r="AL59" t="s">
        <v>220</v>
      </c>
      <c r="AM59" t="s">
        <v>220</v>
      </c>
      <c r="AN59" t="s">
        <v>223</v>
      </c>
      <c r="AO59" t="s">
        <v>220</v>
      </c>
      <c r="AP59" t="s">
        <v>224</v>
      </c>
      <c r="AQ59" t="s">
        <v>225</v>
      </c>
      <c r="AR59" t="s">
        <v>226</v>
      </c>
      <c r="AS59" t="s">
        <v>227</v>
      </c>
      <c r="AT59">
        <v>208</v>
      </c>
      <c r="AU59">
        <v>0</v>
      </c>
      <c r="AV59">
        <v>0</v>
      </c>
      <c r="AW59">
        <v>0</v>
      </c>
      <c r="AX59">
        <v>208</v>
      </c>
      <c r="AY59" t="s">
        <v>220</v>
      </c>
      <c r="AZ59" t="s">
        <v>220</v>
      </c>
      <c r="BA59" t="s">
        <v>220</v>
      </c>
      <c r="BB59" t="s">
        <v>220</v>
      </c>
      <c r="BC59">
        <v>0</v>
      </c>
      <c r="BD59">
        <v>0</v>
      </c>
      <c r="BE59" t="s">
        <v>228</v>
      </c>
      <c r="BF59">
        <v>0</v>
      </c>
      <c r="BG59">
        <v>0</v>
      </c>
      <c r="BH59" t="s">
        <v>220</v>
      </c>
      <c r="BI59" t="s">
        <v>220</v>
      </c>
      <c r="BJ59" t="s">
        <v>220</v>
      </c>
      <c r="BK59" t="s">
        <v>220</v>
      </c>
      <c r="BL59" t="s">
        <v>220</v>
      </c>
      <c r="BM59" t="s">
        <v>247</v>
      </c>
      <c r="BN59" t="s">
        <v>220</v>
      </c>
      <c r="BO59" t="s">
        <v>220</v>
      </c>
      <c r="BP59" t="s">
        <v>220</v>
      </c>
      <c r="BQ59">
        <v>0</v>
      </c>
      <c r="BR59" t="s">
        <v>220</v>
      </c>
      <c r="BS59" t="s">
        <v>220</v>
      </c>
      <c r="BT59" t="s">
        <v>220</v>
      </c>
      <c r="BU59" t="s">
        <v>220</v>
      </c>
      <c r="BV59" t="s">
        <v>220</v>
      </c>
      <c r="BW59" t="s">
        <v>220</v>
      </c>
      <c r="BX59" t="s">
        <v>4</v>
      </c>
      <c r="BY59" t="s">
        <v>274</v>
      </c>
      <c r="BZ59" t="s">
        <v>248</v>
      </c>
      <c r="CA59" t="s">
        <v>232</v>
      </c>
    </row>
    <row r="60" spans="1:79" hidden="1" x14ac:dyDescent="0.3">
      <c r="A60" t="s">
        <v>362</v>
      </c>
      <c r="B60">
        <v>3709</v>
      </c>
      <c r="C60" t="s">
        <v>220</v>
      </c>
      <c r="D60" t="s">
        <v>242</v>
      </c>
      <c r="E60">
        <v>54</v>
      </c>
      <c r="F60" t="s">
        <v>238</v>
      </c>
      <c r="G60">
        <v>0</v>
      </c>
      <c r="H60">
        <v>15</v>
      </c>
      <c r="I60">
        <v>30</v>
      </c>
      <c r="J60">
        <v>2</v>
      </c>
      <c r="K60" t="s">
        <v>220</v>
      </c>
      <c r="L60" t="s">
        <v>220</v>
      </c>
      <c r="M60" t="b">
        <v>0</v>
      </c>
      <c r="N60" t="s">
        <v>220</v>
      </c>
      <c r="O60" t="b">
        <v>0</v>
      </c>
      <c r="P60" s="74">
        <v>45865.876388888886</v>
      </c>
      <c r="Q60" t="s">
        <v>220</v>
      </c>
      <c r="R60" t="s">
        <v>220</v>
      </c>
      <c r="S60" t="s">
        <v>220</v>
      </c>
      <c r="T60" t="s">
        <v>220</v>
      </c>
      <c r="U60" t="s">
        <v>220</v>
      </c>
      <c r="V60" t="s">
        <v>220</v>
      </c>
      <c r="W60" t="s">
        <v>220</v>
      </c>
      <c r="X60" t="s">
        <v>220</v>
      </c>
      <c r="Y60" t="s">
        <v>220</v>
      </c>
      <c r="Z60" t="s">
        <v>220</v>
      </c>
      <c r="AA60" t="s">
        <v>220</v>
      </c>
      <c r="AB60" t="s">
        <v>220</v>
      </c>
      <c r="AC60" t="s">
        <v>220</v>
      </c>
      <c r="AD60" t="s">
        <v>220</v>
      </c>
      <c r="AE60" t="s">
        <v>220</v>
      </c>
      <c r="AF60" t="s">
        <v>220</v>
      </c>
      <c r="AG60" t="s">
        <v>220</v>
      </c>
      <c r="AH60" t="s">
        <v>220</v>
      </c>
      <c r="AI60" t="s">
        <v>220</v>
      </c>
      <c r="AJ60" t="s">
        <v>220</v>
      </c>
      <c r="AK60" t="s">
        <v>220</v>
      </c>
      <c r="AL60" t="s">
        <v>220</v>
      </c>
      <c r="AM60" t="s">
        <v>220</v>
      </c>
      <c r="AN60" t="s">
        <v>223</v>
      </c>
      <c r="AO60" t="s">
        <v>220</v>
      </c>
      <c r="AP60" t="s">
        <v>224</v>
      </c>
      <c r="AQ60" t="s">
        <v>355</v>
      </c>
      <c r="AR60" t="s">
        <v>226</v>
      </c>
      <c r="AS60" t="s">
        <v>356</v>
      </c>
      <c r="AT60">
        <v>30</v>
      </c>
      <c r="AU60">
        <v>0</v>
      </c>
      <c r="AV60">
        <v>0</v>
      </c>
      <c r="AW60">
        <v>0</v>
      </c>
      <c r="AX60">
        <v>30</v>
      </c>
      <c r="AY60" t="s">
        <v>220</v>
      </c>
      <c r="AZ60" t="s">
        <v>220</v>
      </c>
      <c r="BA60" t="s">
        <v>220</v>
      </c>
      <c r="BB60" t="s">
        <v>220</v>
      </c>
      <c r="BC60">
        <v>0</v>
      </c>
      <c r="BD60">
        <v>0</v>
      </c>
      <c r="BE60" t="s">
        <v>228</v>
      </c>
      <c r="BF60">
        <v>0</v>
      </c>
      <c r="BG60">
        <v>0</v>
      </c>
      <c r="BH60" t="s">
        <v>220</v>
      </c>
      <c r="BI60" t="s">
        <v>220</v>
      </c>
      <c r="BJ60" t="s">
        <v>220</v>
      </c>
      <c r="BK60" t="s">
        <v>220</v>
      </c>
      <c r="BL60" t="s">
        <v>220</v>
      </c>
      <c r="BM60" t="s">
        <v>346</v>
      </c>
      <c r="BN60" t="s">
        <v>220</v>
      </c>
      <c r="BO60" t="s">
        <v>220</v>
      </c>
      <c r="BP60" t="s">
        <v>220</v>
      </c>
      <c r="BQ60">
        <v>0</v>
      </c>
      <c r="BR60" t="s">
        <v>220</v>
      </c>
      <c r="BS60" t="s">
        <v>220</v>
      </c>
      <c r="BT60" t="s">
        <v>220</v>
      </c>
      <c r="BU60" t="s">
        <v>220</v>
      </c>
      <c r="BV60" t="s">
        <v>220</v>
      </c>
      <c r="BW60" t="s">
        <v>220</v>
      </c>
      <c r="BX60" t="s">
        <v>123</v>
      </c>
      <c r="BY60" t="s">
        <v>274</v>
      </c>
      <c r="BZ60" t="s">
        <v>243</v>
      </c>
      <c r="CA60" t="s">
        <v>232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73736-6A82-4562-860C-19B02D77E39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0487-ACDD-40A8-BFAD-9E8021A746AE}">
  <dimension ref="A2:D24"/>
  <sheetViews>
    <sheetView workbookViewId="0"/>
  </sheetViews>
  <sheetFormatPr defaultRowHeight="14.4" x14ac:dyDescent="0.3"/>
  <cols>
    <col min="1" max="1" width="18.44140625" customWidth="1"/>
    <col min="2" max="2" width="10.5546875" customWidth="1"/>
    <col min="3" max="3" width="10.44140625" customWidth="1"/>
  </cols>
  <sheetData>
    <row r="2" spans="1:4" x14ac:dyDescent="0.3">
      <c r="A2" t="s">
        <v>114</v>
      </c>
      <c r="B2" s="63">
        <v>8745.5</v>
      </c>
    </row>
    <row r="4" spans="1:4" x14ac:dyDescent="0.3">
      <c r="A4" t="s">
        <v>115</v>
      </c>
      <c r="B4" s="63">
        <v>2801</v>
      </c>
    </row>
    <row r="6" spans="1:4" x14ac:dyDescent="0.3">
      <c r="B6" t="s">
        <v>110</v>
      </c>
      <c r="C6" t="s">
        <v>111</v>
      </c>
      <c r="D6" t="s">
        <v>112</v>
      </c>
    </row>
    <row r="7" spans="1:4" x14ac:dyDescent="0.3">
      <c r="A7" t="s">
        <v>109</v>
      </c>
      <c r="B7" s="63">
        <v>3572.5</v>
      </c>
      <c r="C7" s="62">
        <f>147+120</f>
        <v>267</v>
      </c>
      <c r="D7">
        <f>B7-C7</f>
        <v>3305.5</v>
      </c>
    </row>
    <row r="10" spans="1:4" x14ac:dyDescent="0.3">
      <c r="A10" s="1" t="s">
        <v>113</v>
      </c>
      <c r="B10" s="64">
        <f>B2+D7+B4</f>
        <v>14852</v>
      </c>
    </row>
    <row r="18" spans="2:2" x14ac:dyDescent="0.3">
      <c r="B18" s="5"/>
    </row>
    <row r="19" spans="2:2" x14ac:dyDescent="0.3">
      <c r="B19" s="5"/>
    </row>
    <row r="20" spans="2:2" x14ac:dyDescent="0.3">
      <c r="B20" s="5"/>
    </row>
    <row r="21" spans="2:2" x14ac:dyDescent="0.3">
      <c r="B21" s="5"/>
    </row>
    <row r="22" spans="2:2" x14ac:dyDescent="0.3">
      <c r="B22" s="5"/>
    </row>
    <row r="23" spans="2:2" x14ac:dyDescent="0.3">
      <c r="B23" s="5"/>
    </row>
    <row r="24" spans="2:2" x14ac:dyDescent="0.3">
      <c r="B24" s="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341C66-2F54-4440-BFF1-BE5AF6CE74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DRY</vt:lpstr>
      <vt:lpstr>LABOUR</vt:lpstr>
      <vt:lpstr>SALES</vt:lpstr>
      <vt:lpstr>Dry margin</vt:lpstr>
      <vt:lpstr>Chickpea Food</vt:lpstr>
      <vt:lpstr>orders_2025-07-28_11-52</vt:lpstr>
      <vt:lpstr>Sheet1</vt:lpstr>
      <vt:lpstr>Nol dry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Moakes</dc:creator>
  <cp:lastModifiedBy>James Underhill</cp:lastModifiedBy>
  <cp:lastPrinted>2023-07-17T08:20:58Z</cp:lastPrinted>
  <dcterms:created xsi:type="dcterms:W3CDTF">2022-09-26T14:57:24Z</dcterms:created>
  <dcterms:modified xsi:type="dcterms:W3CDTF">2026-05-11T13:17:30Z</dcterms:modified>
</cp:coreProperties>
</file>